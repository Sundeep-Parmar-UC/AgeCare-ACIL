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careltd.sharepoint.com/sites/NationalOperations/Shared Documents/Data summer (Felipe - Sunny)/Sundeep/"/>
    </mc:Choice>
  </mc:AlternateContent>
  <xr:revisionPtr revIDLastSave="10717" documentId="13_ncr:1_{C479A780-3FA0-45FD-993A-8893E57E32FC}" xr6:coauthVersionLast="47" xr6:coauthVersionMax="47" xr10:uidLastSave="{842FE864-B36B-463C-9C4F-8AEA9B9F01E6}"/>
  <bookViews>
    <workbookView xWindow="-120" yWindow="-120" windowWidth="38640" windowHeight="21120" tabRatio="692" firstSheet="1" activeTab="13" xr2:uid="{939CEA63-B243-466E-8D1C-E935CB9D4117}"/>
  </bookViews>
  <sheets>
    <sheet name="April" sheetId="6" r:id="rId1"/>
    <sheet name="May" sheetId="7" r:id="rId2"/>
    <sheet name="June" sheetId="9" r:id="rId3"/>
    <sheet name="July" sheetId="14" r:id="rId4"/>
    <sheet name="Aug" sheetId="16" r:id="rId5"/>
    <sheet name="Sept" sheetId="18" r:id="rId6"/>
    <sheet name="Oct" sheetId="20" r:id="rId7"/>
    <sheet name="Nov" sheetId="24" r:id="rId8"/>
    <sheet name="Dec" sheetId="25" r:id="rId9"/>
    <sheet name="Jan 26" sheetId="26" r:id="rId10"/>
    <sheet name="Feb 26" sheetId="27" r:id="rId11"/>
    <sheet name="Mar 26" sheetId="29" r:id="rId12"/>
    <sheet name="Apr 26" sheetId="30" r:id="rId13"/>
    <sheet name="Variances by Entity" sheetId="8" r:id="rId14"/>
    <sheet name="ON Variances" sheetId="15" r:id="rId15"/>
    <sheet name="Sick" sheetId="10" r:id="rId16"/>
    <sheet name="OT" sheetId="11" r:id="rId17"/>
    <sheet name="Purchased" sheetId="12" r:id="rId18"/>
    <sheet name="Supplies" sheetId="13" r:id="rId19"/>
    <sheet name="ON Unfunded Clinical Spend" sheetId="17" r:id="rId20"/>
    <sheet name="RnM" sheetId="19" r:id="rId21"/>
    <sheet name="RnM YTD" sheetId="28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___a2" hidden="1">{"Page1",#N/A,FALSE,"CompCo";"Page2",#N/A,FALSE,"CompCo"}</definedName>
    <definedName name="____a3" hidden="1">{"Page1",#N/A,FALSE,"CompCo";"Page2",#N/A,FALSE,"CompCo"}</definedName>
    <definedName name="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ok2" hidden="1">{"ReportTop",#N/A,FALSE,"report top"}</definedName>
    <definedName name="___wrn5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__123Graph_A" hidden="1">#REF!</definedName>
    <definedName name="__123Graph_B" hidden="1">#REF!</definedName>
    <definedName name="__123Graph_BFUEL" hidden="1">#REF!</definedName>
    <definedName name="__123Graph_C" hidden="1">[1]RENT!#REF!</definedName>
    <definedName name="__123Graph_D" hidden="1">[1]RENT!#REF!</definedName>
    <definedName name="__123Graph_E" hidden="1">[1]RENT!#REF!</definedName>
    <definedName name="__123Graph_F" hidden="1">[1]RENT!#REF!</definedName>
    <definedName name="__123Graph_X" hidden="1">#REF!</definedName>
    <definedName name="__a1" hidden="1">{#N/A,#N/A,FALSE,"Pharm";#N/A,#N/A,FALSE,"WWCM"}</definedName>
    <definedName name="__A11" hidden="1">{#N/A,#N/A,FALSE,"Umsatz 99";#N/A,#N/A,FALSE,"ER 99 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IntlFixup" hidden="1">TRUE</definedName>
    <definedName name="__new1" hidden="1">{#N/A,#N/A,FALSE,"Pharm";#N/A,#N/A,FALSE,"WWCM"}</definedName>
    <definedName name="__ok2" hidden="1">{"ReportTop",#N/A,FALSE,"report top"}</definedName>
    <definedName name="__r" hidden="1">{#N/A,#N/A,FALSE,"Pharm";#N/A,#N/A,FALSE,"WWCM"}</definedName>
    <definedName name="__tm1" hidden="1">{#N/A,#N/A,FALSE,"Pharm";#N/A,#N/A,FALSE,"WWCM"}</definedName>
    <definedName name="__wrn5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__X2" hidden="1">{#N/A,#N/A,FALSE,"Other";#N/A,#N/A,FALSE,"Ace";#N/A,#N/A,FALSE,"Derm"}</definedName>
    <definedName name="_1__123Graph_ADIAGRAMM_3" hidden="1">#REF!</definedName>
    <definedName name="_1_123Grap" hidden="1">#REF!</definedName>
    <definedName name="_10__123Graph_ACHART_1" hidden="1">'[2]Rent Roll'!#REF!</definedName>
    <definedName name="_10__123Graph_DDIAGRAMM_3" hidden="1">#REF!</definedName>
    <definedName name="_100__123Graph_ACHART_4" hidden="1">#REF!</definedName>
    <definedName name="_11__123Graph_DDIAGRAMM_4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2__123Graph_ADIAGRAMM_6" hidden="1">#REF!</definedName>
    <definedName name="_12__123Graph_DDIAGRAMM_6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3Graph_C" hidden="1">#REF!</definedName>
    <definedName name="_123Graph_C1" hidden="1">#REF!</definedName>
    <definedName name="_125__123Graph_BCHART_1" hidden="1">#REF!</definedName>
    <definedName name="_13__123Graph_EDIAGRAMM_3" hidden="1">#REF!</definedName>
    <definedName name="_14__123Graph_EDIAGRAMM_4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5__123Graph_FDIAGRAMM_3" hidden="1">#REF!</definedName>
    <definedName name="_150__123Graph_BCHART_2" hidden="1">#REF!</definedName>
    <definedName name="_16__123Graph_BDIAGRAMM_3" hidden="1">#REF!</definedName>
    <definedName name="_16__123Graph_FDIAGRAMM_4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7__123Graph_XDIAGRAMM_3" hidden="1">#REF!</definedName>
    <definedName name="_175__123Graph_BCHART_3" hidden="1">#REF!</definedName>
    <definedName name="_2__123Graph_ADIAGRAMM_4" hidden="1">#REF!</definedName>
    <definedName name="_2_0__123Grap" hidden="1">#REF!</definedName>
    <definedName name="_20__123Graph_BDIAGRAMM_4" hidden="1">#REF!</definedName>
    <definedName name="_200__123Graph_LBL_ACHART_1" hidden="1">#REF!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25__123Graph_LBL_ACHART_2" hidden="1">#REF!</definedName>
    <definedName name="_24__123Graph_BDIAGRAMM_6" hidden="1">#REF!</definedName>
    <definedName name="_25__123Graph_ACHART_1" hidden="1">#REF!</definedName>
    <definedName name="_250__123Graph_LBL_ACHART_3" hidden="1">#REF!</definedName>
    <definedName name="_275__123Graph_LBL_ACHART_4" hidden="1">#REF!</definedName>
    <definedName name="_28__123Graph_CDIAGRAMM_3" hidden="1">#REF!</definedName>
    <definedName name="_3" hidden="1">#REF!</definedName>
    <definedName name="_3__123Graph_ADIAGRAMM_6" hidden="1">#REF!</definedName>
    <definedName name="_300__123Graph_LBL_BCHART_1" hidden="1">#REF!</definedName>
    <definedName name="_32__123Graph_CDIAGRAMM_4" hidden="1">#REF!</definedName>
    <definedName name="_325__123Graph_LBL_BCHART_2" hidden="1">#REF!</definedName>
    <definedName name="_350__123Graph_LBL_BCHART_3" hidden="1">#REF!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6__123Graph_CDIAGRAMM_6" hidden="1">#REF!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5__123Graph_XCHART_1" hidden="1">#REF!</definedName>
    <definedName name="_4__123Graph_ADIAGRAMM_3" hidden="1">#REF!</definedName>
    <definedName name="_4__123Graph_BDIAGRAMM_3" hidden="1">#REF!</definedName>
    <definedName name="_40__123Graph_DDIAGRAMM_3" hidden="1">#REF!</definedName>
    <definedName name="_400__123Graph_XCHART_2" hidden="1">#REF!</definedName>
    <definedName name="_425__123Graph_XCHART_3" hidden="1">#REF!</definedName>
    <definedName name="_42wrn.²Ä1­Ó¤ë1_Ü20¤H." hidden="1">{#N/A,#N/A,FALSE,"²Ä1­Ó¤ë"}</definedName>
    <definedName name="_44__123Graph_DDIAGRAMM_4" hidden="1">#REF!</definedName>
    <definedName name="_450__123Graph_XCHART_4" hidden="1">#REF!</definedName>
    <definedName name="_48__123Graph_DDIAGRAMM_6" hidden="1">#REF!</definedName>
    <definedName name="_5__123Graph_BDIAGRAMM_4" hidden="1">#REF!</definedName>
    <definedName name="_50__123Graph_ACHART_2" hidden="1">#REF!</definedName>
    <definedName name="_52__123Graph_EDIAGRAMM_3" hidden="1">#REF!</definedName>
    <definedName name="_56__123Graph_EDIAGRAMM_4" hidden="1">#REF!</definedName>
    <definedName name="_6__123Graph_BDIAGRAMM_6" hidden="1">#REF!</definedName>
    <definedName name="_60__123Graph_FDIAGRAMM_3" hidden="1">#REF!</definedName>
    <definedName name="_64__123Graph_FDIAGRAMM_4" hidden="1">#REF!</definedName>
    <definedName name="_68__123Graph_XDIAGRAMM_3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7__123Graph_CDIAGRAMM_3" hidden="1">#REF!</definedName>
    <definedName name="_75__123Graph_ACHART_3" hidden="1">#REF!</definedName>
    <definedName name="_8__123Graph_ADIAGRAMM_4" hidden="1">#REF!</definedName>
    <definedName name="_8__123Graph_CDIAGRAMM_4" hidden="1">#REF!</definedName>
    <definedName name="_9__123Graph_CDIAGRAMM_6" hidden="1">#REF!</definedName>
    <definedName name="_a1" hidden="1">{#N/A,#N/A,FALSE,"Pharm";#N/A,#N/A,FALSE,"WWCM"}</definedName>
    <definedName name="_A11" hidden="1">{#N/A,#N/A,FALSE,"Umsatz 99";#N/A,#N/A,FALSE,"ER 99 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11" hidden="1">{#N/A,#N/A,FALSE,"Pharm";#N/A,#N/A,FALSE,"WWCM"}</definedName>
    <definedName name="_bdm.048deaf32efa4912983faef1b2eca688.edm" hidden="1">#REF!</definedName>
    <definedName name="_bdm.082e6839c50141b4b378f373767e5712.edm" hidden="1">#REF!</definedName>
    <definedName name="_bdm.08b1f3992c8b4ad190d63a79cdf615c2.edm" hidden="1">#REF!</definedName>
    <definedName name="_bdm.09BC332E7B564202B176B48D54B905EF.edm" hidden="1">#REF!</definedName>
    <definedName name="_bdm.0fa66df7db9a4122a9d2f3d6f393f99e.edm" hidden="1">#REF!</definedName>
    <definedName name="_bdm.15010735d6294004b475c02a33fe7130.edm" hidden="1">#REF!</definedName>
    <definedName name="_bdm.16E3EF166D88478E9A191CDEB447369C.edm" hidden="1">#REF!</definedName>
    <definedName name="_bdm.1826082455654ebd8fe37e9fb963bef0.edm" hidden="1">#REF!</definedName>
    <definedName name="_bdm.18968945170C4F5CA639288DAE17CCF9.edm" hidden="1">#REF!</definedName>
    <definedName name="_bdm.1A097974184247BD8B7D3A4B1B7798A3.edm" hidden="1">'[3]Analyst sentiment'!$1:$1048576</definedName>
    <definedName name="_bdm.1a9723f0840e4192b9a3edfe9d9ee3a3.edm" hidden="1">#REF!</definedName>
    <definedName name="_bdm.1F893283B8CC497CB31EF233BE48FD54.edm" hidden="1">'[4]EBITDA Graph'!$1:$1048576</definedName>
    <definedName name="_bdm.21AAD65AAFA54CED85FAEC2BFF1A9B66.edm" hidden="1">#REF!</definedName>
    <definedName name="_bdm.236748EDED7F49FF9D8C8341C398889E.edm" hidden="1">#REF!</definedName>
    <definedName name="_bdm.24053EC26E0E42C59D343B60F5359362.edm" hidden="1">#REF!</definedName>
    <definedName name="_bdm.245b012a65914a10add65bdde00f148a.edm" hidden="1">#REF!</definedName>
    <definedName name="_bdm.25029F5B8D594E3DB459EE6D26BB9561.edm" hidden="1">#REF!</definedName>
    <definedName name="_bdm.25c774d0c44e44488cc954577f945bb5.edm" hidden="1">#REF!</definedName>
    <definedName name="_bdm.2802879BE2FE4928A5B216B854501D54.edm" hidden="1">'[5]21'!$1:$1048576</definedName>
    <definedName name="_bdm.2961de86b8c04085a623f80225d76f32.edm" hidden="1">#REF!</definedName>
    <definedName name="_bdm.2bc48aca49e245e48356d7445e194ba3.edm" hidden="1">#REF!</definedName>
    <definedName name="_bdm.2bf74330c7a74f659103c4db9d8bc0c6.edm" hidden="1">#REF!</definedName>
    <definedName name="_bdm.33539CB4537949B39702E86104C2098D.edm" hidden="1">#REF!</definedName>
    <definedName name="_bdm.375c9285cdca4787b862955a82530c24.edm" hidden="1">#REF!</definedName>
    <definedName name="_bdm.39459D8BBDD04332A9D942280B1EA3FD.edm" hidden="1">'[6]BP equity performance'!$1:$1048576</definedName>
    <definedName name="_bdm.3c29a40bfac343f48d46aa4df9d5a58e.edm" hidden="1">#REF!</definedName>
    <definedName name="_bdm.3D44F97329974CCA898E17BDECB9A46D.edm" hidden="1">#REF!</definedName>
    <definedName name="_bdm.3eae55ab2d8f42bc86d2ece68f18fcc2.edm" hidden="1">#REF!</definedName>
    <definedName name="_bdm.3eec05ded7724ba4bfe0dbaf68f9e319.edm" hidden="1">#REF!</definedName>
    <definedName name="_bdm.3f43d3e12b6e4e4881bd36fe7cfaa775.edm" hidden="1">#REF!</definedName>
    <definedName name="_bdm.4389a12c094f43ebab4f1cb1939d3f50.edm" hidden="1">#REF!</definedName>
    <definedName name="_bdm.454ca02e2ad040df9252d70541806a0c.edm" hidden="1">#REF!</definedName>
    <definedName name="_bdm.4c80e3b86e674de69749f56df171ce11.edm" hidden="1">#REF!</definedName>
    <definedName name="_bdm.4DAEA7B24F144A779BA9CFF4656F67C6.edm" hidden="1">#REF!</definedName>
    <definedName name="_bdm.4DE485F962164F04A9BC7EAB1559C7EC.edm" hidden="1">'[3]Cement and aggregates'!$1:$1048576</definedName>
    <definedName name="_bdm.53c1a7bb15ab4badb1565025adc7ffd2.edm" hidden="1">#REF!</definedName>
    <definedName name="_bdm.5C951DE7CEF3413CB284D2AB8DBE5472.edm" hidden="1">'[5]27'!$1:$1048576</definedName>
    <definedName name="_bdm.5CD28223F5C44141A46E86A4A8FF4778.edm" hidden="1">#REF!</definedName>
    <definedName name="_bdm.5dbf5abce2d14b44926a9aba4a24889d.edm" hidden="1">#REF!</definedName>
    <definedName name="_bdm.64aa57bbf1a1457490a55bb13f343ceb.edm" hidden="1">#REF!</definedName>
    <definedName name="_bdm.669c6796377d4f61bfa4b5032b7de50a.edm" hidden="1">#REF!</definedName>
    <definedName name="_bdm.6E2CF51EE3FA489D95CB0284362218AF.edm" hidden="1">'[4]CC Graph 3'!$1:$1048576</definedName>
    <definedName name="_bdm.6fb135bf70fa4537b4f2d15e7de39a39.edm" hidden="1">#REF!</definedName>
    <definedName name="_bdm.722924384BFC4E37BE27AB71CFB3D337.edm" hidden="1">[3]Lumber!$1:$1048576</definedName>
    <definedName name="_bdm.72d820de4f1d4ffea4f604156cc5eb10.edm" hidden="1">#REF!</definedName>
    <definedName name="_bdm.7c919f18b48d4085a57553b783cbee3f.edm" hidden="1">#REF!</definedName>
    <definedName name="_bdm.7cc848b9ff7547a595bba2f3de6d1a28.edm" hidden="1">#REF!</definedName>
    <definedName name="_bdm.8375250ddf13497abed42ba6ab861965.edm" hidden="1">#REF!</definedName>
    <definedName name="_bdm.849f0a4d99334deeb739c90efbc69ddd.edm" hidden="1">#REF!</definedName>
    <definedName name="_bdm.86713E1E955644FF92F2EB7F3113F0DD.edm" hidden="1">'[7]SUMMARY OUTPUT'!$1:$1048576</definedName>
    <definedName name="_bdm.88E59F6CD70547099CD8BA46974E0949.edm" hidden="1">#REF!</definedName>
    <definedName name="_bdm.8E2DF08400E947FF925837C56BBE1CF1.edm" hidden="1">#REF!</definedName>
    <definedName name="_bdm.8e8fbbefded143d7b6367aca9a4568e8.edm" hidden="1">#REF!</definedName>
    <definedName name="_bdm.8f855f8e47d840a5be7f67147b78533f.edm" hidden="1">#REF!</definedName>
    <definedName name="_bdm.900DD6E084D64DA782F698FA014CD096.edm" hidden="1">#REF!</definedName>
    <definedName name="_bdm.910b7515ea17414a81eff0c2985b5b66.edm" hidden="1">#REF!</definedName>
    <definedName name="_bdm.924C87CBA3FE4EA7B53C77B4D991A6A0.edm" hidden="1">[3]HVAC!$1:$1048576</definedName>
    <definedName name="_bdm.9ca6f12625ba4749aed32393d62ab3ab.edm" hidden="1">#REF!</definedName>
    <definedName name="_bdm.9e2b79e9e3204dc1a77a35d5157af281.edm" hidden="1">#REF!</definedName>
    <definedName name="_bdm.9ff0645c6dde4ca4ab854c2f0055d00a.edm" hidden="1">#REF!</definedName>
    <definedName name="_bdm.a5f4590b53ae422b9ed327f11fb1e267.edm" hidden="1">#REF!</definedName>
    <definedName name="_bdm.a6c69b693e2c478ab57f0d26c85275a7.edm" hidden="1">#REF!</definedName>
    <definedName name="_bdm.A79F588BF2614D939269CCDA52812C6D.edm" hidden="1">'[4]PE Graph'!$1:$1048576</definedName>
    <definedName name="_bdm.A7D37ADB3A3040E4BDCC1755C1C6088C.edm" hidden="1">'[5]34'!$1:$1048576</definedName>
    <definedName name="_bdm.a87e6d0e20554f0ca78e24d0bd9b0762.edm" hidden="1">#REF!</definedName>
    <definedName name="_bdm.AC853950B3F545D4926B894230397BB2.edm" hidden="1">'[4]CC Graph'!$1:$1048576</definedName>
    <definedName name="_bdm.AD56EF9D0B094ED5B4D6BC0D9440D4F6.edm" hidden="1">[3]Electrical!$1:$1048576</definedName>
    <definedName name="_bdm.aeeb3a0ca0e74011b2080925a1a9875c.edm" hidden="1">#REF!</definedName>
    <definedName name="_bdm.b70cb2ef0dba46f49b3191294b27653f.edm" hidden="1">#REF!</definedName>
    <definedName name="_bdm.b9a7e22288e640dda3af65c7babcb46f.edm" hidden="1">#REF!</definedName>
    <definedName name="_bdm.BC81ABCFAA2749A0A9E2240434B14792.edm" hidden="1">'[3]Metal Prices'!$1:$1048576</definedName>
    <definedName name="_bdm.BD317FAA4371447B977173A73F5531D4.edm" hidden="1">'[3]Housing forecasts'!$1:$1048576</definedName>
    <definedName name="_bdm.BD59F6D19C1A475E825F46042D768AB0.edm" hidden="1">#REF!</definedName>
    <definedName name="_bdm.BEB2F95F24B24EAB90138193071F1E29.edm" hidden="1">'[5]13'!$1:$1048576</definedName>
    <definedName name="_bdm.bf5f437647ae451085e64570ac6e7197.edm" hidden="1">#REF!</definedName>
    <definedName name="_bdm.C07CD3D680EF4A06BECF1E32F7B7610E.edm" hidden="1">#REF!</definedName>
    <definedName name="_bdm.c13ca2f93f1740f7b0fec0a80433dfd1.edm" hidden="1">#REF!</definedName>
    <definedName name="_bdm.D412CDD30DA5427EBBC7528CBF85F081.edm" hidden="1">'[5]33'!$1:$1048576</definedName>
    <definedName name="_bdm.d659b66ffe6e4951b546238a3add1e69.edm" hidden="1">#REF!</definedName>
    <definedName name="_bdm.da3bda92fdbd435ba1a26fd4ca6d55a1.edm" hidden="1">#REF!</definedName>
    <definedName name="_bdm.DABC74680ED04854BE84D3C72D208A71.edm" hidden="1">#REF!</definedName>
    <definedName name="_bdm.dc6c50e4c1c94783bf728a1628ccc248.edm" hidden="1">#REF!</definedName>
    <definedName name="_bdm.E041C6A9B8954528AADD8F7068C48F07.edm" hidden="1">#REF!</definedName>
    <definedName name="_bdm.e2dd706684b74438a37c4153e3c6afd2.edm" hidden="1">#REF!</definedName>
    <definedName name="_bdm.E56B62D59AD54ABEB1916BA48C55254E.edm" hidden="1">#REF!</definedName>
    <definedName name="_bdm.E56F4A9B83C94D2596CC33A5474EB4E8.edm" hidden="1">'[5]18'!$1:$1048576</definedName>
    <definedName name="_bdm.e6b897baf86b4ca9a0f78afb4b968f2c.edm" hidden="1">#REF!</definedName>
    <definedName name="_bdm.E8142B1BF13243DCA4F041CB21944A34.edm" hidden="1">'[6]Family Housing Starts Breakdown'!$1:$1048576</definedName>
    <definedName name="_bdm.E8B440B1020748E0A74C372D3D5130D4.edm" hidden="1">#REF!</definedName>
    <definedName name="_bdm.F06A0D734DB8408D8C173F683FFE59AD.edm" hidden="1">#REF!</definedName>
    <definedName name="_bdm.f476d0c81fd6464da99d306af66f1e51.edm" hidden="1">#REF!</definedName>
    <definedName name="_bdm.f554905c161845b781401d463f196532.edm" hidden="1">#REF!</definedName>
    <definedName name="_bdm.f874738453994d9fa7a45c24497d828e.edm" hidden="1">#REF!</definedName>
    <definedName name="_bdm.F9A76E8F2FDC484DB105176A94D78344.edm" hidden="1">[6]Charts!$1:$1048576</definedName>
    <definedName name="_bdm.FastTrackBookmark.1_18_2019_3_18_25_PM.edm" hidden="1">#REF!</definedName>
    <definedName name="_bdm.FB51049EF56344D38D3633CD14F7B1FF.edm" hidden="1">'[3]Distributor equity performance'!$1:$1048576</definedName>
    <definedName name="_bdm.FEA33AD468264489846F7312C498EB2F.edm" hidden="1">'[8]8'!$1:$1048576</definedName>
    <definedName name="_bdm.FEC99CB30DCC42E98F5EC88F47038578.edm" hidden="1">'[6]Housing forecasts'!$1:$1048576</definedName>
    <definedName name="_c" hidden="1">{"Fiesta Facer Page",#N/A,FALSE,"Q_C_S";"Fiesta Main Page",#N/A,FALSE,"V_L";"Fiesta 95BP Struct",#N/A,FALSE,"StructBP";"Fiesta Post 95BP Struct",#N/A,FALSE,"AdjStructBP"}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ill" hidden="1">#REF!</definedName>
    <definedName name="_Fill2" hidden="1">#REF!</definedName>
    <definedName name="_xlnm._FilterDatabase" localSheetId="15" hidden="1">Sick!$B$2:$K$57</definedName>
    <definedName name="_key02" hidden="1">#N/A</definedName>
    <definedName name="_Key1" hidden="1">#REF!</definedName>
    <definedName name="_Key2" hidden="1">#REF!</definedName>
    <definedName name="_key9" hidden="1">#REF!</definedName>
    <definedName name="_new1" hidden="1">{#N/A,#N/A,FALSE,"Pharm";#N/A,#N/A,FALSE,"WWCM"}</definedName>
    <definedName name="_ok2" hidden="1">{"ReportTop",#N/A,FALSE,"report top"}</definedName>
    <definedName name="_Order1" hidden="1">0</definedName>
    <definedName name="_Order2" hidden="1">255</definedName>
    <definedName name="_Parse_In" hidden="1">#REF!</definedName>
    <definedName name="_r" hidden="1">{#N/A,#N/A,FALSE,"Pharm";#N/A,#N/A,FALSE,"WWCM"}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m1" hidden="1">{#N/A,#N/A,FALSE,"Pharm";#N/A,#N/A,FALSE,"WWCM"}</definedName>
    <definedName name="_TMAutoChartCount" hidden="1">6</definedName>
    <definedName name="_UNDO_UPS_" hidden="1">#REF!</definedName>
    <definedName name="_UNDO_UPS_SEL_" hidden="1">#REF!</definedName>
    <definedName name="_UNDO31X31X_" hidden="1">#REF!</definedName>
    <definedName name="_wrn5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_X2" hidden="1">{#N/A,#N/A,FALSE,"Other";#N/A,#N/A,FALSE,"Ace";#N/A,#N/A,FALSE,"Derm"}</definedName>
    <definedName name="aaa" hidden="1">{#N/A,#N/A,FALSE,"Pharm";#N/A,#N/A,FALSE,"WWCM"}</definedName>
    <definedName name="AAA_DOCTOPS" hidden="1">"AAA_SET"</definedName>
    <definedName name="AAA_duser" hidden="1">"OFF"</definedName>
    <definedName name="aaaa" hidden="1">{#N/A,#N/A,FALSE,"REPORT"}</definedName>
    <definedName name="aaaaa" hidden="1">{#N/A,#N/A,FALSE,"REPORT"}</definedName>
    <definedName name="aaaaaa" hidden="1">{#N/A,#N/A,FALSE,"REPORT"}</definedName>
    <definedName name="aaaaaaa" hidden="1">{#N/A,#N/A,FALSE,"REPORT"}</definedName>
    <definedName name="aaaaaaaaaaa" hidden="1">{#N/A,#N/A,FALSE,"REPORT"}</definedName>
    <definedName name="aaaaaaaaaaaaaaa" hidden="1">{#N/A,#N/A,FALSE,"Pharm";#N/A,#N/A,FALSE,"WWCM"}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c" hidden="1">{#N/A,#N/A,FALSE,"REPORT"}</definedName>
    <definedName name="Access_Button" hidden="1">"feb97_Eligible_Proj_List2"</definedName>
    <definedName name="AccessDatabase" hidden="1">"C:\My Documents\Zeus.mdb"</definedName>
    <definedName name="ad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adfa" hidden="1">{"ReportTop",#N/A,FALSE,"report top"}</definedName>
    <definedName name="adfgasdysty" hidden="1">{#N/A,#N/A,FALSE,"REPORT"}</definedName>
    <definedName name="adfsfjfjky" hidden="1">{#N/A,#N/A,FALSE,"REPORT"}</definedName>
    <definedName name="adsfdsf" hidden="1">{"fis.dbo.r1_datasum"}</definedName>
    <definedName name="afas" hidden="1">#N/A</definedName>
    <definedName name="afd" hidden="1">{"one",#N/A,TRUE,"Alaska";"two",#N/A,TRUE,"Alaska";"three",#N/A,TRUE,"Alaska";"four",#N/A,TRUE,"Alaska"}</definedName>
    <definedName name="AFDADSFDAS" hidden="1">{#N/A,#N/A,FALSE,"REPORT"}</definedName>
    <definedName name="africa" hidden="1">{#N/A,#N/A,FALSE,"CNS";#N/A,#N/A,FALSE,"Serz";#N/A,#N/A,FALSE,"Ace"}</definedName>
    <definedName name="agafdhsdh" hidden="1">{#N/A,#N/A,FALSE,"REPORT"}</definedName>
    <definedName name="agsgaghgfj" hidden="1">{#N/A,#N/A,FALSE,"Pharm";#N/A,#N/A,FALSE,"WWCM"}</definedName>
    <definedName name="alex" hidden="1">{#N/A,#N/A,FALSE,"REPORT"}</definedName>
    <definedName name="alexan" hidden="1">{#N/A,#N/A,FALSE,"REPORT"}</definedName>
    <definedName name="all" hidden="1">{#N/A,#N/A,FALSE,"Summary"}</definedName>
    <definedName name="AmmUrea" hidden="1">"BWP"</definedName>
    <definedName name="ammurea2" hidden="1">"78ZIIY49607QXW2XCWGQSJDIS"</definedName>
    <definedName name="amy" hidden="1">{#N/A,#N/A,TRUE,"Proj";#N/A,#N/A,TRUE,"Crew";#N/A,#N/A,TRUE,"Month"}</definedName>
    <definedName name="andy" hidden="1">{#N/A,#N/A,FALSE,"REPORT"}</definedName>
    <definedName name="anscount" hidden="1">1</definedName>
    <definedName name="AS" hidden="1">{#N/A,#N/A,FALSE,"Pharm";#N/A,#N/A,FALSE,"WWCM"}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44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{#N/A,#N/A,FALSE,"Pharm";#N/A,#N/A,FALSE,"WWCM"}</definedName>
    <definedName name="asasa" hidden="1">#N/A</definedName>
    <definedName name="asd" hidden="1">{#N/A,#N/A,FALSE,"Pharm";#N/A,#N/A,FALSE,"WWCM"}</definedName>
    <definedName name="asdasd" hidden="1">{"fis.dbo.r1_datasum"}</definedName>
    <definedName name="asdfg" hidden="1">{#N/A,#N/A,FALSE,"Pharm";#N/A,#N/A,FALSE,"WWCM"}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sadsd" hidden="1">'[9]BB Data'!#REF!</definedName>
    <definedName name="asf" hidden="1">{"bs",#N/A,FALSE,"SCF"}</definedName>
    <definedName name="asffghujyki" hidden="1">{#N/A,#N/A,FALSE,"Pharm";#N/A,#N/A,FALSE,"WWCM"}</definedName>
    <definedName name="asfsafs" hidden="1">#N/A</definedName>
    <definedName name="ASSA" hidden="1">{#N/A,#N/A,FALSE,"1";#N/A,#N/A,FALSE,"2";#N/A,#N/A,FALSE,"16 - 17";#N/A,#N/A,FALSE,"18 - 19";#N/A,#N/A,FALSE,"26";#N/A,#N/A,FALSE,"27";#N/A,#N/A,FALSE,"28"}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{#N/A,#N/A,FALSE,"Summary"}</definedName>
    <definedName name="Barg" hidden="1">'[10]Industry Data'!$A$3</definedName>
    <definedName name="bb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bb_MkQyNDUwOEIwMjhDNDAyRU" hidden="1">#REF!</definedName>
    <definedName name="bb_NjY1MTg4MTFCQUYyNEFBND" hidden="1">#REF!</definedName>
    <definedName name="bb_OUVGQzgyOUEzRUY3NEY3NU" hidden="1">#REF!</definedName>
    <definedName name="bb_Q0JCNzY0NDYzMDI0NEQ5ME" hidden="1">#REF!</definedName>
    <definedName name="bb_QkQ3MDc1OEMwMUZFNDAyNT" hidden="1">#REF!</definedName>
    <definedName name="bb_QTU2RUU2NTgxRTk5NEQxRE" hidden="1">#REF!</definedName>
    <definedName name="bb_RThGNEMzREVDQzE0NEQ5Qk" hidden="1">#REF!</definedName>
    <definedName name="bbb" hidden="1">{#N/A,#N/A,FALSE,"Pharm";#N/A,#N/A,FALSE,"WWCM"}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bdg" hidden="1">{"One",#N/A,FALSE,"Acquisitions";"Two",#N/A,FALSE,"Acquisitions"}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10" hidden="1">#REF!</definedName>
    <definedName name="BLPH101" hidden="1">[11]Data!#REF!</definedName>
    <definedName name="BLPH102" hidden="1">'[12]Comp Data'!#REF!</definedName>
    <definedName name="BLPH103" hidden="1">'[12]Comp Data'!#REF!</definedName>
    <definedName name="BLPH104" hidden="1">'[12]Comp Data'!#REF!</definedName>
    <definedName name="BLPH105" hidden="1">'[12]Comp Data'!#REF!</definedName>
    <definedName name="BLPH106" hidden="1">'[12]Comp Data'!#REF!</definedName>
    <definedName name="BLPH11" hidden="1">#REF!</definedName>
    <definedName name="BLPH12" hidden="1">#REF!</definedName>
    <definedName name="BLPH13" hidden="1">#REF!</definedName>
    <definedName name="BLPH135" hidden="1">[13]Sheet4!#REF!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[14]Sheet1!#REF!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[15]Data!#REF!</definedName>
    <definedName name="BLPH146" hidden="1">#REF!</definedName>
    <definedName name="BLPH147" hidden="1">#REF!</definedName>
    <definedName name="BLPH148" hidden="1">#REF!</definedName>
    <definedName name="BLPH149" hidden="1">[15]Data!#REF!</definedName>
    <definedName name="BLPH15" hidden="1">[14]Sheet1!#REF!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'[16]Int. Rate Data'!$A$450</definedName>
    <definedName name="BLPH155" hidden="1">'[16]Int. Rate Data'!$D$450</definedName>
    <definedName name="BLPH156" hidden="1">'[16]Int. Rate Data'!$G$450</definedName>
    <definedName name="BLPH157" hidden="1">'[16]Int. Rate Data'!$J$450</definedName>
    <definedName name="BLPH158" hidden="1">#REF!</definedName>
    <definedName name="BLPH159" hidden="1">'[15]Comp Data'!#REF!</definedName>
    <definedName name="BLPH16" hidden="1">[17]Sheet1!#REF!</definedName>
    <definedName name="BLPH160" hidden="1">'[15]Comp Data'!#REF!</definedName>
    <definedName name="BLPH161" hidden="1">'[15]Comp Data'!#REF!</definedName>
    <definedName name="BLPH162" hidden="1">'[15]Comp Data'!#REF!</definedName>
    <definedName name="BLPH163" hidden="1">'[15]Comp Data'!#REF!</definedName>
    <definedName name="BLPH164" hidden="1">[15]Data!#REF!</definedName>
    <definedName name="BLPH165" hidden="1">[15]Data!#REF!</definedName>
    <definedName name="BLPH166" hidden="1">[15]Data!#REF!</definedName>
    <definedName name="BLPH167" hidden="1">[15]Data!#REF!</definedName>
    <definedName name="BLPH168" hidden="1">[15]Data!#REF!</definedName>
    <definedName name="BLPH169" hidden="1">[15]Data!#REF!</definedName>
    <definedName name="BLPH17" hidden="1">[17]Sheet1!#REF!</definedName>
    <definedName name="BLPH170" hidden="1">[15]Data!#REF!</definedName>
    <definedName name="BLPH171" hidden="1">[15]Data!#REF!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[15]Data!#REF!</definedName>
    <definedName name="BLPH177" hidden="1">[15]Data!#REF!</definedName>
    <definedName name="BLPH178" hidden="1">[15]Data!#REF!</definedName>
    <definedName name="BLPH179" hidden="1">[15]Data!#REF!</definedName>
    <definedName name="BLPH18" hidden="1">[17]Sheet1!#REF!</definedName>
    <definedName name="BLPH180" hidden="1">[15]Data!#REF!</definedName>
    <definedName name="BLPH181" hidden="1">[15]Data!#REF!</definedName>
    <definedName name="BLPH182" hidden="1">'[15]Comp Data'!#REF!</definedName>
    <definedName name="BLPH183" hidden="1">'[15]Comp Data'!#REF!</definedName>
    <definedName name="BLPH184" hidden="1">'[15]Comp Data'!#REF!</definedName>
    <definedName name="BLPH185" hidden="1">'[15]Comp Data'!#REF!</definedName>
    <definedName name="BLPH186" hidden="1">'[15]Comp Data'!#REF!</definedName>
    <definedName name="BLPH187" hidden="1">'[15]Comp Data'!#REF!</definedName>
    <definedName name="BLPH188" hidden="1">#REF!</definedName>
    <definedName name="BLPH189" hidden="1">#REF!</definedName>
    <definedName name="BLPH19" hidden="1">[17]Sheet1!#REF!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[17]Sheet1!#REF!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[17]Sheet1!#REF!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[15]Data!#REF!</definedName>
    <definedName name="BLPH217" hidden="1">[15]Data!#REF!</definedName>
    <definedName name="BLPH218" hidden="1">[15]Data!#REF!</definedName>
    <definedName name="BLPH219" hidden="1">[15]Data!#REF!</definedName>
    <definedName name="BLPH22" hidden="1">[17]Sheet1!#REF!</definedName>
    <definedName name="BLPH220" hidden="1">[15]Data!#REF!</definedName>
    <definedName name="BLPH221" hidden="1">[15]Data!#REF!</definedName>
    <definedName name="BLPH222" hidden="1">[15]Data!#REF!</definedName>
    <definedName name="BLPH223" hidden="1">[15]Data!#REF!</definedName>
    <definedName name="BLPH224" hidden="1">#REF!</definedName>
    <definedName name="BLPH225" hidden="1">'[18]Pvol Data'!#REF!</definedName>
    <definedName name="BLPH226" hidden="1">'[18]Pvol Data'!#REF!</definedName>
    <definedName name="BLPH227" hidden="1">#REF!</definedName>
    <definedName name="BLPH228" hidden="1">#REF!</definedName>
    <definedName name="BLPH229" hidden="1">#REF!</definedName>
    <definedName name="BLPH23" hidden="1">[17]Sheet1!#REF!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[17]Sheet1!#REF!</definedName>
    <definedName name="BLPH240" hidden="1">#REF!</definedName>
    <definedName name="BLPH241" hidden="1">#REF!</definedName>
    <definedName name="BLPH242" hidden="1">#REF!</definedName>
    <definedName name="BLPH243" hidden="1">'[18]Pvol Data'!#REF!</definedName>
    <definedName name="BLPH244" hidden="1">#REF!</definedName>
    <definedName name="BLPH245" hidden="1">#REF!</definedName>
    <definedName name="BLPH246" hidden="1">'[18]Debt Data'!#REF!</definedName>
    <definedName name="BLPH247" hidden="1">'[18]Debt Data'!#REF!</definedName>
    <definedName name="BLPH248" hidden="1">'[18]Debt Data'!#REF!</definedName>
    <definedName name="BLPH249" hidden="1">'[18]Debt Data'!#REF!</definedName>
    <definedName name="BLPH25" hidden="1">[17]Sheet1!#REF!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[19]Sheet1!#REF!</definedName>
    <definedName name="BLPH258" hidden="1">[19]Sheet1!#REF!</definedName>
    <definedName name="BLPH259" hidden="1">[19]Sheet1!#REF!</definedName>
    <definedName name="BLPH26" hidden="1">[17]Sheet1!#REF!</definedName>
    <definedName name="BLPH260" hidden="1">[19]Sheet1!#REF!</definedName>
    <definedName name="BLPH261" hidden="1">[19]Sheet1!#REF!</definedName>
    <definedName name="BLPH262" hidden="1">[19]Sheet1!#REF!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[17]Sheet1!#REF!</definedName>
    <definedName name="BLPH270" hidden="1">#REF!</definedName>
    <definedName name="BLPH271" hidden="1">#REF!</definedName>
    <definedName name="BLPH272" hidden="1">#REF!</definedName>
    <definedName name="BLPH273" hidden="1">[20]Data!#REF!</definedName>
    <definedName name="BLPH274" hidden="1">[20]Data!#REF!</definedName>
    <definedName name="BLPH275" hidden="1">[20]Data!#REF!</definedName>
    <definedName name="BLPH276" hidden="1">[20]Data!#REF!</definedName>
    <definedName name="BLPH277" hidden="1">#REF!</definedName>
    <definedName name="BLPH278" hidden="1">[20]Data!#REF!</definedName>
    <definedName name="BLPH279" hidden="1">[20]Data!#REF!</definedName>
    <definedName name="BLPH28" hidden="1">[17]Sheet1!#REF!</definedName>
    <definedName name="BLPH280" hidden="1">[20]Data!#REF!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[17]Sheet1!$S$3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[21]yields!#REF!</definedName>
    <definedName name="BLPH30" hidden="1">[17]Sheet1!#REF!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[17]Sheet1!#REF!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[17]Sheet1!#REF!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[17]Sheet1!#REF!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[17]Sheet1!#REF!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[17]Sheet1!#REF!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[17]Sheet1!#REF!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[17]Sheet1!#REF!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[17]Sheet1!#REF!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[17]Sheet1!#REF!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[22]Data!#REF!</definedName>
    <definedName name="BLPH40" hidden="1">[17]Sheet1!#REF!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[17]Sheet1!#REF!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'[15]Comp Data'!#REF!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'[15]Comp Data'!#REF!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'[15]Comp Data'!#REF!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'[15]Comp Data'!#REF!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'[15]Comp Data'!#REF!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1" hidden="1">[23]Data!#REF!</definedName>
    <definedName name="BLPH511" hidden="1">'[24]TSE info'!#REF!</definedName>
    <definedName name="BLPH512" hidden="1">'[24]TSE info'!#REF!</definedName>
    <definedName name="BLPH513" hidden="1">'[24]TSE info'!#REF!</definedName>
    <definedName name="BLPH514" hidden="1">'[24]TSE info'!#REF!</definedName>
    <definedName name="BLPH515" hidden="1">'[24]TSE info'!#REF!</definedName>
    <definedName name="BLPH516" hidden="1">'[24]cap markets data'!#REF!</definedName>
    <definedName name="BLPH52" hidden="1">[15]Data!#REF!</definedName>
    <definedName name="BLPH520" hidden="1">'[25]PUblic Float data'!#REF!</definedName>
    <definedName name="BLPH523" hidden="1">'[25]PUblic Float data'!#REF!</definedName>
    <definedName name="BLPH524" hidden="1">'[25]PUblic Float data'!#REF!</definedName>
    <definedName name="BLPH53" hidden="1">[15]Data!#REF!</definedName>
    <definedName name="BLPH531" hidden="1">'[26]BB Info'!#REF!</definedName>
    <definedName name="BLPH535" hidden="1">'[27]Trading Stats'!#REF!</definedName>
    <definedName name="BLPH536" hidden="1">'[27]Trading Stats'!#REF!</definedName>
    <definedName name="BLPH537" hidden="1">[28]Sheet1!#REF!</definedName>
    <definedName name="BLPH538" hidden="1">[28]Sheet1!#REF!</definedName>
    <definedName name="BLPH539" hidden="1">[28]Sheet1!#REF!</definedName>
    <definedName name="BLPH540" hidden="1">[28]Sheet1!#REF!</definedName>
    <definedName name="BLPH56" hidden="1">[15]Data!#REF!</definedName>
    <definedName name="BLPH57" hidden="1">[15]Data!#REF!</definedName>
    <definedName name="BLPH58" hidden="1">[15]Data!#REF!</definedName>
    <definedName name="BLPH59" hidden="1">#REF!</definedName>
    <definedName name="BLPH6" hidden="1">#REF!</definedName>
    <definedName name="BLPH60" hidden="1">[29]data!#REF!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9" hidden="1">[30]Data!#REF!</definedName>
    <definedName name="BLPH8" hidden="1">#REF!</definedName>
    <definedName name="BLPH81" hidden="1">[31]Data!#REF!</definedName>
    <definedName name="BLPH83" hidden="1">[11]Data!#REF!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[11]Data!#REF!</definedName>
    <definedName name="BLPH89" hidden="1">[11]Data!#REF!</definedName>
    <definedName name="BLPH9" hidden="1">#REF!</definedName>
    <definedName name="BLPH90" hidden="1">[11]Data!#REF!</definedName>
    <definedName name="BLPH91" hidden="1">[11]Data!#REF!</definedName>
    <definedName name="BLPH92" hidden="1">[11]Data!#REF!</definedName>
    <definedName name="BLPH93" hidden="1">[11]Data!#REF!</definedName>
    <definedName name="BLPH94" hidden="1">[11]Data!#REF!</definedName>
    <definedName name="BLPH95" hidden="1">[11]Data!#REF!</definedName>
    <definedName name="bnm" hidden="1">{#N/A,#N/A,FALSE,"REPORT"}</definedName>
    <definedName name="book" hidden="1">IF([32]SALT!$G$11=0,IF(ISBLANK([32]SALT!$I$11),0,[32]SALT!$I$11),IF(ISBLANK([32]SALT!$I$11),[32]SALT!$G$11,[32]SALT!$I$11))</definedName>
    <definedName name="c.LTMYear" hidden="1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ert" hidden="1">{"fis.dbo.r1_datasum"}</definedName>
    <definedName name="cert1" hidden="1">{"fis.dbo.r1_datasum"}</definedName>
    <definedName name="ChangeRange" hidden="1">#N/A</definedName>
    <definedName name="Chart" hidden="1">{#N/A,#N/A,FALSE,"Pharm";#N/A,#N/A,FALSE,"WWCM"}</definedName>
    <definedName name="chosie" hidden="1">{#N/A,#N/A,FALSE,"Pharm";#N/A,#N/A,FALSE,"WWCM"}</definedName>
    <definedName name="CIQWBGuid" hidden="1">"133b66a9-29c0-488e-8429-70ba43400220"</definedName>
    <definedName name="cm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COGstandard" hidden="1">{#N/A,#N/A,FALSE,"Pharm";#N/A,#N/A,FALSE,"WWCM"}</definedName>
    <definedName name="CompPie" hidden="1">{"one",#N/A,TRUE,"Alaska";"two",#N/A,TRUE,"Alaska";"three",#N/A,TRUE,"Alaska";"four",#N/A,TRUE,"Alaska"}</definedName>
    <definedName name="conflict" hidden="1">{#N/A,#N/A,FALSE,"Aging Summary";#N/A,#N/A,FALSE,"Ratio Analysis";#N/A,#N/A,FALSE,"Test 120 Day Accts";#N/A,#N/A,FALSE,"Tickmarks"}</definedName>
    <definedName name="conflicted" hidden="1">{#N/A,#N/A,FALSE,"Aging Summary";#N/A,#N/A,FALSE,"Ratio Analysis";#N/A,#N/A,FALSE,"Test 120 Day Accts";#N/A,#N/A,FALSE,"Tickmarks"}</definedName>
    <definedName name="ContentsHelp" hidden="1">#N/A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reateTable" hidden="1">#N/A</definedName>
    <definedName name="cursource" hidden="1">"SQLServer"</definedName>
    <definedName name="cx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ge" hidden="1">{#N/A,#N/A,FALSE,"Aging Summary";#N/A,#N/A,FALSE,"Ratio Analysis";#N/A,#N/A,FALSE,"Test 120 Day Accts";#N/A,#N/A,FALSE,"Tickmarks"}</definedName>
    <definedName name="Daily" hidden="1">0</definedName>
    <definedName name="dakfkjafgkeaj" hidden="1">{#N/A,#N/A,FALSE,"Pharm";#N/A,#N/A,FALSE,"WWCM"}</definedName>
    <definedName name="DAL_RESERVED" hidden="1">#REF!</definedName>
    <definedName name="DALFirstRange" hidden="1">#REF!</definedName>
    <definedName name="DALS_GrandTotal" hidden="1">#REF!</definedName>
    <definedName name="DALS_Heading" hidden="1">#REF!</definedName>
    <definedName name="DATA_01" hidden="1">#REF!</definedName>
    <definedName name="DATA_08" hidden="1">#REF!</definedName>
    <definedName name="dbase_char_set" hidden="1">1</definedName>
    <definedName name="dbase_compatibility" hidden="1">1</definedName>
    <definedName name="dbase_dflt" hidden="1">TRUE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dd" hidden="1">{#N/A,#N/A,FALSE,"Pharm";#N/A,#N/A,FALSE,"WWCM"}</definedName>
    <definedName name="dddaz" hidden="1">{#N/A,#N/A,FALSE,"Pharm";#N/A,#N/A,FALSE,"WWCM"}</definedName>
    <definedName name="dddddd" hidden="1">{#N/A,#N/A,FALSE,"Pharm";#N/A,#N/A,FALSE,"WWCM"}</definedName>
    <definedName name="ddded" hidden="1">#REF!</definedName>
    <definedName name="ddedd" hidden="1">#REF!</definedName>
    <definedName name="ddedgd" hidden="1">#REF!</definedName>
    <definedName name="ddedge" hidden="1">#REF!</definedName>
    <definedName name="ddege" hidden="1">#REF!</definedName>
    <definedName name="ddegee" hidden="1">#REF!</definedName>
    <definedName name="dderre" hidden="1">#REF!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leteRange" hidden="1">#N/A</definedName>
    <definedName name="DeleteTable" hidden="1">#N/A</definedName>
    <definedName name="DEZLFEZKLHF" hidden="1">{#N/A,#N/A,FALSE,"Pharm";#N/A,#N/A,FALSE,"WWCM"}</definedName>
    <definedName name="dfd" hidden="1">{"Income (All hidden)",#N/A,FALSE,"Income";"EPS (All Hidden)",#N/A,FALSE,"EPS";"EPS (All Hidden)",#N/A,FALSE,"CashFlow";"Quarterly (Last, Current and Next)",#N/A,FALSE,"Quarterly"}</definedName>
    <definedName name="DFDD" hidden="1">{#N/A,#N/A,FALSE,"REPORT"}</definedName>
    <definedName name="dfd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dfgd" hidden="1">#N/A</definedName>
    <definedName name="dfgfd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fgfdg" hidden="1">#N/A</definedName>
    <definedName name="dfgsg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r" hidden="1">{#N/A,#N/A,FALSE,"Pharm";#N/A,#N/A,FALSE,"WWCM"}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dfg" hidden="1">{"Clothing PL",#N/A,FALSE,"H1H2";"Food PL",#N/A,FALSE,"H1H2";"Group PL",#N/A,FALSE,"H1H2";"Home Furnishings PL",#N/A,FALSE,"H1H2"}</definedName>
    <definedName name="dfsgfd" hidden="1">{"cap_structure",#N/A,FALSE,"Graph-Mkt Cap";"price",#N/A,FALSE,"Graph-Price";"ebit",#N/A,FALSE,"Graph-EBITDA";"ebitda",#N/A,FALSE,"Graph-EBITDA"}</definedName>
    <definedName name="dfsgg" hidden="1">{"inputs raw data",#N/A,TRUE,"INPUT"}</definedName>
    <definedName name="dfwefew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gdfgf" hidden="1">{"Page1",#N/A,FALSE,"CompCo";"Page2",#N/A,FALSE,"CompCo"}</definedName>
    <definedName name="djksljd" hidden="1">{#N/A,#N/A,FALSE,"Other";#N/A,#N/A,FALSE,"Ace";#N/A,#N/A,FALSE,"Derm"}</definedName>
    <definedName name="dkgahirghigf" hidden="1">{#N/A,#N/A,FALSE,"Pharm";#N/A,#N/A,FALSE,"WWCM"}</definedName>
    <definedName name="ds" hidden="1">{"Page1",#N/A,FALSE,"CompCo";"Page2",#N/A,FALSE,"CompCo"}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fgdsg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sfgfdg" hidden="1">{"bs",#N/A,FALSE,"SCF"}</definedName>
    <definedName name="dsfsffss" hidden="1">{#N/A,#N/A,FALSE,"Pharm";#N/A,#N/A,FALSE,"WWCM"}</definedName>
    <definedName name="ds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sgdf" hidden="1">{"Page1",#N/A,FALSE,"CompCo";"Page2",#N/A,FALSE,"CompCo"}</definedName>
    <definedName name="dsgfds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SHiddenYear1" hidden="1">'[33]Kingston 1st Amort Table'!$F$1</definedName>
    <definedName name="DSHiddenYear2" hidden="1">'[33]Kingston 1st Amort Table'!$G$1</definedName>
    <definedName name="DSHiddenYear3" hidden="1">'[33]Kingston 1st Amort Table'!$H$1</definedName>
    <definedName name="DSHiddenYear4" hidden="1">'[33]Kingston 1st Amort Table'!$I$1</definedName>
    <definedName name="DSIndHiddenYear1" hidden="1">'[33]Kingston 1st Amort Table'!$F$1</definedName>
    <definedName name="DSIndHiddenYear2" hidden="1">'[33]Kingston 1st Amort Table'!$G$1</definedName>
    <definedName name="DSIndHiddenYear3" hidden="1">'[33]Kingston 1st Amort Table'!$H$1</definedName>
    <definedName name="DSIndHiddenYear4" hidden="1">'[33]Kingston 1st Amort Table'!$I$1</definedName>
    <definedName name="DSIndHistHiddenYear2" hidden="1">'[33]Kingston 1st Amort Table'!$B$1</definedName>
    <definedName name="DSIndHistHiddenYear3" hidden="1">'[33]Kingston 1st Amort Table'!$C$1</definedName>
    <definedName name="DSIndHistHiddenYear4" hidden="1">'[33]Kingston 1st Amort Table'!$D$1</definedName>
    <definedName name="DSIndHistHiddenYear5" hidden="1">'[33]Kingston 1st Amort Table'!$E$1</definedName>
    <definedName name="dsthdryjcghmcg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UMMY" hidden="1">{#N/A,#N/A,FALSE,"Aging Summary";#N/A,#N/A,FALSE,"Ratio Analysis";#N/A,#N/A,FALSE,"Test 120 Day Accts";#N/A,#N/A,FALSE,"Tickmarks"}</definedName>
    <definedName name="dummy13" hidden="1">{#N/A,#N/A,FALSE,"Aging Summary";#N/A,#N/A,FALSE,"Ratio Analysis";#N/A,#N/A,FALSE,"Test 120 Day Accts";#N/A,#N/A,FALSE,"Tickmarks"}</definedName>
    <definedName name="dummy14" hidden="1">{#N/A,#N/A,FALSE,"Aging Summary";#N/A,#N/A,FALSE,"Ratio Analysis";#N/A,#N/A,FALSE,"Test 120 Day Accts";#N/A,#N/A,FALSE,"Tickmarks"}</definedName>
    <definedName name="dummy15" hidden="1">{#N/A,#N/A,FALSE,"Aging Summary";#N/A,#N/A,FALSE,"Ratio Analysis";#N/A,#N/A,FALSE,"Test 120 Day Accts";#N/A,#N/A,FALSE,"Tickmarks"}</definedName>
    <definedName name="dummy2" hidden="1">{#N/A,#N/A,FALSE,"Aging Summary";#N/A,#N/A,FALSE,"Ratio Analysis";#N/A,#N/A,FALSE,"Test 120 Day Accts";#N/A,#N/A,FALSE,"Tickmarks"}</definedName>
    <definedName name="dummy21" hidden="1">{#N/A,#N/A,FALSE,"Aging Summary";#N/A,#N/A,FALSE,"Ratio Analysis";#N/A,#N/A,FALSE,"Test 120 Day Accts";#N/A,#N/A,FALSE,"Tickmarks"}</definedName>
    <definedName name="dummy22" hidden="1">{#N/A,#N/A,FALSE,"Aging Summary";#N/A,#N/A,FALSE,"Ratio Analysis";#N/A,#N/A,FALSE,"Test 120 Day Accts";#N/A,#N/A,FALSE,"Tickmarks"}</definedName>
    <definedName name="dummy23" hidden="1">{#N/A,#N/A,FALSE,"Aging Summary";#N/A,#N/A,FALSE,"Ratio Analysis";#N/A,#N/A,FALSE,"Test 120 Day Accts";#N/A,#N/A,FALSE,"Tickmarks"}</definedName>
    <definedName name="dummy3" hidden="1">{#N/A,#N/A,FALSE,"Aging Summary";#N/A,#N/A,FALSE,"Ratio Analysis";#N/A,#N/A,FALSE,"Test 120 Day Accts";#N/A,#N/A,FALSE,"Tickmarks"}</definedName>
    <definedName name="dummy33" hidden="1">{#N/A,#N/A,FALSE,"Aging Summary";#N/A,#N/A,FALSE,"Ratio Analysis";#N/A,#N/A,FALSE,"Test 120 Day Accts";#N/A,#N/A,FALSE,"Tickmarks"}</definedName>
    <definedName name="dummy34" hidden="1">{#N/A,#N/A,FALSE,"Aging Summary";#N/A,#N/A,FALSE,"Ratio Analysis";#N/A,#N/A,FALSE,"Test 120 Day Accts";#N/A,#N/A,FALSE,"Tickmarks"}</definedName>
    <definedName name="dummy35" hidden="1">{#N/A,#N/A,FALSE,"Aging Summary";#N/A,#N/A,FALSE,"Ratio Analysis";#N/A,#N/A,FALSE,"Test 120 Day Accts";#N/A,#N/A,FALSE,"Tickmarks"}</definedName>
    <definedName name="edds" hidden="1">#REF!</definedName>
    <definedName name="ee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EEE" hidden="1">{#N/A,#N/A,FALSE,"Pharm";#N/A,#N/A,FALSE,"WWCM"}</definedName>
    <definedName name="eeeee" hidden="1">{#N/A,#N/A,FALSE,"Pharm";#N/A,#N/A,FALSE,"WWCM"}</definedName>
    <definedName name="eeerre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eetted" hidden="1">#REF!</definedName>
    <definedName name="efds" hidden="1">{#N/A,#N/A,FALSE,"H1H2";"Sales by division",#N/A,FALSE,"H1H2";"LFL assumptions",#N/A,FALSE,"H1H2"}</definedName>
    <definedName name="efff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fsd" hidden="1">#N/A</definedName>
    <definedName name="ejkfgkjze" hidden="1">{#N/A,#N/A,FALSE,"Pharm";#N/A,#N/A,FALSE,"WWCM"}</definedName>
    <definedName name="erd" hidden="1">{#N/A,#N/A,FALSE,"Pharm";#N/A,#N/A,FALSE,"WWCM"}</definedName>
    <definedName name="ere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eree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reed" hidden="1">#REF!</definedName>
    <definedName name="ere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g" hidden="1">{"summary1",#N/A,TRUE,"Comps";"summary2",#N/A,TRUE,"Comps";"summary3",#N/A,TRUE,"Comps"}</definedName>
    <definedName name="erre" hidden="1">{"inputs raw data",#N/A,TRUE,"INPUT"}</definedName>
    <definedName name="errere" hidden="1">{#N/A,#N/A,FALSE,"Broker Sheet";#N/A,#N/A,FALSE,"Exec.Summary";#N/A,#N/A,FALSE,"Argus Cash Flow";#N/A,#N/A,FALSE,"SPF";#N/A,#N/A,FALSE,"RentRoll"}</definedName>
    <definedName name="errr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rryeyetyuu" hidden="1">{#N/A,#N/A,FALSE,"Pharm";#N/A,#N/A,FALSE,"WWCM"}</definedName>
    <definedName name="ESSAI" hidden="1">{#N/A,#N/A,FALSE,"Pharm";#N/A,#N/A,FALSE,"WWCM"}</definedName>
    <definedName name="ev.Calculation" hidden="1">-4135</definedName>
    <definedName name="ev.Initialized" hidden="1">FALSE</definedName>
    <definedName name="EV__LASTREFTIME__" hidden="1">40749.6574884259</definedName>
    <definedName name="eweqwf" hidden="1">{"bs",#N/A,FALSE,"SCF"}</definedName>
    <definedName name="ewf" hidden="1">#N/A</definedName>
    <definedName name="ewr" hidden="1">{"cap_structure",#N/A,FALSE,"Graph-Mkt Cap";"price",#N/A,FALSE,"Graph-Price";"ebit",#N/A,FALSE,"Graph-EBITDA";"ebitda",#N/A,FALSE,"Graph-EBITDA"}</definedName>
    <definedName name="ewwe" hidden="1">{#N/A,#N/A,FALSE,"REPORT"}</definedName>
    <definedName name="fa" hidden="1">[34]Sheet1!$A$3</definedName>
    <definedName name="fafsdf" hidden="1">{"ReportTop",#N/A,FALSE,"report top"}</definedName>
    <definedName name="FDFD" hidden="1">{#N/A,#N/A,FALSE,"Pharm";#N/A,#N/A,FALSE,"WWCM"}</definedName>
    <definedName name="fdfg" hidden="1">#N/A</definedName>
    <definedName name="fdg" hidden="1">#N/A</definedName>
    <definedName name="fdgdfgdf" hidden="1">{"Page1",#N/A,FALSE,"CompCo";"Page2",#N/A,FALSE,"CompCo"}</definedName>
    <definedName name="fdgsdg" hidden="1">#N/A</definedName>
    <definedName name="fds" hidden="1">{#N/A,#N/A,FALSE,"Pharm";#N/A,#N/A,FALSE,"WWCM"}</definedName>
    <definedName name="fewfwefew" hidden="1">#N/A</definedName>
    <definedName name="ff" hidden="1">{#N/A,#N/A,FALSE,"Pharm";#N/A,#N/A,FALSE,"WWCM"}</definedName>
    <definedName name="ffd" hidden="1">{#N/A,#N/A,FALSE,"CAH";#N/A,#N/A,FALSE,"BEA";#N/A,#N/A,FALSE,"HAL";#N/A,#N/A,FALSE,"PEH";#N/A,#N/A,FALSE,"BES";#N/A,#N/A,FALSE,"DCM";#N/A,#N/A,FALSE,"DOH";#N/A,#N/A,FALSE,"BAR";#N/A,#N/A,FALSE,"HTE";#N/A,#N/A,FALSE,"FPH";#N/A,#N/A,FALSE,"DWH"}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f" hidden="1">{#N/A,#N/A,FALSE,"Pharm";#N/A,#N/A,FALSE,"WWCM"}</definedName>
    <definedName name="fffffff" hidden="1">{#N/A,#N/A,FALSE,"Pharm";#N/A,#N/A,FALSE,"WWCM"}</definedName>
    <definedName name="fg" hidden="1">{#N/A,#N/A,FALSE,"REPORT"}</definedName>
    <definedName name="fgdsfgd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hj" hidden="1">#N/A</definedName>
    <definedName name="fgkjkh" hidden="1">{#N/A,#N/A,FALSE,"REPORT"}</definedName>
    <definedName name="fgr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kf" hidden="1">{#N/A,#N/A,FALSE,"Aging Summary";#N/A,#N/A,FALSE,"Ratio Analysis";#N/A,#N/A,FALSE,"Test 120 Day Accts";#N/A,#N/A,FALSE,"Tickmarks"}</definedName>
    <definedName name="final2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JEZK" hidden="1">{#N/A,#N/A,FALSE,"Pharm";#N/A,#N/A,FALSE,"WWCM"}</definedName>
    <definedName name="fqww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sd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sfafd" hidden="1">{"CSheet",#N/A,FALSE,"C";"SmCap",#N/A,FALSE,"VAL1";"GulfCoast",#N/A,FALSE,"VAL1";"nav",#N/A,FALSE,"NAV";"Summary",#N/A,FALSE,"NAV"}</definedName>
    <definedName name="fssdf" hidden="1">#N/A</definedName>
    <definedName name="FVG" hidden="1">{#N/A,#N/A,FALSE,"Pharm";#N/A,#N/A,FALSE,"WWCM"}</definedName>
    <definedName name="g" hidden="1">{#N/A,#N/A,FALSE,"Pharm";#N/A,#N/A,FALSE,"WWCM"}</definedName>
    <definedName name="gdf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gdfgdf" hidden="1">{#N/A,#N/A,FALSE,"Pharm";#N/A,#N/A,FALSE,"WWCM"}</definedName>
    <definedName name="g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er" hidden="1">#N/A</definedName>
    <definedName name="gerergr" hidden="1">#N/A</definedName>
    <definedName name="gew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ewg" hidden="1">{"Clothing PL",#N/A,FALSE,"H1H2";"Food PL",#N/A,FALSE,"H1H2";"Group PL",#N/A,FALSE,"H1H2";"Home Furnishings PL",#N/A,FALSE,"H1H2"}</definedName>
    <definedName name="gfdjhjh" hidden="1">{#N/A,#N/A,FALSE,"Pharm";#N/A,#N/A,FALSE,"WWCM"}</definedName>
    <definedName name="gg" hidden="1">{#N/A,#N/A,FALSE,"États des résultats"}</definedName>
    <definedName name="gges" hidden="1">#REF!</definedName>
    <definedName name="gg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jggjh" hidden="1">{#N/A,#N/A,FALSE,"Pharm";#N/A,#N/A,FALSE,"WWCM"}</definedName>
    <definedName name="ghj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lobal1" hidden="1">{#N/A,#N/A,FALSE,"Pharm";#N/A,#N/A,FALSE,"WWCM"}</definedName>
    <definedName name="gr" hidden="1">#N/A</definedName>
    <definedName name="graph" hidden="1">{#N/A,#N/A,FALSE,"REPORT"}</definedName>
    <definedName name="gs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ygu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hf" hidden="1">#N/A</definedName>
    <definedName name="HFinGraph" hidden="1">{#N/A,#N/A,FALSE,"Pharm";#N/A,#N/A,FALSE,"WWCM"}</definedName>
    <definedName name="hgr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Hibh" hidden="1">{#N/A,#N/A,FALSE,"Pharm";#N/A,#N/A,FALSE,"WWCM"}</definedName>
    <definedName name="High" hidden="1">{#N/A,#N/A,FALSE,"Pharm";#N/A,#N/A,FALSE,"WWCM"}</definedName>
    <definedName name="hj" hidden="1">{#N/A,#N/A,FALSE,"Summary"}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k" hidden="1">{#N/A,#N/A,FALSE,"Pharm";#N/A,#N/A,FALSE,"WWCM"}</definedName>
    <definedName name="HKSH" hidden="1">{#N/A,#N/A,FALSE,"REPORT"}</definedName>
    <definedName name="HMG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'[35]CREDIT STATS'!$B$9:$K$14,'[35]CREDIT STATS'!$O$11:$X$18,'[35]CREDIT STATS'!$B$28:$K$37,'[35]CREDIT STATS'!$O$28:$X$32,'[35]CREDIT STATS'!$O$46:$X$46</definedName>
    <definedName name="hn.ModelVersion" hidden="1">1</definedName>
    <definedName name="hn.NoUpload" hidden="1">0</definedName>
    <definedName name="hn.PrivateLTMYear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r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TML_CodePage" hidden="1">1252</definedName>
    <definedName name="HTML_Control" hidden="1">{"'A'!$CL$1:$DB$170"}</definedName>
    <definedName name="HTML_Description" hidden="1">""</definedName>
    <definedName name="HTML_Email" hidden="1">""</definedName>
    <definedName name="HTML_Header" hidden="1">"Local Currency to US Dollar"</definedName>
    <definedName name="HTML_LastUpdate" hidden="1">"2/23/98"</definedName>
    <definedName name="HTML_LineAfter" hidden="1">FALSE</definedName>
    <definedName name="HTML_LineBefore" hidden="1">FALSE</definedName>
    <definedName name="HTML_Name" hidden="1">"†††††††††††"</definedName>
    <definedName name="HTML_OBDlg2" hidden="1">TRUE</definedName>
    <definedName name="HTML_OBDlg4" hidden="1">TRUE</definedName>
    <definedName name="HTML_OS" hidden="1">0</definedName>
    <definedName name="HTML_PathFile" hidden="1">"S:\shared\finrpt\fx\rates\mar98l.htm"</definedName>
    <definedName name="HTML_Title" hidden="1">"Local Currency to US Dollar"</definedName>
    <definedName name="htyuityuiotio" hidden="1">{#N/A,#N/A,FALSE,"REPORT"}</definedName>
    <definedName name="Hypertention" hidden="1">{#N/A,#N/A,FALSE,"Pharm";#N/A,#N/A,FALSE,"WWCM"}</definedName>
    <definedName name="hypo" hidden="1">{#N/A,#N/A,FALSE,"Pharm";#N/A,#N/A,FALSE,"WWCM"}</definedName>
    <definedName name="i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IIBBS" hidden="1">#REF!</definedName>
    <definedName name="int_ext_sel" hidden="1">2</definedName>
    <definedName name="IntroPrintArea" hidden="1">#REF!</definedName>
    <definedName name="IP" hidden="1">{#N/A,#N/A,FALSE,"Pharm";#N/A,#N/A,FALSE,"WWCM"}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Y" hidden="1">"c102"</definedName>
    <definedName name="IQ_CAL_Y_EST" hidden="1">"c6797"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"c360"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EST_CIQ" hidden="1">"c4959"</definedName>
    <definedName name="IQ_FFO_ADJ_GUIDANCE" hidden="1">"c4436"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GUIDANCE" hidden="1">"c4443"</definedName>
    <definedName name="IQ_FFO_HIGH_EST" hidden="1">"c419"</definedName>
    <definedName name="IQ_FFO_HIGH_EST_CIQ" hidden="1">"c3670"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CIQ" hidden="1">"c3671"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NO_EST" hidden="1">"c276"</definedName>
    <definedName name="IQ_FFO_NUM_EST" hidden="1">"c421"</definedName>
    <definedName name="IQ_FFO_NUM_EST_CIQ" hidden="1">"c3672"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TDDEV_EST" hidden="1">"c422"</definedName>
    <definedName name="IQ_FFO_STDDEV_EST_CIQ" hidden="1">"c3673"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"c893"</definedName>
    <definedName name="IQ_FINANCING_CASH_SUPPL" hidden="1">"c899"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Y" hidden="1">"c441"</definedName>
    <definedName name="IQ_FISCAL_Y_EST" hidden="1">"c6795"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42508.4386226852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"c362"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39727.3970833333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A10" hidden="1">"$A$11:$A$262"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C15" hidden="1">"$C$16:$C$20"</definedName>
    <definedName name="IQRC24" hidden="1">"$C$25:$C$29"</definedName>
    <definedName name="IQRD15" hidden="1">"$D$16:$D$17"</definedName>
    <definedName name="IQREventCompsAA11" hidden="1">'[36]Event Comps'!$AB$11</definedName>
    <definedName name="IQREventCompsAA12" hidden="1">'[36]Event Comps'!$AB$12</definedName>
    <definedName name="IQREventCompsAA13" hidden="1">'[36]Event Comps'!$AB$13</definedName>
    <definedName name="IQREventCompsAA16" hidden="1">'[36]Event Comps'!$AB$16:$AC$16</definedName>
    <definedName name="IQREventCompsAA17" hidden="1">'[36]Event Comps'!$AB$17</definedName>
    <definedName name="IQREventCompsAA20" hidden="1">'[36]Event Comps'!$AB$20</definedName>
    <definedName name="IQREventCompsAA21" hidden="1">'[36]Event Comps'!$AB$21</definedName>
    <definedName name="IQREventCompsAA22" hidden="1">'[36]Event Comps'!$AB$22</definedName>
    <definedName name="IQREventCompsAA23" hidden="1">'[37]Event Comps'!$AB$23</definedName>
    <definedName name="IQREventCompsAA24" hidden="1">'[36]Event Comps'!$AB$24</definedName>
    <definedName name="IQREventCompsAA26" hidden="1">'[36]Event Comps'!$AB$26</definedName>
    <definedName name="IQREventCompsAA27" hidden="1">'[36]Event Comps'!$AB$27</definedName>
    <definedName name="IQREventCompsAA28" hidden="1">'[36]Event Comps'!$AB$28</definedName>
    <definedName name="IQREventCompsAA30" hidden="1">'[36]Event Comps'!$AB$30</definedName>
    <definedName name="IQREventCompsAA31" hidden="1">'[37]Event Comps'!$AB$31</definedName>
    <definedName name="IQREventCompsAA32" hidden="1">'[36]Event Comps'!$AB$32</definedName>
    <definedName name="IQREventCompsAA35" hidden="1">'[36]Event Comps'!$AB$35</definedName>
    <definedName name="IQREventCompsAA36" hidden="1">'[36]Event Comps'!$AB$36</definedName>
    <definedName name="IQREventCompsAA37" hidden="1">'[36]Event Comps'!$AB$37</definedName>
    <definedName name="IQREventCompsAA38" hidden="1">'[36]Event Comps'!$AB$38</definedName>
    <definedName name="IQREventCompsAA39" hidden="1">'[36]Event Comps'!$AB$39</definedName>
    <definedName name="IQREventCompsAA42" hidden="1">'[36]Event Comps'!$AB$42</definedName>
    <definedName name="IQREventCompsAA44" hidden="1">'[36]Event Comps'!$AB$44</definedName>
    <definedName name="IQREventCompsAA45" hidden="1">'[36]Event Comps'!$AB$45</definedName>
    <definedName name="IQREventCompsAA46" hidden="1">'[36]Event Comps'!$AB$46</definedName>
    <definedName name="IQREventCompsAA47" hidden="1">'[37]Event Comps'!$AB$47</definedName>
    <definedName name="IQREventCompsAA49" hidden="1">'[36]Event Comps'!$AB$49</definedName>
    <definedName name="IQREventCompsAA50" hidden="1">'[36]Event Comps'!$AB$50</definedName>
    <definedName name="IQREventCompsAA54" hidden="1">'[36]Event Comps'!$AB$54</definedName>
    <definedName name="IQREventCompsAA55" hidden="1">'[36]Event Comps'!$AB$55</definedName>
    <definedName name="IQREventCompsAA56" hidden="1">'[36]Event Comps'!$AB$56</definedName>
    <definedName name="IQREventCompsAA59" hidden="1">'[37]Event Comps'!$AB$59</definedName>
    <definedName name="IQREventCompsAA60" hidden="1">'[36]Event Comps'!$AB$60</definedName>
    <definedName name="IQREventCompsAA61" hidden="1">'[37]Event Comps'!$AB$61</definedName>
    <definedName name="IQREventCompsAA62" hidden="1">'[36]Event Comps'!$AB$62</definedName>
    <definedName name="IQREventCompsAA63" hidden="1">'[36]Event Comps'!$AB$63</definedName>
    <definedName name="IQREventCompsAA7" hidden="1">'[37]Event Comps'!$AB$7</definedName>
    <definedName name="IQREventCompsAA8" hidden="1">'[36]Event Comps'!$AB$8</definedName>
    <definedName name="IQREventCompsAA9" hidden="1">'[36]Event Comps'!$AB$9</definedName>
    <definedName name="IQRHistoricalOwnershipA14" hidden="1">'[38]Historical Ownership'!$A$15:$A$24</definedName>
    <definedName name="IQRHistoricalOwnershipAA14" hidden="1">'[38]Historical Ownership'!$AA$15:$AA$24</definedName>
    <definedName name="IQRHistoricalOwnershipB14" hidden="1">'[38]Historical Ownership'!$B$15:$B$24</definedName>
    <definedName name="IQRHistoricalOwnershipE14" hidden="1">'[38]Historical Ownership'!$E$15:$E$24</definedName>
    <definedName name="IQRHistoricalOwnershipG14" hidden="1">'[38]Historical Ownership'!$G$15:$G$24</definedName>
    <definedName name="IQRHistoricalOwnershipI14" hidden="1">'[38]Historical Ownership'!$I$15:$I$24</definedName>
    <definedName name="IQRHistoricalOwnershipK14" hidden="1">'[38]Historical Ownership'!$K$15:$K$24</definedName>
    <definedName name="IQRHistoricalOwnershipM14" hidden="1">'[38]Historical Ownership'!$M$15:$M$24</definedName>
    <definedName name="IQRHistoricalOwnershipO14" hidden="1">'[38]Historical Ownership'!$O$15:$O$24</definedName>
    <definedName name="IQRHistoricalOwnershipQ14" hidden="1">'[38]Historical Ownership'!$Q$15:$Q$24</definedName>
    <definedName name="IQRHistoricalOwnershipS14" hidden="1">'[38]Historical Ownership'!$S$15:$S$24</definedName>
    <definedName name="IQRHistoricalOwnershipU14" hidden="1">'[38]Historical Ownership'!$U$15:$U$24</definedName>
    <definedName name="IQRHistoricalOwnershipW14" hidden="1">'[38]Historical Ownership'!$W$15:$W$24</definedName>
    <definedName name="IQRHistoricalOwnershipY14" hidden="1">'[38]Historical Ownership'!$Y$15:$Y$24</definedName>
    <definedName name="Irbe" hidden="1">{#N/A,#N/A,FALSE,"Pharm";#N/A,#N/A,FALSE,"WWCM"}</definedName>
    <definedName name="j" hidden="1">{#N/A,#N/A,FALSE,"REPORT"}</definedName>
    <definedName name="jjj" hidden="1">{#N/A,#N/A,FALSE,"REPORT"}</definedName>
    <definedName name="jkl" hidden="1">{#N/A,#N/A,FALSE,"REPORT"}</definedName>
    <definedName name="judy" hidden="1">{#N/A,#N/A,FALSE,"Pharm";#N/A,#N/A,FALSE,"WWCM"}</definedName>
    <definedName name="judy1" hidden="1">{#N/A,#N/A,FALSE,"Pharm";#N/A,#N/A,FALSE,"WWCM"}</definedName>
    <definedName name="jytjytyj" hidden="1">#N/A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hgkj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iu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iukiu" hidden="1">{#N/A,#N/A,FALSE,"H1H2";"Sales by division",#N/A,FALSE,"H1H2";"LFL assumptions",#N/A,FALSE,"H1H2"}</definedName>
    <definedName name="kj" hidden="1">{"CASHFLOW",#N/A,FALSE,"Northpointe"}</definedName>
    <definedName name="kjhh" hidden="1">{"cap_structure",#N/A,FALSE,"Graph-Mkt Cap";"price",#N/A,FALSE,"Graph-Price";"ebit",#N/A,FALSE,"Graph-EBITDA";"ebitda",#N/A,FALSE,"Graph-EBITDA"}</definedName>
    <definedName name="kkk" hidden="1">{#N/A,#N/A,FALSE,"Pharm";#N/A,#N/A,FALSE,"WWCM"}</definedName>
    <definedName name="kl" hidden="1">'[9]BB Data'!#REF!</definedName>
    <definedName name="kslkjkjlkjd" hidden="1">{#N/A,#N/A,FALSE,"REPORT"}</definedName>
    <definedName name="kuikui" hidden="1">{"Clothing PL",#N/A,FALSE,"H1H2";"Food PL",#N/A,FALSE,"H1H2";"Group PL",#N/A,FALSE,"H1H2";"Home Furnishings PL",#N/A,FALSE,"H1H2"}</definedName>
    <definedName name="kyd.ChngCell.01." hidden="1">'[39]Income Statement'!#REF!</definedName>
    <definedName name="kyd.CounterLimitCell.01." hidden="1">"x"</definedName>
    <definedName name="kyd.Dim.01." hidden="1">"Count up"</definedName>
    <definedName name="kyd.ElementList.01." hidden="1">"x"</definedName>
    <definedName name="kyd.ElementType.01." hidden="1">3</definedName>
    <definedName name="kyd.ItemType.01." hidden="1">3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0</definedName>
    <definedName name="kyd.PanicStop." hidden="1">TRUE</definedName>
    <definedName name="kyd.PanicStopCell." hidden="1">'[39]Income Statement'!#REF!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StdWhen." hidden="1">1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""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KydColors_LumAValue" hidden="1">160</definedName>
    <definedName name="KydColors_LumBValue" hidden="1">245</definedName>
    <definedName name="KydColors_LumTValue" hidden="1">50</definedName>
    <definedName name="kyle" hidden="1">{"CASHFLOW",#N/A,FALSE,"Northpointe"}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e" hidden="1">{#N/A,#N/A,FALSE,"Pharm";#N/A,#N/A,FALSE,"WWCM"}</definedName>
    <definedName name="limcount" hidden="1">1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r" hidden="1">#REF!</definedName>
    <definedName name="mb_inputLocation" hidden="1">#REF!</definedName>
    <definedName name="MerrillPrintIt" hidden="1">#N/A</definedName>
    <definedName name="min" hidden="1">{#N/A,#N/A,FALSE,"REPORT"}</definedName>
    <definedName name="mina" hidden="1">{#N/A,#N/A,FALSE,"REPORT"}</definedName>
    <definedName name="mlw" hidden="1">{#N/A,#N/A,FALSE,"Pharm";#N/A,#N/A,FALSE,"WWCM"}</definedName>
    <definedName name="mo" hidden="1">{"fis.dbo.r1_datasum"}</definedName>
    <definedName name="Montessano" hidden="1">{#N/A,#N/A,FALSE,"Aging Summary";#N/A,#N/A,FALSE,"Ratio Analysis";#N/A,#N/A,FALSE,"Test 120 Day Accts";#N/A,#N/A,FALSE,"Tickmarks"}</definedName>
    <definedName name="mr" hidden="1">{#N/A,#N/A,FALSE,"Summary"}</definedName>
    <definedName name="Mt.Todd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mw" hidden="1">{#N/A,#N/A,FALSE,"Pharm";#N/A,#N/A,FALSE,"WWCM"}</definedName>
    <definedName name="n" hidden="1">{"fis.dbo.r1_datasum"}</definedName>
    <definedName name="newnewnew" hidden="1">{#N/A,#N/A,FALSE,"Pharm";#N/A,#N/A,FALSE,"WWCM"}</definedName>
    <definedName name="NewRange" hidden="1">#N/A</definedName>
    <definedName name="no" hidden="1">{#N/A,#N/A,FALSE,"Aging Summary";#N/A,#N/A,FALSE,"Ratio Analysis";#N/A,#N/A,FALSE,"Test 120 Day Accts";#N/A,#N/A,FALSE,"Tickmarks"}</definedName>
    <definedName name="non" hidden="1">#REF!</definedName>
    <definedName name="nor" hidden="1">#REF!</definedName>
    <definedName name="nouv" hidden="1">{#N/A,#N/A,FALSE,"Pharm";#N/A,#N/A,FALSE,"WWCM"}</definedName>
    <definedName name="OK" hidden="1">{#N/A,#N/A,FALSE,"REPORT"}</definedName>
    <definedName name="Omega" hidden="1">{"One",#N/A,FALSE,"Crossings";"Two",#N/A,FALSE,"Crossings";"Three",#N/A,FALSE,"Crossings";"Fous",#N/A,FALSE,"Crossings";"Five",#N/A,FALSE,"Crossings"}</definedName>
    <definedName name="ooo" hidden="1">{#N/A,#N/A,FALSE,"REPORT"}</definedName>
    <definedName name="oor" hidden="1">#REF!</definedName>
    <definedName name="ooy" hidden="1">#REF!</definedName>
    <definedName name="opendbs" hidden="1">{"fis.dbo.r1_datasum"}</definedName>
    <definedName name="opendbs1" hidden="1">{"fis.dbo.r1_datasum"}</definedName>
    <definedName name="oss" hidden="1">{"Monthly 1999 Stats",#N/A,FALSE,"Months";"Monthly 1999 IS",#N/A,FALSE,"Months"}</definedName>
    <definedName name="other33" hidden="1">{#N/A,#N/A,FALSE,"Pharm";#N/A,#N/A,FALSE,"WWCM"}</definedName>
    <definedName name="othermar" hidden="1">{#N/A,#N/A,FALSE,"Pharm";#N/A,#N/A,FALSE,"WWCM"}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harma" hidden="1">{#N/A,#N/A,FALSE,"Sales Graph";#N/A,#N/A,FALSE,"PSBM";#N/A,#N/A,FALSE,"BUC Graph";#N/A,#N/A,FALSE,"P&amp;L - YTD"}</definedName>
    <definedName name="pl" hidden="1">{#N/A,#N/A,FALSE,"REPORT"}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or" hidden="1">#REF!</definedName>
    <definedName name="port29" hidden="1">{#N/A,#N/A,FALSE,"Pharm";#N/A,#N/A,FALSE,"WWCM"}</definedName>
    <definedName name="PriceDrivers" hidden="1">#REF!</definedName>
    <definedName name="Procef" hidden="1">{#N/A,#N/A,FALSE,"Pharm";#N/A,#N/A,FALSE,"WWCM"}</definedName>
    <definedName name="prod" hidden="1">{#N/A,#N/A,FALSE,"Pharm";#N/A,#N/A,FALSE,"WWCM"}</definedName>
    <definedName name="prolinks_048602f7c19948ec8d05ca4367c47928" hidden="1">#REF!</definedName>
    <definedName name="prolinks_05af490382a543c7a5a492570e451b36" hidden="1">#REF!</definedName>
    <definedName name="prolinks_078db40271dc4ff0975062fd6dacf2d5" hidden="1">#REF!</definedName>
    <definedName name="prolinks_0f858f65553b4a4a8a9e5758561b52d2" hidden="1">#REF!</definedName>
    <definedName name="prolinks_150d57755c9f4490a2f49c2b68b3c9ff" hidden="1">#REF!</definedName>
    <definedName name="prolinks_2a225a2314df4c2fa6893bdd096dbf4d" hidden="1">#REF!</definedName>
    <definedName name="prolinks_2bd8fe5ce44d4ee59f32f2a19670a08c" hidden="1">#REF!</definedName>
    <definedName name="prolinks_2dab99579f4b438b810ddfafac47667a" hidden="1">#REF!</definedName>
    <definedName name="prolinks_3cc7eefa084f4d1a80b68c606225ba36" hidden="1">#REF!</definedName>
    <definedName name="prolinks_52819d04706d4a608f84bab92d1eb6e6" hidden="1">#REF!</definedName>
    <definedName name="prolinks_874b335b92eb436c92ee0ae5c1087763" hidden="1">#REF!</definedName>
    <definedName name="prolinks_8abba84c3be1443d827aab8cfca4e95d" hidden="1">#REF!</definedName>
    <definedName name="prolinks_a506acdb4b1040fa8b1c5bb789fbaa2b" hidden="1">#REF!</definedName>
    <definedName name="prolinks_a5d026ebfa5c4a4ab61b863ba3691142" hidden="1">#REF!</definedName>
    <definedName name="prolinks_a812fd5252a941f698ec90577b78a29a" hidden="1">#REF!</definedName>
    <definedName name="prolinks_ad54ad72228f41cdadfdbf93d8dc78cc" hidden="1">#REF!</definedName>
    <definedName name="prolinks_aed8993abe0f48cbbc30c7769cb289b7" hidden="1">#REF!</definedName>
    <definedName name="prolinks_b5defbcab4d6413aa3c702a93e53642e" hidden="1">#REF!</definedName>
    <definedName name="prolinks_d168e98bd9ba416faa48f4bdc6cf8700" hidden="1">#REF!</definedName>
    <definedName name="prolinks_d241c87f81d44962be1a229d5f6bcc6a" hidden="1">#REF!</definedName>
    <definedName name="prolinks_d9bff4aaf7254ab8ac6db6242aa65256" hidden="1">#REF!</definedName>
    <definedName name="prolinks_dfd69983cccc47fdb90bc17b9d272573" hidden="1">#REF!</definedName>
    <definedName name="prolinks_e2669971489746ee8a808d17b1e3d256" hidden="1">#REF!</definedName>
    <definedName name="prolinks_ec869ddbef764a0fb47b1996426341c0" hidden="1">#REF!</definedName>
    <definedName name="qaz" hidden="1">{#N/A,#N/A,FALSE,"Pharm";#N/A,#N/A,FALSE,"WWCM"}</definedName>
    <definedName name="qertweyu" hidden="1">{#N/A,#N/A,FALSE,"REPORT"}</definedName>
    <definedName name="qetryywt" hidden="1">{#N/A,#N/A,FALSE,"REPORT"}</definedName>
    <definedName name="qgq" hidden="1">#N/A</definedName>
    <definedName name="qor" hidden="1">#REF!</definedName>
    <definedName name="qqq" hidden="1">{#N/A,#N/A,FALSE,"Pharm";#N/A,#N/A,FALSE,"WWCM"}</definedName>
    <definedName name="qqwtweryey" hidden="1">{#N/A,#N/A,FALSE,"REPORT"}</definedName>
    <definedName name="qw" hidden="1">{#N/A,#N/A,FALSE,"REPORT"}</definedName>
    <definedName name="qwertqry" hidden="1">{#N/A,#N/A,FALSE,"REPORT"}</definedName>
    <definedName name="qwetqryetytu" hidden="1">{#N/A,#N/A,FALSE,"Pharm";#N/A,#N/A,FALSE,"WWCM"}</definedName>
    <definedName name="RedefinePrintTableRange" hidden="1">#N/A</definedName>
    <definedName name="reg" hidden="1">{"Page1",#N/A,FALSE,"CompCo";"Page2",#N/A,FALSE,"CompCo"}</definedName>
    <definedName name="reggie" hidden="1">{#N/A,#N/A,FALSE,"Pharm";#N/A,#N/A,FALSE,"WWCM"}</definedName>
    <definedName name="RESERVED_DATA" hidden="1">#REF!</definedName>
    <definedName name="resp." hidden="1">{#N/A,#N/A,FALSE,"Pharm";#N/A,#N/A,FALSE,"WWCM"}</definedName>
    <definedName name="rf2e" hidden="1">{#N/A,#N/A,FALSE,"Pharm";#N/A,#N/A,FALSE,"WWCM"}</definedName>
    <definedName name="rg" hidden="1">{"inputs raw data",#N/A,TRUE,"INPUT"}</definedName>
    <definedName name="rgw" hidden="1">#N/A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r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rrrrr" hidden="1">{#N/A,#N/A,FALSE,"Pharm";#N/A,#N/A,FALSE,"WWCM"}</definedName>
    <definedName name="rt" hidden="1">#N/A</definedName>
    <definedName name="rwert" hidden="1">{#N/A,#N/A,FALSE,"Pharm";#N/A,#N/A,FALSE,"WWCM"}</definedName>
    <definedName name="S_AcctDes" hidden="1">#REF!</definedName>
    <definedName name="S_Adjust" hidden="1">#REF!</definedName>
    <definedName name="S_AJE_Tot" hidden="1">#REF!</definedName>
    <definedName name="S_CompNum" hidden="1">#REF!</definedName>
    <definedName name="S_CY_Beg" hidden="1">#REF!</definedName>
    <definedName name="S_CY_End" hidden="1">#REF!</definedName>
    <definedName name="S_Diff_Amt" hidden="1">#REF!</definedName>
    <definedName name="S_Diff_Pct" hidden="1">#REF!</definedName>
    <definedName name="S_GrpNum" hidden="1">#REF!</definedName>
    <definedName name="S_PY_End" hidden="1">#REF!</definedName>
    <definedName name="S_RJE_Tot" hidden="1">#REF!</definedName>
    <definedName name="S_RowNum" hidden="1">#REF!</definedName>
    <definedName name="sa" hidden="1">"c3460"</definedName>
    <definedName name="sad" hidden="1">"c1591"</definedName>
    <definedName name="sadas" hidden="1">#N/A</definedName>
    <definedName name="sadf" hidden="1">{"ReportTop",#N/A,FALSE,"report top"}</definedName>
    <definedName name="safas" hidden="1">#N/A</definedName>
    <definedName name="safdsafd" hidden="1">[1]RENT!#REF!</definedName>
    <definedName name="sally" hidden="1">{#N/A,#N/A,FALSE,"Pharm";#N/A,#N/A,FALSE,"WWCM"}</definedName>
    <definedName name="SAPBEXdnldView" hidden="1">"AXKG26QADN5LL3949DFMQW1DF"</definedName>
    <definedName name="SAPBEXhrIndnt" hidden="1">2</definedName>
    <definedName name="SAPBEXrevision" hidden="1">1</definedName>
    <definedName name="SAPBEXsysID" hidden="1">"WP3"</definedName>
    <definedName name="SAPBEXwbID" hidden="1">"6AR8ET1AAIC7ANZ8VWUPS445Y"</definedName>
    <definedName name="SAPsysID" hidden="1">"708C5W7SBKP804JT78WJ0JNKI"</definedName>
    <definedName name="SAPwbID" hidden="1">"ARS"</definedName>
    <definedName name="SA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D" hidden="1">{#N/A,#N/A,FALSE,"Pharm";#N/A,#N/A,FALSE,"WWCM"}</definedName>
    <definedName name="sdafgs" hidden="1">{#N/A,#N/A,FALSE,"Pharm";#N/A,#N/A,FALSE,"WWCM"}</definedName>
    <definedName name="sdas" hidden="1">{"Total",#N/A,FALSE,"Six Fields";"PDP",#N/A,FALSE,"Six Fields";"PNP",#N/A,FALSE,"Six Fields";"PUD",#N/A,FALSE,"Six Fields";"Prob",#N/A,FALSE,"Six Fields"}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fdfsg" hidden="1">#N/A</definedName>
    <definedName name="sdfffd" hidden="1">#REF!</definedName>
    <definedName name="sdfgdgf" hidden="1">{"Page1",#N/A,FALSE,"CompCo";"Page2",#N/A,FALSE,"CompCo"}</definedName>
    <definedName name="sdfgds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dfgfdsg" hidden="1">{"summary1",#N/A,TRUE,"Comps";"summary2",#N/A,TRUE,"Comps";"summary3",#N/A,TRUE,"Comps"}</definedName>
    <definedName name="sdfgfsd" hidden="1">{#N/A,#N/A,FALSE,"H1H2";"Sales by division",#N/A,FALSE,"H1H2";"LFL assumptions",#N/A,FALSE,"H1H2"}</definedName>
    <definedName name="sdfh" hidden="1">{#N/A,#N/A,FALSE,"Pharm";#N/A,#N/A,FALSE,"WWCM"}</definedName>
    <definedName name="sdfsd" hidden="1">#N/A</definedName>
    <definedName name="sdgagf" hidden="1">{#N/A,#N/A,FALSE,"Pharm";#N/A,#N/A,FALSE,"WWCM"}</definedName>
    <definedName name="sdgfds" hidden="1">#N/A</definedName>
    <definedName name="sdgsdfg" hidden="1">#N/A</definedName>
    <definedName name="sdsa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dasd" hidden="1">{#N/A,#N/A,FALSE,"Pharm";#N/A,#N/A,FALSE,"WWCM"}</definedName>
    <definedName name="sdsd" hidden="1">{#N/A,#N/A,FALSE,"REPORT"}</definedName>
    <definedName name="SdS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encount" hidden="1">1</definedName>
    <definedName name="sf" hidden="1">{#N/A,#N/A,FALSE,"Sales Graph";#N/A,#N/A,FALSE,"BUC Graph";#N/A,#N/A,FALSE,"P&amp;L - YTD"}</definedName>
    <definedName name="sfdirect" hidden="1">{#N/A,#N/A,FALSE,"REPORT"}</definedName>
    <definedName name="sfgf" hidden="1">#N/A</definedName>
    <definedName name="sfgsdg" hidden="1">#N/A</definedName>
    <definedName name="sfsdc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hshryhasyhj" hidden="1">#N/A</definedName>
    <definedName name="shss" hidden="1">#N/A</definedName>
    <definedName name="Slicer_Property_Number" hidden="1">#N/A</definedName>
    <definedName name="sor" hidden="1">#REF!</definedName>
    <definedName name="sql_statement" hidden="1">"select distinct acct_cat,sum(cyr),sum(lyr),sum(cbd),mult_x000D_
from r1_datasum_x000D_
group by acct_cat_x000D_
_x000D_
"</definedName>
    <definedName name="ssadsa" hidden="1">{"Page1",#N/A,FALSE,"CompCo";"Page2",#N/A,FALSE,"CompCo"}</definedName>
    <definedName name="SSD" hidden="1">{#N/A,#N/A,FALSE,"REPORT"}</definedName>
    <definedName name="ssdfdfds" hidden="1">#REF!</definedName>
    <definedName name="ssdfds" hidden="1">{"Page1",#N/A,FALSE,"CompCo";"Page2",#N/A,FALSE,"CompCo"}</definedName>
    <definedName name="sss" hidden="1">{#N/A,#N/A,FALSE,"Pharm";#N/A,#N/A,FALSE,"WWCM"}</definedName>
    <definedName name="ssy" hidden="1">#N/A</definedName>
    <definedName name="Staril" hidden="1">{#N/A,#N/A,FALSE,"REPORT"}</definedName>
    <definedName name="Stelco" hidden="1">{"one",#N/A,TRUE,"Alaska";"two",#N/A,TRUE,"Alaska";"three",#N/A,TRUE,"Alaska";"four",#N/A,TRUE,"Alaska"}</definedName>
    <definedName name="StratPlanAP" hidden="1">{#N/A,#N/A,FALSE,"Pharm";#N/A,#N/A,FALSE,"WWCM"}</definedName>
    <definedName name="SUSAN" hidden="1">"9A0QY4PARP3W96NCRZULVIXX0"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" hidden="1">#N/A</definedName>
    <definedName name="taxol" hidden="1">{#N/A,#N/A,FALSE,"Pharm";#N/A,#N/A,FALSE,"WWCM"}</definedName>
    <definedName name="Tem" hidden="1">{#N/A,#N/A,FALSE,"Pharm";#N/A,#N/A,FALSE,"WWCM"}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st1" hidden="1">{#N/A,#N/A,TRUE,"Proj";#N/A,#N/A,TRUE,"Crew";#N/A,#N/A,TRUE,"Month"}</definedName>
    <definedName name="teste" hidden="1">{#N/A,#N/A,FALSE,"Pharm";#N/A,#N/A,FALSE,"WWCM"}</definedName>
    <definedName name="TextRefCopyRangeCount" hidden="1">16</definedName>
    <definedName name="tg" hidden="1">{"bs",#N/A,FALSE,"SCF"}</definedName>
    <definedName name="tor" hidden="1">#REF!</definedName>
    <definedName name="TP_Footer_Path" hidden="1">"S:\54900\2003EC\004\WORK\01 EC Review\"</definedName>
    <definedName name="TP_Footer_User" hidden="1">"Harlan Enns"</definedName>
    <definedName name="TP_Footer_Version" hidden="1">"v3.00"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I" hidden="1">{#N/A,#N/A,FALSE,"COVER";#N/A,#N/A,FALSE,"PF ASSUMPT";#N/A,#N/A,FALSE,"PF EPS";#N/A,#N/A,FALSE,"CASHFLOWS";#N/A,#N/A,FALSE,"BALANCESHEET"}</definedName>
    <definedName name="tryeuyit" hidden="1">{#N/A,#N/A,FALSE,"Pharm";#N/A,#N/A,FALSE,"WWCM"}</definedName>
    <definedName name="ts" hidden="1">{"CASHFLOW",#N/A,FALSE,"Northpointe"}</definedName>
    <definedName name="tt" hidden="1">{#N/A,#N/A,FALSE,"Aging Summary";#N/A,#N/A,FALSE,"Ratio Analysis";#N/A,#N/A,FALSE,"Test 120 Day Accts";#N/A,#N/A,FALSE,"Tickmarks"}</definedName>
    <definedName name="ttrrt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yutytyi" hidden="1">{#N/A,#N/A,FALSE,"Pharm";#N/A,#N/A,FALSE,"WWCM"}</definedName>
    <definedName name="tyyufkjkhjd" hidden="1">{#N/A,#N/A,FALSE,"Pharm";#N/A,#N/A,FALSE,"WWCM"}</definedName>
    <definedName name="u" hidden="1">{"CSheet",#N/A,FALSE,"C";"SmCap",#N/A,FALSE,"VAL1";"GulfCoast",#N/A,FALSE,"VAL1";"nav",#N/A,FALSE,"NAV";"Summary",#N/A,FALSE,"NAV"}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v" hidden="1">#REF!</definedName>
    <definedName name="vaaaaaavavv" hidden="1">#N/A</definedName>
    <definedName name="Valuation" hidden="1">{#N/A,#N/A,FALSE,"COVER";#N/A,#N/A,FALSE,"ASSUMPTIONS";#N/A,#N/A,FALSE,"EPSMODEL";#N/A,#N/A,FALSE,"CASHFLOWS";#N/A,#N/A,FALSE,"BALANCESHEET"}</definedName>
    <definedName name="w" hidden="1">"DDTZAK24JMUNZ1TZUKW0CHKQC"</definedName>
    <definedName name="was" hidden="1">{#N/A,#N/A,FALSE,"Sales Graph";#N/A,#N/A,FALSE,"BUC Graph";#N/A,#N/A,FALSE,"P&amp;L - YTD"}</definedName>
    <definedName name="wb" hidden="1">{#N/A,#N/A,FALSE,"Pharm";#N/A,#N/A,FALSE,"WWCM"}</definedName>
    <definedName name="wc" hidden="1">{#N/A,#N/A,FALSE,"Pharm";#N/A,#N/A,FALSE,"WWCM"}</definedName>
    <definedName name="wd" hidden="1">255</definedName>
    <definedName name="we" hidden="1">{#N/A,#N/A,FALSE,"Pharm";#N/A,#N/A,FALSE,"WWCM"}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rgqerrgqwergr" hidden="1">#N/A</definedName>
    <definedName name="werrr" hidden="1">{#N/A,#N/A,FALSE,"Pharm";#N/A,#N/A,FALSE,"WWCM"}</definedName>
    <definedName name="wewe" hidden="1">{"cap_structure",#N/A,FALSE,"Graph-Mkt Cap";"price",#N/A,FALSE,"Graph-Price";"ebit",#N/A,FALSE,"Graph-EBITDA";"ebitda",#N/A,FALSE,"Graph-EBITDA"}</definedName>
    <definedName name="working" hidden="1">{#N/A,#N/A,FALSE,"REPORT"}</definedName>
    <definedName name="wr" hidden="1">{"CASHFLOW",#N/A,FALSE,"Northpointe"}</definedName>
    <definedName name="wrn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111111" hidden="1">{#N/A,#N/A,FALSE,"Pharm";#N/A,#N/A,FALSE,"WWCM"}</definedName>
    <definedName name="wrn.350bud." hidden="1">{#N/A,#N/A,FALSE,"TITLE";#N/A,#N/A,FALSE,"INDEX";#N/A,#N/A,FALSE,"SUMMARY";#N/A,#N/A,FALSE,"COMPARATIVE";#N/A,#N/A,FALSE,"COMP. COSTS";#N/A,#N/A,FALSE,"VARIANCE";#N/A,#N/A,FALSE,"BUS.PLAN";#N/A,#N/A,FALSE,"INCOME &amp; EXPENSE";#N/A,#N/A,FALSE,"COMMERCIAL RENTS";#N/A,#N/A,FALSE,"STORAGE RENTS";#N/A,#N/A,FALSE,"PARKING";#N/A,#N/A,FALSE,"OPERATING REC.";#N/A,#N/A,FALSE,"REALTY TAX REC.";#N/A,#N/A,FALSE,"ELECTRICITY REC.";#N/A,#N/A,FALSE,"MONTHLY OPERATING SCHEDULE";#N/A,#N/A,FALSE,"94 RECOVERY CALC.";#N/A,#N/A,FALSE,"94 OPERATING REC. ";#N/A,#N/A,FALSE,"94 REALTY TAX REC. ";#N/A,#N/A,FALSE,"PROFORMA";#N/A,#N/A,FALSE,"CASH FLOW"}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aaaa" hidden="1">{#N/A,#N/A,FALSE,"Pharm";#N/A,#N/A,FALSE,"WWCM"}</definedName>
    <definedName name="wrn.Accr_Dil." hidden="1">{#N/A,#N/A,FALSE,"Debt Accr";#N/A,#N/A,FALSE,"Stock Accr";#N/A,#N/A,FALSE,"Debt Stock Accr"}</definedName>
    <definedName name="wrn.Acquisitions." hidden="1">{"One",#N/A,FALSE,"Acquisitions";"Two",#N/A,FALSE,"Acquisitions"}</definedName>
    <definedName name="wrn.Aging._.and._.Trend._.Analysis." hidden="1">{#N/A,#N/A,FALSE,"Aging Summary";#N/A,#N/A,FALSE,"Ratio Analysis";#N/A,#N/A,FALSE,"Test 120 Day Accts";#N/A,#N/A,FALSE,"Tickmarks"}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roperties." hidden="1">{#N/A,#N/A,FALSE,"0Consolidated";#N/A,#N/A,FALSE,"1Airport A and B ";#N/A,#N/A,FALSE,"2CityWest ";#N/A,#N/A,FALSE,"3Normandale Tech A and B";#N/A,#N/A,FALSE,"4Plymouth Corporate";#N/A,#N/A,FALSE,"5Freeway1";#N/A,#N/A,FALSE,"6Freeway2";#N/A,#N/A,FALSE,"7Freeway3";#N/A,#N/A,FALSE,"8Freeway4";#N/A,#N/A,FALSE,"9Parking Lots"}</definedName>
    <definedName name="wrn.balance." hidden="1">{"balance table",#N/A,FALSE,"PBSUDE"}</definedName>
    <definedName name="wrn.balance._.sheet." hidden="1">{"bs",#N/A,FALSE,"SCF"}</definedName>
    <definedName name="wrn.Balance_Sheet." hidden="1">{"One",#N/A,FALSE,"Balance Sheet"}</definedName>
    <definedName name="wrn.BASIC." hidden="1">{#N/A,#N/A,FALSE,"9Pricing Matrix";#N/A,#N/A,FALSE,"3Cash Flow";#N/A,#N/A,FALSE,"2Assumptions";#N/A,#N/A,FALSE,"5Residual"}</definedName>
    <definedName name="wrn.basics." hidden="1">{#N/A,#N/A,FALSE,"TSUM";#N/A,#N/A,FALSE,"shares";#N/A,#N/A,FALSE,"earnout";#N/A,#N/A,FALSE,"Heaty";#N/A,#N/A,FALSE,"self-tend";#N/A,#N/A,FALSE,"self-sum"}</definedName>
    <definedName name="wrn.Bce._.plan." hidden="1">{#N/A,#N/A,FALSE,"Cover";#N/A,#N/A,FALSE,"Summary";#N/A,#N/A,FALSE,"Monthly";#N/A,#N/A,FALSE,"2002";#N/A,#N/A,FALSE,"Main";#N/A,#N/A,FALSE,"Bridge 2002";#N/A,#N/A,FALSE,"Bridge-global";#N/A,#N/A,FALSE,"ALL"}</definedName>
    <definedName name="wrn.BILAN._.PRO._.FORMA." hidden="1">{#N/A,#N/A,FALSE,"Bilan proforma"}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hidden="1">{#N/A,#N/A,FALSE,"Cover";#N/A,#N/A,FALSE,"Main";#N/A,#N/A,FALSE,"Guid";#N/A,#N/A,FALSE,"Summary";#N/A,#N/A,FALSE,"Q3"}</definedName>
    <definedName name="wrn.BUDGET." hidden="1">{#N/A,#N/A,FALSE,"COVER PAGE";#N/A,#N/A,FALSE,"INDEX";#N/A,#N/A,FALSE,"CONSOL SUMMARY";#N/A,#N/A,FALSE,"CONSOL COMP SUMMARY";#N/A,#N/A,FALSE,"VARIANCE";#N/A,#N/A,FALSE,"SUMMARY";#N/A,#N/A,FALSE,"COMP SUMMARY";#N/A,#N/A,FALSE,"COMPARATIVE COSTS PER SQ.FT.";#N/A,#N/A,FALSE,"BUSINESS PLAN";#N/A,#N/A,FALSE,"INCOME AND EXPENSE NARRATIVE";#N/A,#N/A,FALSE,"COMMERCIAL RENTS";#N/A,#N/A,FALSE,"RETAIL&amp;FREE RENTS";#N/A,#N/A,FALSE,"OPERATING COST REC.";#N/A,#N/A,FALSE,"REALTY TAX REC.";#N/A,#N/A,FALSE,"ELECTRICITY REC.";#N/A,#N/A,FALSE,"MONTHLY OPERATING SCHEDULE";#N/A,#N/A,FALSE,"94 COST CALC.";#N/A,#N/A,FALSE,"94 PROJ. OP. COSTS";#N/A,#N/A,FALSE,"94 PROJ. TAX REC.";#N/A,#N/A,FALSE,"PROFORMA";#N/A,#N/A,FALSE,"PARKING SUMMARY";#N/A,#N/A,FALSE,"PARKING NARRATIVE";#N/A,#N/A,FALSE,"MONTHLY PARKING EXPENSES";#N/A,#N/A,FALSE,"CASHFLOW"}</definedName>
    <definedName name="wrn.Budget._.de._.caisse._.pro._.forma." hidden="1">{#N/A,#N/A,FALSE,"Budget de caisse"}</definedName>
    <definedName name="wrn.Budget._.final." hidden="1">{#N/A,#N/A,FALSE,"Budget final"}</definedName>
    <definedName name="wrn.BUDGET2." hidden="1">{#N/A,#N/A,TRUE,"COVER";#N/A,#N/A,TRUE,"INDEX";#N/A,#N/A,TRUE,"SUMMARY";#N/A,#N/A,TRUE,"COMPARATIVE OPERATING SUMMARY";#N/A,#N/A,TRUE,"VARIANCE ANALYSIS";#N/A,#N/A,TRUE,"INCOME &amp; EXPENSE";#N/A,#N/A,TRUE,"INCOME SCHEDULE";#N/A,#N/A,TRUE,"MONTHLY EXPENSE SCHEDULE";#N/A,#N/A,TRUE,"PROFORMA";#N/A,#N/A,TRUE,"CASHFLOW"}</definedName>
    <definedName name="wrn.bullshit1." hidden="1">{#N/A,#N/A,FALSE,"Sheet1";#N/A,#N/A,FALSE,"Summary";#N/A,#N/A,FALSE,"proj1";#N/A,#N/A,FALSE,"proj2"}</definedName>
    <definedName name="wrn.Cardiovasculars." hidden="1">{#N/A,#N/A,FALSE,"Card";#N/A,#N/A,FALSE,"Prav";#N/A,#N/A,FALSE,"Irbe";#N/A,#N/A,FALSE,"Plavix";#N/A,#N/A,FALSE,"Capt";#N/A,#N/A,FALSE,"Fosi"}</definedName>
    <definedName name="wrn.Cash_Flow." hidden="1">{"One",#N/A,FALSE,"Cash Flow Statement"}</definedName>
    <definedName name="wrn.Central._.Nervous._.System." hidden="1">{#N/A,#N/A,FALSE,"CNS";#N/A,#N/A,FALSE,"Serz";#N/A,#N/A,FALSE,"Ace"}</definedName>
    <definedName name="wrn.choc._.and._.4._.fhr." hidden="1">{#N/A,#N/A,FALSE,"Valuation";#N/A,#N/A,FALSE,"HVC";#N/A,#N/A,FALSE,"WFC";#N/A,#N/A,FALSE,"PAL";#N/A,#N/A,FALSE,"LOM";#N/A,#N/A,FALSE,"BEA";#N/A,#N/A,FALSE,"HAL";#N/A,#N/A,FALSE,"PEH";#N/A,#N/A,FALSE,"DCM";#N/A,#N/A,FALSE,"CAH";#N/A,#N/A,FALSE,"BES";#N/A,#N/A,FALSE,"DOH";#N/A,#N/A,FALSE,"BAR";#N/A,#N/A,FALSE,"HTE";#N/A,#N/A,FALSE,"FPH";#N/A,#N/A,FALSE,"DWH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p_analysis." hidden="1">{"comparative_analysis",#N/A,FALSE,"Sheet1"}</definedName>
    <definedName name="wrn.COMPCO." hidden="1">{"Page1",#N/A,FALSE,"CompCo";"Page2",#N/A,FALSE,"CompCo"}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s." hidden="1">{#N/A,#N/A,FALSE,"Comp"}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rporate." hidden="1">{"Corporate",#N/A,FALSE,"Corporate Profile"}</definedName>
    <definedName name="wrn.cotop." hidden="1">{"ReportTop",#N/A,FALSE,"report top"}</definedName>
    <definedName name="wrn.Coûts._.de._.fab.._.horaire." hidden="1">{#N/A,#N/A,FALSE,"Coût horaire  pro forma (imp)"}</definedName>
    <definedName name="wrn.Coûts._.de._.fabrication." hidden="1">{#N/A,#N/A,FALSE,"Coût horaire  pro forma"}</definedName>
    <definedName name="wrn.Crossings." hidden="1">{"One",#N/A,FALSE,"Crossings";"Two",#N/A,FALSE,"Crossings";"Three",#N/A,FALSE,"Crossings";"Fous",#N/A,FALSE,"Crossings";"Five",#N/A,FALSE,"Crossings"}</definedName>
    <definedName name="wrn.DCF." hidden="1">{#N/A,#N/A,FALSE,"DCF-COM";#N/A,#N/A,FALSE,"VAC-COM"}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2" hidden="1">{#N/A,#N/A,FALSE,"DCF-COM";#N/A,#N/A,FALSE,"VAC-COM"}</definedName>
    <definedName name="wrn.Depreciation." hidden="1">{"One",#N/A,FALSE,"Depreciation"}</definedName>
    <definedName name="wrn.Detail._.Balance._.Sheet." hidden="1">{#N/A,#N/A,FALSE,"Detail"}</definedName>
    <definedName name="wrn.Detail_Projection." hidden="1">{#N/A,#N/A,FALSE,"Detail YTD"}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Normal." hidden="1">{#N/A,#N/A,FALSE,"1Summary";#N/A,#N/A,FALSE,"9Pricing Matrix";#N/A,#N/A,FALSE,"Assumptions";#N/A,#N/A,FALSE,"3Cash Flow";#N/A,#N/A,FALSE,"5Residual";#N/A,#N/A,FALSE,"8Residual Sensitivity";#N/A,#N/A,FALSE,"10Vacancy Matrix";#N/A,#N/A,FALSE,"11Expiration Schedule";#N/A,#N/A,FALSE,"12Lease-up Schedule"}</definedName>
    <definedName name="wrn.FHR._.Consolidated._.Statements." hidden="1">{#N/A,#N/A,FALSE,"BSCPHRI";#N/A,#N/A,FALSE,"RE";#N/A,#N/A,FALSE,"Cash Flow";#N/A,#N/A,FALSE,"Int Expense";#N/A,#N/A,FALSE,"PL Consol"}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Mort.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NCIALS_INCL.._.AH." hidden="1">{"Balance Sheet",#N/A,FALSE,"Sheet1";"Income Stmt",#N/A,FALSE,"Sheet1";"SCFP",#N/A,FALSE,"Sheet1";"SCFP entries",#N/A,FALSE,"Sheet1";"Divisional Entries",#N/A,FALSE,"Sheet1"}</definedName>
    <definedName name="wrn.Financing." hidden="1">{"One",#N/A,FALSE,"Financing";"Two",#N/A,FALSE,"Financing";"Three",#N/A,FALSE,"Financing";"Four",#N/A,FALSE,"Financing"}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model.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ull." hidden="1">{#N/A,#N/A,FALSE,"Property Report";#N/A,#N/A,FALSE,"Title";#N/A,#N/A,FALSE,"Contents";#N/A,#N/A,FALSE,"Balance Sheet";#N/A,#N/A,FALSE,"Revenue Analysis";#N/A,#N/A,FALSE,"Exp. Analysis";#N/A,#N/A,FALSE,"Income";#N/A,#N/A,FALSE,"AR Aging";#N/A,#N/A,FALSE,"Arrear Summary";#N/A,#N/A,FALSE,"Bad Debts";#N/A,#N/A,FALSE,"Tenant sum.";#N/A,#N/A,FALSE,"Mgmt. Fee"}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General." hidden="1">{"Balance",#N/A,FALSE,"General Assumptions";"Cost",#N/A,FALSE,"General Assumptions";"Working",#N/A,FALSE,"General Assumptions"}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ross._.Profit._.Report." hidden="1">{"Monthly",#N/A,FALSE,"Phosphate Gross Profit";"Quarterly",#N/A,FALSE,"Phosphate Gross Profit"}</definedName>
    <definedName name="wrn.h." hidden="1">{#N/A,#N/A,FALSE,"SGI0994 "}</definedName>
    <definedName name="wrn.hb_value." hidden="1">{"valuation",#N/A,FALSE,"Sheet1"}</definedName>
    <definedName name="wrn.HEAT." hidden="1">{#N/A,#N/A,FALSE,"Heat";#N/A,#N/A,FALSE,"DCF";#N/A,#N/A,FALSE,"LBO";#N/A,#N/A,FALSE,"A";#N/A,#N/A,FALSE,"C";#N/A,#N/A,FALSE,"impd";#N/A,#N/A,FALSE,"Accr-Dilu"}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tel._.Strat._.Plans." hidden="1">{#N/A,#N/A,FALSE,"Appendix";#N/A,#N/A,FALSE,"Portfolio";#N/A,#N/A,FALSE,"Fairmont Portfolio";#N/A,#N/A,FALSE,"Delta Portfolio";#N/A,#N/A,FALSE,"HVC";#N/A,#N/A,FALSE,"WFC";#N/A,#N/A,FALSE,"PAL";#N/A,#N/A,FALSE,"MAC";#N/A,#N/A,FALSE,"RYH";#N/A,#N/A,FALSE,"CLH";#N/A,#N/A,FALSE,"QEH";#N/A,#N/A,FALSE,"LOM";#N/A,#N/A,FALSE,"EMP";#N/A,#N/A,FALSE,"LCF";#N/A,#N/A,FALSE,"EAU CLAIRE";#N/A,#N/A,FALSE,"Monarch";#N/A,#N/A,FALSE,"Seattle";#N/A,#N/A,FALSE,"CAH";#N/A,#N/A,FALSE,"BEA";#N/A,#N/A,FALSE,"HAL";#N/A,#N/A,FALSE,"PEH";#N/A,#N/A,FALSE,"BES";#N/A,#N/A,FALSE,"DCM";#N/A,#N/A,FALSE,"DOH";#N/A,#N/A,FALSE,"BAR";#N/A,#N/A,FALSE,"HTE";#N/A,#N/A,FALSE,"FPH";#N/A,#N/A,FALSE,"DWH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I." hidden="1">{"CASHFLOW",#N/A,FALSE,"Northpointe"}</definedName>
    <definedName name="wrn.IIII" hidden="1">{"CASHFLOW",#N/A,FALSE,"Northpointe"}</definedName>
    <definedName name="wrn.Income_Statement." hidden="1">{"One",#N/A,FALSE,"Income Statement";"Two",#N/A,FALSE,"Income Statement";"Three",#N/A,FALSE,"Income Statement";"Four",#N/A,FALSE,"Income Statement"}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ventory._.Values._.Checklist." hidden="1">{#N/A,#N/A,FALSE,"Summary"}</definedName>
    <definedName name="wrn.Inventory._.Values._.Summary." hidden="1">{#N/A,#N/A,FALSE,"Summary"}</definedName>
    <definedName name="wrn.ipovalue." hidden="1">{#N/A,#N/A,FALSE,"puboff";#N/A,#N/A,FALSE,"valuation";#N/A,#N/A,FALSE,"finanalsis";#N/A,#N/A,FALSE,"split";#N/A,#N/A,FALSE,"ownership"}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EG." hidden="1">{#N/A,#N/A,FALSE,"1Summary";#N/A,#N/A,FALSE,"2Assumptions";#N/A,#N/A,FALSE,"I&amp;E";#N/A,#N/A,FALSE,"Tax Analysis";#N/A,#N/A,FALSE,"3Cash Flow";#N/A,#N/A,FALSE,"5Residual";#N/A,#N/A,FALSE,"8Residual Sensitivity";#N/A,#N/A,FALSE,"9Pricing Matrix";#N/A,#N/A,FALSE,"10Vacancy Matrix";#N/A,#N/A,FALSE,"11Expiration Schedule";#N/A,#N/A,FALSE,"12Lease-up Schedule"}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hn." hidden="1">{#N/A,#N/A,FALSE,"Potential";#N/A,#N/A,FALSE,"Potential";#N/A,#N/A,FALSE,"Potential"}</definedName>
    <definedName name="wrn.jphn1" hidden="1">{#N/A,#N/A,FALSE,"Potential";#N/A,#N/A,FALSE,"Potential";#N/A,#N/A,FALSE,"Potential"}</definedName>
    <definedName name="wrn.JV." hidden="1">{"One",#N/A,FALSE,"JV"}</definedName>
    <definedName name="wrn.Legacy._.Deltas." hidden="1">{#N/A,#N/A,FALSE,"CAH";#N/A,#N/A,FALSE,"BEA";#N/A,#N/A,FALSE,"HAL";#N/A,#N/A,FALSE,"PEH";#N/A,#N/A,FALSE,"BES";#N/A,#N/A,FALSE,"DCM";#N/A,#N/A,FALSE,"DOH";#N/A,#N/A,FALSE,"BAR";#N/A,#N/A,FALSE,"HTE";#N/A,#N/A,FALSE,"FPH";#N/A,#N/A,FALSE,"DWH"}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ong._.Term._.Forecast.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1fugf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1fugf2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1fugf3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ufugc2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ufugc3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ufugc4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_ufugc5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2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2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2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3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3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3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4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4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4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5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5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5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long._.term._.forecast.ufugf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erge." hidden="1">{#N/A,#N/A,FALSE,"IPO";#N/A,#N/A,FALSE,"DCF";#N/A,#N/A,FALSE,"LBO";#N/A,#N/A,FALSE,"MULT_VAL";#N/A,#N/A,FALSE,"Status Quo";#N/A,#N/A,FALSE,"Recap"}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Netbacks." hidden="1">{"Netbacks",#N/A,FALSE,"Netbacks"}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Oncology." hidden="1">{#N/A,#N/A,FALSE,"Onco";#N/A,#N/A,FALSE,"Taxol";#N/A,#N/A,FALSE,"UFT";#N/A,#N/A,FALSE,"Carb"}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p" hidden="1">{#N/A,#N/A,FALSE,"1";#N/A,#N/A,FALSE,"2";#N/A,#N/A,FALSE,"16 - 17";#N/A,#N/A,FALSE,"18 - 19";#N/A,#N/A,FALSE,"26";#N/A,#N/A,FALSE,"27";#N/A,#N/A,FALSE,"28"}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egasus." hidden="1">{#N/A,#N/A,FALSE,"Proforma NAV";#N/A,#N/A,FALSE,"P NAV";#N/A,#N/A,FALSE,"Prodn &amp; Reserves";#N/A,#N/A,FALSE,"Asset Summary";#N/A,#N/A,FALSE,"Mt.Todd";#N/A,#N/A,FALSE,"Zortman";#N/A,#N/A,FALSE,"Pullalli";#N/A,#N/A,FALSE,"Black Pine";#N/A,#N/A,FALSE,"Beal Mtn.";#N/A,#N/A,FALSE,"Florida";#N/A,#N/A,FALSE,"Montana";#N/A,#N/A,FALSE,"Diamond Hill";#N/A,#N/A,FALSE,"K_SUMM"}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acer._.Dome." hidden="1">{"Placer Dome Mines",#N/A,FALSE,"PDG";"Placer Dome Summary",#N/A,FALSE,"PDG"}</definedName>
    <definedName name="wrn.Placer._.NAV." hidden="1">{#N/A,#N/A,FALSE,"PDG NAV";#N/A,#N/A,FALSE,"Campbell";#N/A,#N/A,FALSE,"Camp Reserve";#N/A,#N/A,FALSE,"Camp DCF";#N/A,#N/A,FALSE,"Detour";#N/A,#N/A,FALSE,"Detour Reserves";#N/A,#N/A,FALSE,"Detour DCF";#N/A,#N/A,FALSE,"Dome Reserve";#N/A,#N/A,FALSE,"Dome";#N/A,#N/A,FALSE,"Dome DCF";#N/A,#N/A,FALSE,"Musselwhite";#N/A,#N/A,FALSE,"Musselwhite Reserve";#N/A,#N/A,FALSE,"Musselwhite DCF";#N/A,#N/A,FALSE,"La Coipa";#N/A,#N/A,FALSE,"La Coipa Reserve";#N/A,#N/A,FALSE,"La Coipa DCF";#N/A,#N/A,FALSE,"Las Cristinas";#N/A,#N/A,FALSE,"Las Cristinas Reserve";#N/A,#N/A,FALSE,"Las Cristinas DCF";#N/A,#N/A,FALSE,"Granny";#N/A,#N/A,FALSE,"Granny Reserve";#N/A,#N/A,FALSE,"Granny DCF";#N/A,#N/A,FALSE,"Kidston";#N/A,#N/A,FALSE,"Kidston Reserve";#N/A,#N/A,FALSE,"Kidston DCF";#N/A,#N/A,FALSE,"Misima";#N/A,#N/A,FALSE,"Misima Reserves";#N/A,#N/A,FALSE,"Misima DCF";#N/A,#N/A,FALSE,"Osborne";#N/A,#N/A,FALSE,"Osborne Reserves";#N/A,#N/A,FALSE,"Osborne CF SUMMARY";#N/A,#N/A,FALSE,"Osborne CF";#N/A,#N/A,FALSE,"Porgera";#N/A,#N/A,FALSE,"Porgera Reserve";#N/A,#N/A,FALSE,"Porgera DCF";#N/A,#N/A,FALSE,"Bald Mtn";#N/A,#N/A,FALSE,"Bald Mtn Reserve";#N/A,#N/A,FALSE,"Bald Mtn DCF";#N/A,#N/A,FALSE,"Cortez";#N/A,#N/A,FALSE,"Cortez Reserve";#N/A,#N/A,FALSE,"Cortez DCF";#N/A,#N/A,FALSE,"Gold Sun";#N/A,#N/A,FALSE,"Gold Sun Reserves";#N/A,#N/A,FALSE,"Gold Sun DCF";#N/A,#N/A,FALSE,"Crucitas";#N/A,#N/A,FALSE,"Mt Rawdon";#N/A,#N/A,FALSE,"Donlin";#N/A,#N/A,FALSE,"Mulatos";#N/A,#N/A,FALSE,"other Assumptions"}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pp" hidden="1">{#N/A,#N/A,FALSE,"1";#N/A,#N/A,FALSE,"2";#N/A,#N/A,FALSE,"16 - 17";#N/A,#N/A,FALSE,"18 - 19";#N/A,#N/A,FALSE,"26";#N/A,#N/A,FALSE,"27";#N/A,#N/A,FALSE,"28"}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2._.all." hidden="1">{#N/A,#N/A,FALSE,"Pharm";#N/A,#N/A,FALSE,"WWCM"}</definedName>
    <definedName name="wrn.prin3" hidden="1">{#N/A,#N/A,FALSE,"Pharm";#N/A,#N/A,FALSE,"WWCM"}</definedName>
    <definedName name="wrn.prinst._.summary._.sheets." hidden="1">{"summary1",#N/A,TRUE,"Comps";"summary2",#N/A,TRUE,"Comps";"summary3",#N/A,TRUE,"Comps"}</definedName>
    <definedName name="wrn.print" hidden="1">{#N/A,#N/A,FALSE,"Pharm";#N/A,#N/A,FALSE,"WWCM"}</definedName>
    <definedName name="wrn.print." hidden="1">{"one",#N/A,TRUE,"Alaska";"two",#N/A,TRUE,"Alaska";"three",#N/A,TRUE,"Alaska";"four",#N/A,TRUE,"Alaska"}</definedName>
    <definedName name="wrn.PRINT._.ALL." hidden="1">{#N/A,#N/A,FALSE,"Pharm";#N/A,#N/A,FALSE,"WWCM"}</definedName>
    <definedName name="wrn.print._.all._.sections." hidden="1">{"IncomeStatement",#N/A,TRUE,"Model";"LacdesIsles",#N/A,TRUE,"Model";"NAV",#N/A,TRUE,"NAV"}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all1." hidden="1">{#N/A,#N/A,FALSE,"Pharm";#N/A,#N/A,FALSE,"WWCM"}</definedName>
    <definedName name="wrn.print2" hidden="1">{#N/A,#N/A,FALSE,"Pharm";#N/A,#N/A,FALSE,"WWCM"}</definedName>
    <definedName name="wrn.PrintAll." hidden="1">{#N/A,#N/A,FALSE,"Broker Sheet";#N/A,#N/A,FALSE,"Exec.Summary";#N/A,#N/A,FALSE,"Argus Cash Flow";#N/A,#N/A,FALSE,"SPF";#N/A,#N/A,FALSE,"RentRoll"}</definedName>
    <definedName name="wrn.Printout." hidden="1">{#N/A,#N/A,FALSE,"P&amp;L";#N/A,#N/A,FALSE,"Bal Sht";#N/A,#N/A,FALSE,"SCFP";#N/A,#N/A,FALSE,"NOI";#N/A,#N/A,FALSE,"AFFO";#N/A,#N/A,FALSE,"DEBT"}</definedName>
    <definedName name="wrn.Printout._1" hidden="1">{#N/A,#N/A,FALSE,"P&amp;L";#N/A,#N/A,FALSE,"Bal Sht";#N/A,#N/A,FALSE,"SCFP";#N/A,#N/A,FALSE,"NOI";#N/A,#N/A,FALSE,"AFFO";#N/A,#N/A,FALSE,"DEBT"}</definedName>
    <definedName name="wrn.Printout._1_1" hidden="1">{#N/A,#N/A,FALSE,"P&amp;L";#N/A,#N/A,FALSE,"Bal Sht";#N/A,#N/A,FALSE,"SCFP";#N/A,#N/A,FALSE,"NOI";#N/A,#N/A,FALSE,"AFFO";#N/A,#N/A,FALSE,"DEBT"}</definedName>
    <definedName name="wrn.Printout._1_1_1" hidden="1">{#N/A,#N/A,FALSE,"P&amp;L";#N/A,#N/A,FALSE,"Bal Sht";#N/A,#N/A,FALSE,"SCFP";#N/A,#N/A,FALSE,"NOI";#N/A,#N/A,FALSE,"AFFO";#N/A,#N/A,FALSE,"DEBT"}</definedName>
    <definedName name="wrn.Printout._1_2" hidden="1">{#N/A,#N/A,FALSE,"P&amp;L";#N/A,#N/A,FALSE,"Bal Sht";#N/A,#N/A,FALSE,"SCFP";#N/A,#N/A,FALSE,"NOI";#N/A,#N/A,FALSE,"AFFO";#N/A,#N/A,FALSE,"DEBT"}</definedName>
    <definedName name="wrn.Printout._2" hidden="1">{#N/A,#N/A,FALSE,"P&amp;L";#N/A,#N/A,FALSE,"Bal Sht";#N/A,#N/A,FALSE,"SCFP";#N/A,#N/A,FALSE,"NOI";#N/A,#N/A,FALSE,"AFFO";#N/A,#N/A,FALSE,"DEBT"}</definedName>
    <definedName name="wrn.Printout._2_1" hidden="1">{#N/A,#N/A,FALSE,"P&amp;L";#N/A,#N/A,FALSE,"Bal Sht";#N/A,#N/A,FALSE,"SCFP";#N/A,#N/A,FALSE,"NOI";#N/A,#N/A,FALSE,"AFFO";#N/A,#N/A,FALSE,"DEBT"}</definedName>
    <definedName name="wrn.Printout._3" hidden="1">{#N/A,#N/A,FALSE,"P&amp;L";#N/A,#N/A,FALSE,"Bal Sht";#N/A,#N/A,FALSE,"SCFP";#N/A,#N/A,FALSE,"NOI";#N/A,#N/A,FALSE,"AFFO";#N/A,#N/A,FALSE,"DEBT"}</definedName>
    <definedName name="wrn.Pro._.Forma." hidden="1">{#N/A,#N/A,FALSE,"Assumptions";#N/A,#N/A,FALSE,"Proforma";#N/A,#N/A,FALSE,"Value Matrices";#N/A,#N/A,FALSE,"Graph &amp; Rent Roll"}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r" hidden="1">{#N/A,#N/A,FALSE,"Pharm";#N/A,#N/A,FALSE,"WWCM"}</definedName>
    <definedName name="wrn.Prototypes." hidden="1">{"One",#N/A,FALSE,"Prototypes";"Two",#N/A,FALSE,"Prototypes";"Three",#N/A,FALSE,"Prototypes";"Four",#N/A,FALSE,"Prototypes";"Five",#N/A,FALSE,"Prototypes"}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ntRoll." hidden="1">{"CurrentRentRoll",#N/A,FALSE,"Graph &amp; Rent Roll"}</definedName>
    <definedName name="wrn.Repayments." hidden="1">{"One",#N/A,FALSE,"Repayments";"Two",#N/A,FALSE,"Repayments"}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siduals." hidden="1">{#N/A,#N/A,FALSE,"5Residual 2007";#N/A,#N/A,FALSE,"5Residual 2008";#N/A,#N/A,FALSE,"5Residual 2009";#N/A,#N/A,FALSE,"5Residual 2010";#N/A,#N/A,FALSE,"5Residual 2011"}</definedName>
    <definedName name="wrn.Résultats._.Annuels." hidden="1">{#N/A,#N/A,FALSE,"États des résultats"}</definedName>
    <definedName name="wrn.Résultats._.Mensuels." hidden="1">{#N/A,#N/A,FALSE,"États des résultats (2) impres"}</definedName>
    <definedName name="wrn.roce." hidden="1">{#N/A,#N/A,FALSE,"AR ORIG";#N/A,#N/A,FALSE,"AR MYR";#N/A,#N/A,FALSE,"SR ORIG";#N/A,#N/A,FALSE,"SR MYR"}</definedName>
    <definedName name="wrn.Roll._.Up._.Fields." hidden="1">{"Total",#N/A,FALSE,"Six Fields";"PDP",#N/A,FALSE,"Six Fields";"PNP",#N/A,FALSE,"Six Fields";"PUD",#N/A,FALSE,"Six Fields";"Prob",#N/A,FALSE,"Six Fields"}</definedName>
    <definedName name="wrn.Roll_Out." hidden="1">{"One",#N/A,FALSE,"Roll-out";"Two",#N/A,FALSE,"Roll-out";"Three",#N/A,FALSE,"Roll-out";"Four",#N/A,FALSE,"Roll-out";"Five",#N/A,FALSE,"Roll-out"}</definedName>
    <definedName name="wrn.RWReport1." hidden="1">{#N/A,"S 0050 ",TRUE,"Sheet1";#N/A,"S 0130 ",TRUE,"Sheet1";#N/A,"S 0170 ",TRUE,"Sheet1";#N/A,"S 0280 ",TRUE,"Sheet1";#N/A,"S 0310 ",TRUE,"Sheet1";#N/A,"S 0480 ",TRUE,"Sheet1";#N/A,"S 0500 ",TRUE,"Sheet1"}</definedName>
    <definedName name="wrn.sales." hidden="1">{"sales",#N/A,FALSE,"Sales";"sales existing",#N/A,FALSE,"Sales";"sales rd1",#N/A,FALSE,"Sales";"sales rd2",#N/A,FALSE,"Sales"}</definedName>
    <definedName name="wrn.Sales._.and._.LFL._.assumptions." hidden="1">{#N/A,#N/A,FALSE,"H1H2";"Sales by division",#N/A,FALSE,"H1H2";"LFL assumptions",#N/A,FALSE,"H1H2"}</definedName>
    <definedName name="wrn.Schedules." hidden="1">{#N/A,#N/A,FALSE,"TOC";#N/A,#N/A,FALSE,"Analysis";#N/A,#N/A,FALSE,"PL Consol";#N/A,#N/A,FALSE,"BSCPHRI";#N/A,#N/A,FALSE,"RE";#N/A,#N/A,FALSE,"Cash Flow";#N/A,#N/A,FALSE,"Rev Mgt";#N/A,#N/A,FALSE,"Revenues";#N/A,#N/A,FALSE,"GOP Owned";#N/A,#N/A,FALSE,"EBITDA Owned";#N/A,#N/A,FALSE,"DepAmort";#N/A,#N/A,FALSE,"NOI";#N/A,#N/A,FALSE,"Projects";#N/A,#N/A,FALSE,"Capital Expenditures";#N/A,#N/A,FALSE,"Projects";#N/A,#N/A,FALSE,"Interest";#N/A,#N/A,FALSE,"Occupancy";#N/A,#N/A,FALSE,"ADR";#N/A,#N/A,FALSE,"RevPAR";#N/A,#N/A,FALSE,"JV INCOME";#N/A,#N/A,FALSE,"Mgt COs";#N/A,#N/A,FALSE,"Fairmont";#N/A,#N/A,FALSE,"Base Fees";#N/A,#N/A,FALSE,"Incentive";#N/A,#N/A,FALSE,"Other Fees";#N/A,#N/A,FALSE,"Delta"}</definedName>
    <definedName name="wrn.Schedules._.Legacy." hidden="1">{#N/A,#N/A,FALSE,"TOC";#N/A,#N/A,FALSE,"PL";#N/A,#N/A,FALSE,"BSCPHRI";#N/A,#N/A,FALSE,"RE";#N/A,#N/A,FALSE,"Revenues";#N/A,#N/A,FALSE,"GOPOwned";#N/A,#N/A,FALSE,"EBITDA Owned";#N/A,#N/A,FALSE,"DepAmort";#N/A,#N/A,FALSE,"NOI";#N/A,#N/A,FALSE,"Capital";#N/A,#N/A,FALSE,"Occupancy";#N/A,#N/A,FALSE,"ADR";#N/A,#N/A,FALSE,"RevPAR";#N/A,#N/A,FALSE,"Base Fees";#N/A,#N/A,FALSE,"Incentive";#N/A,#N/A,FALSE,"Debt";#N/A,#N/A,FALSE,"Int Expense"}</definedName>
    <definedName name="wrn.Season._.Model." hidden="1">{#N/A,#N/A,TRUE,"Proj";#N/A,#N/A,TRUE,"Crew";#N/A,#N/A,TRUE,"Month"}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at._.Plans._.Legacy." hidden="1">{#N/A,#N/A,FALSE,"Appendix";#N/A,#N/A,FALSE,"Portfolio";#N/A,#N/A,FALSE,"Fairmont Portfolio";#N/A,#N/A,FALSE,"Delta Portfolio";#N/A,#N/A,FALSE,"HVC";#N/A,#N/A,FALSE,"WFC";#N/A,#N/A,FALSE,"PAL";#N/A,#N/A,FALSE,"MAC";#N/A,#N/A,FALSE,"RYH";#N/A,#N/A,FALSE,"CLH";#N/A,#N/A,FALSE,"QEH";#N/A,#N/A,FALSE,"LOM";#N/A,#N/A,FALSE,"EMP";#N/A,#N/A,FALSE,"LCF";#N/A,#N/A,FALSE,"EAU CLAIRE";#N/A,#N/A,FALSE,"Monarch";#N/A,#N/A,FALSE,"Seattle";#N/A,#N/A,FALSE,"CAH";#N/A,#N/A,FALSE,"BEA";#N/A,#N/A,FALSE,"HAL";#N/A,#N/A,FALSE,"PEH";#N/A,#N/A,FALSE,"BES";#N/A,#N/A,FALSE,"DCM";#N/A,#N/A,FALSE,"DOH";#N/A,#N/A,FALSE,"BAR";#N/A,#N/A,FALSE,"HTE";#N/A,#N/A,FALSE,"FPH";#N/A,#N/A,FALSE,"DWH"}</definedName>
    <definedName name="wrn.Summary." hidden="1">{"Sum1",#N/A,FALSE,"Reserve Report";"Sum2",#N/A,FALSE,"Reserve Report";"Sum3",#N/A,FALSE,"Reserve Report";"Sum4",#N/A,FALSE,"Reserve Report"}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2" hidden="1">{#N/A,#N/A,FALSE,"Calculator"}</definedName>
    <definedName name="wrn.test1." hidden="1">{#N/A,#N/A,FALSE,"Calculator"}</definedName>
    <definedName name="wrn.test2" hidden="1">{#N/A,#N/A,FALSE,"Calculator"}</definedName>
    <definedName name="wrn.test3" hidden="1">{#N/A,#N/A,FALSE,"Calculator"}</definedName>
    <definedName name="wrn.The._.Rock.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eWholeEnchilada." hidden="1">{"CSheet",#N/A,FALSE,"C";"SmCap",#N/A,FALSE,"VAL1";"GulfCoast",#N/A,FALSE,"VAL1";"nav",#N/A,FALSE,"NAV";"Summary",#N/A,FALSE,"NAV"}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{"Industrial",#N/A,FALSE,"Thumb";"Office",#N/A,FALSE,"Thumb";"Retail",#N/A,FALSE,"Thumb"}</definedName>
    <definedName name="wrn.Total._.Budget." hidden="1">{#N/A,#N/A,FALSE,"A Summary";#N/A,#N/A,FALSE,"B Cash Flow - Combined";#N/A,#N/A,FALSE,"C PSF";#N/A,#N/A,FALSE,"D Target";#N/A,#N/A,FALSE,"E Op. Rate";#N/A,#N/A,FALSE,"F Occupancy";#N/A,#N/A,FALSE,"G Mgmt Fee";#N/A,#N/A,FALSE,"H Taxes PSF";#N/A,#N/A,FALSE,"I Taxes";#N/A,#N/A,FALSE,"P Special Calc";#N/A,#N/A,FALSE,"Q Tenant Improvements";#N/A,#N/A,FALSE,"R Tenant Impr-LL";#N/A,#N/A,FALSE,"S Leasing Commissions";#N/A,#N/A,FALSE,"T Capital"}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Report." hidden="1">{#N/A,#N/A,FALSE,"Property Report";#N/A,#N/A,FALSE,"Title";#N/A,#N/A,FALSE,"Contents";#N/A,#N/A,FALSE,"Managers Report";#N/A,#N/A,FALSE,"mktcom";#N/A,#N/A,FALSE,"rev analysis";#N/A,#N/A,FALSE,"exp analysis";#N/A,#N/A,FALSE,"Accounts Rec";#N/A,#N/A,FALSE,"tenantsum";#N/A,#N/A,FALSE,"capexp";#N/A,#N/A,FALSE,"mgmtfee"}</definedName>
    <definedName name="wrn.Total._.Report.2" hidden="1">{#N/A,#N/A,FALSE,"Property Report";#N/A,#N/A,FALSE,"Title";#N/A,#N/A,FALSE,"Contents";#N/A,#N/A,FALSE,"Managers Report";#N/A,#N/A,FALSE,"mktcom";#N/A,#N/A,FALSE,"rev analysis";#N/A,#N/A,FALSE,"exp analysis";#N/A,#N/A,FALSE,"Accounts Rec";#N/A,#N/A,FALSE,"tenantsum";#N/A,#N/A,FALSE,"capexp";#N/A,#N/A,FALSE,"mgmtfee"}</definedName>
    <definedName name="wrn.TransPrcd_123." hidden="1">{#N/A,#N/A,TRUE,"TransPrcd 1";#N/A,#N/A,TRUE,"TransPrcd 2";#N/A,#N/A,TRUE,"TransPrcd 3"}</definedName>
    <definedName name="wrn.Tweety." hidden="1">{#N/A,#N/A,FALSE,"A&amp;E";#N/A,#N/A,FALSE,"HighTop";#N/A,#N/A,FALSE,"JG";#N/A,#N/A,FALSE,"RI";#N/A,#N/A,FALSE,"woHT";#N/A,#N/A,FALSE,"woHT&amp;JG"}</definedName>
    <definedName name="wrn.UK._.Retail._.PLs." hidden="1">{"Clothing PL",#N/A,FALSE,"H1H2";"Food PL",#N/A,FALSE,"H1H2";"Group PL",#N/A,FALSE,"H1H2";"Home Furnishings PL",#N/A,FALSE,"H1H2"}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{#N/A,#N/A,FALSE,"Pooling";#N/A,#N/A,FALSE,"income";#N/A,#N/A,FALSE,"valuation"}</definedName>
    <definedName name="wrn.ventana." hidden="1">{#N/A,#N/A,FALSE,"Cash Flow";#N/A,#N/A,FALSE,"scenario 1"}</definedName>
    <definedName name="wrn.WACC." hidden="1">{#N/A,#N/A,FALSE,"WACC-new";#N/A,#N/A,FALSE,"Inflation";#N/A,#N/A,FALSE,"Betas";#N/A,#N/A,FALSE,"Unlevered Betas";#N/A,#N/A,FALSE,"Cominco Tax";#N/A,#N/A,FALSE,"Cominco Debt"}</definedName>
    <definedName name="wrn.WCC." hidden="1">{#N/A,#N/A,FALSE,"9Pricing Matrix";#N/A,#N/A,FALSE,"3Cash Flow";#N/A,#N/A,FALSE,"5Residual";#N/A,#N/A,FALSE,"8Residual Sensitivity";#N/A,#N/A,FALSE,"10Vacancy Matrix";#N/A,#N/A,FALSE,"11Expiration Schedule";#N/A,#N/A,FALSE,"12Lease-up Schedule";#N/A,#N/A,FALSE,"I&amp;E";#N/A,#N/A,FALSE,"Tax_Analysis"}</definedName>
    <definedName name="wrn.wicor." hidden="1">{#N/A,#N/A,FALSE,"FACTSHEETS";#N/A,#N/A,FALSE,"pump";#N/A,#N/A,FALSE,"filter"}</definedName>
    <definedName name="wrn.Work._.Item._.01._.Capital." hidden="1">{#N/A,#N/A,FALSE,"Overall Summaries"}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Yearly." hidden="1">{"One",#N/A,FALSE,"Yearly"}</definedName>
    <definedName name="wrn.Потери.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n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5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5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a.prod" hidden="1">{#N/A,#N/A,FALSE,"1";#N/A,#N/A,FALSE,"2";#N/A,#N/A,FALSE,"16 - 17";#N/A,#N/A,FALSE,"18 - 19";#N/A,#N/A,FALSE,"26";#N/A,#N/A,FALSE,"27";#N/A,#N/A,FALSE,"28"}</definedName>
    <definedName name="WRR" hidden="1">{#N/A,#N/A,FALSE,"Pharm";#N/A,#N/A,FALSE,"WWCM"}</definedName>
    <definedName name="wrrrrr" hidden="1">{#N/A,#N/A,FALSE,"REPORT"}</definedName>
    <definedName name="wv" hidden="1">{#N/A,#N/A,FALSE,"Pharm";#N/A,#N/A,FALSE,"WWCM"}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{#N/A,#N/A,FALSE,"Pharm";#N/A,#N/A,FALSE,"WWCM"}</definedName>
    <definedName name="wwww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wwww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wwww333" hidden="1">{#N/A,#N/A,FALSE,"Broker Sheet";#N/A,#N/A,FALSE,"Exec.Summary";#N/A,#N/A,FALSE,"Argus Cash Flow";#N/A,#N/A,FALSE,"SPF";#N/A,#N/A,FALSE,"RentRoll"}</definedName>
    <definedName name="wwwwwwwwwwwwwwww" hidden="1">{#N/A,#N/A,FALSE,"Broker Sheet";#N/A,#N/A,FALSE,"Exec.Summary";#N/A,#N/A,FALSE,"Argus Cash Flow";#N/A,#N/A,FALSE,"SPF";#N/A,#N/A,FALSE,"RentRoll"}</definedName>
    <definedName name="wx" hidden="1">{#N/A,#N/A,FALSE,"Pharm";#N/A,#N/A,FALSE,"WWCM"}</definedName>
    <definedName name="x" hidden="1">{#N/A,#N/A,FALSE,"REPORT"}</definedName>
    <definedName name="xcv" hidden="1">{#N/A,#N/A,FALSE,"Pharm";#N/A,#N/A,FALSE,"WWCM"}</definedName>
    <definedName name="xfhs" hidden="1">#N/A</definedName>
    <definedName name="xo" hidden="1">{#N/A,#N/A,FALSE,"Aging Summary";#N/A,#N/A,FALSE,"Ratio Analysis";#N/A,#N/A,FALSE,"Test 120 Day Accts";#N/A,#N/A,FALSE,"Tickmarks"}</definedName>
    <definedName name="xx" hidden="1">{#N/A,#N/A,FALSE,"REPORT"}</definedName>
    <definedName name="XXX" hidden="1">{#N/A,#N/A,FALSE,"Other";#N/A,#N/A,FALSE,"Ace";#N/A,#N/A,FALSE,"Derm"}</definedName>
    <definedName name="xxxx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xxxxx" hidden="1">{#N/A,#N/A,FALSE,"Pharm";#N/A,#N/A,FALSE,"WWCM"}</definedName>
    <definedName name="y" hidden="1">{#N/A,#N/A,FALSE,"Potential";#N/A,#N/A,FALSE,"Potential";#N/A,#N/A,FALSE,"Potential"}</definedName>
    <definedName name="yikiukui" hidden="1">{"summary1",#N/A,TRUE,"Comps";"summary2",#N/A,TRUE,"Comps";"summary3",#N/A,TRUE,"Comps"}</definedName>
    <definedName name="ytjy" hidden="1">#N/A</definedName>
    <definedName name="yyy" hidden="1">{#N/A,#N/A,FALSE,"Other";#N/A,#N/A,FALSE,"Ace";#N/A,#N/A,FALSE,"Derm"}</definedName>
    <definedName name="z" hidden="1">#REF!</definedName>
    <definedName name="zhu" hidden="1">{#N/A,#N/A,FALSE,"REPORT"}</definedName>
    <definedName name="zhutr" hidden="1">{#N/A,#N/A,FALSE,"REPORT"}</definedName>
    <definedName name="Zortnew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" hidden="1">#REF!</definedName>
    <definedName name="zza4pg" hidden="1">{#N/A,#N/A,FALSE,"REPORT"}</definedName>
    <definedName name="zzee" hidden="1">{#N/A,#N/A,FALSE,"Pharm";#N/A,#N/A,FALSE,"WWCM"}</definedName>
    <definedName name="zzzzz" hidden="1">{#N/A,#N/A,FALSE,"REPORT"}</definedName>
    <definedName name="б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иг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고" hidden="1">{#N/A,#N/A,FALSE,"REPORT"}</definedName>
    <definedName name="ㄶㅇ노ㅗㄶ호" hidden="1">{#N/A,#N/A,FALSE,"REPORT"}</definedName>
    <definedName name="미애" hidden="1">{#N/A,#N/A,FALSE,"REPORT"}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0" l="1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AE10" i="30"/>
  <c r="AF10" i="30"/>
  <c r="AG10" i="30"/>
  <c r="AH10" i="30"/>
  <c r="AI10" i="30"/>
  <c r="AJ10" i="30"/>
  <c r="AK10" i="30"/>
  <c r="AL10" i="30"/>
  <c r="AM10" i="30"/>
  <c r="AN10" i="30"/>
  <c r="AO10" i="30"/>
  <c r="AP10" i="30"/>
  <c r="AQ10" i="30"/>
  <c r="AR10" i="30"/>
  <c r="AS10" i="30"/>
  <c r="AT10" i="30"/>
  <c r="AU10" i="30"/>
  <c r="AV10" i="30"/>
  <c r="AW10" i="30"/>
  <c r="BH28" i="30"/>
  <c r="BG28" i="30"/>
  <c r="I27" i="30"/>
  <c r="J27" i="30"/>
  <c r="K27" i="30"/>
  <c r="L27" i="30"/>
  <c r="I26" i="30"/>
  <c r="J26" i="30"/>
  <c r="K26" i="30"/>
  <c r="L26" i="30"/>
  <c r="I25" i="30"/>
  <c r="J25" i="30"/>
  <c r="K25" i="30"/>
  <c r="L25" i="30"/>
  <c r="J24" i="30"/>
  <c r="K24" i="30"/>
  <c r="L24" i="30"/>
  <c r="I28" i="30"/>
  <c r="J28" i="30"/>
  <c r="K28" i="30"/>
  <c r="H28" i="30"/>
  <c r="D28" i="30"/>
  <c r="E28" i="30"/>
  <c r="F28" i="30"/>
  <c r="G28" i="30"/>
  <c r="AL28" i="30"/>
  <c r="S28" i="30"/>
  <c r="L28" i="30"/>
  <c r="M28" i="30"/>
  <c r="N28" i="30"/>
  <c r="O28" i="30"/>
  <c r="P28" i="30"/>
  <c r="Q28" i="30"/>
  <c r="R28" i="30"/>
  <c r="T28" i="30"/>
  <c r="U28" i="30"/>
  <c r="V28" i="30"/>
  <c r="W28" i="30"/>
  <c r="X28" i="30"/>
  <c r="Y28" i="30"/>
  <c r="Z28" i="30"/>
  <c r="AA28" i="30"/>
  <c r="AB28" i="30"/>
  <c r="AC28" i="30"/>
  <c r="AD28" i="30"/>
  <c r="AE28" i="30"/>
  <c r="AF28" i="30"/>
  <c r="AG28" i="30"/>
  <c r="AH28" i="30"/>
  <c r="AI28" i="30"/>
  <c r="AJ28" i="30"/>
  <c r="AK28" i="30"/>
  <c r="AM28" i="30"/>
  <c r="AN28" i="30"/>
  <c r="AO28" i="30"/>
  <c r="AP28" i="30"/>
  <c r="AQ28" i="30"/>
  <c r="AR28" i="30"/>
  <c r="AS28" i="30"/>
  <c r="AT28" i="30"/>
  <c r="AU28" i="30"/>
  <c r="AV28" i="30"/>
  <c r="AW28" i="30"/>
  <c r="AX28" i="30"/>
  <c r="AY28" i="30"/>
  <c r="BA28" i="30"/>
  <c r="BB28" i="30"/>
  <c r="BC28" i="30"/>
  <c r="BE28" i="30"/>
  <c r="BH12" i="30"/>
  <c r="BG12" i="30"/>
  <c r="S34" i="30"/>
  <c r="I29" i="30"/>
  <c r="D12" i="30"/>
  <c r="E12" i="30"/>
  <c r="F12" i="30"/>
  <c r="G12" i="30"/>
  <c r="H12" i="30"/>
  <c r="C12" i="30"/>
  <c r="AZ40" i="30"/>
  <c r="BA40" i="30"/>
  <c r="BB40" i="30"/>
  <c r="BC40" i="30"/>
  <c r="AZ39" i="30"/>
  <c r="BA39" i="30"/>
  <c r="BB39" i="30"/>
  <c r="BC39" i="30"/>
  <c r="AZ38" i="30"/>
  <c r="BA38" i="30"/>
  <c r="BB38" i="30"/>
  <c r="BC38" i="30"/>
  <c r="AZ37" i="30"/>
  <c r="BA37" i="30"/>
  <c r="BB37" i="30"/>
  <c r="BC37" i="30"/>
  <c r="AZ36" i="30"/>
  <c r="BA36" i="30"/>
  <c r="BB36" i="30"/>
  <c r="BC36" i="30"/>
  <c r="AZ35" i="30"/>
  <c r="BA35" i="30"/>
  <c r="BB35" i="30"/>
  <c r="BC35" i="30"/>
  <c r="AZ34" i="30"/>
  <c r="BA34" i="30"/>
  <c r="BB34" i="30"/>
  <c r="BC34" i="30"/>
  <c r="BA31" i="30"/>
  <c r="BB31" i="30"/>
  <c r="BC31" i="30"/>
  <c r="BA30" i="30"/>
  <c r="BB30" i="30"/>
  <c r="BC30" i="30"/>
  <c r="BA29" i="30"/>
  <c r="BB29" i="30"/>
  <c r="BC29" i="30"/>
  <c r="BA27" i="30"/>
  <c r="BB27" i="30"/>
  <c r="BC27" i="30"/>
  <c r="BA26" i="30"/>
  <c r="BB26" i="30"/>
  <c r="BC26" i="30"/>
  <c r="BA25" i="30"/>
  <c r="BB25" i="30"/>
  <c r="BC25" i="30"/>
  <c r="BA24" i="30"/>
  <c r="BB24" i="30"/>
  <c r="BC24" i="30"/>
  <c r="AY24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D40" i="30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AD40" i="30"/>
  <c r="AE40" i="30"/>
  <c r="AF40" i="30"/>
  <c r="AG40" i="30"/>
  <c r="AH40" i="30"/>
  <c r="AI40" i="30"/>
  <c r="AJ40" i="30"/>
  <c r="AK40" i="30"/>
  <c r="AL40" i="30"/>
  <c r="AM40" i="30"/>
  <c r="AN40" i="30"/>
  <c r="AO40" i="30"/>
  <c r="AP40" i="30"/>
  <c r="AQ40" i="30"/>
  <c r="AR40" i="30"/>
  <c r="AS40" i="30"/>
  <c r="AT40" i="30"/>
  <c r="AU40" i="30"/>
  <c r="AV40" i="30"/>
  <c r="AW40" i="30"/>
  <c r="AX40" i="30"/>
  <c r="AY40" i="30"/>
  <c r="BD40" i="30"/>
  <c r="BE40" i="30"/>
  <c r="C40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AB39" i="30"/>
  <c r="AC39" i="30"/>
  <c r="AD39" i="30"/>
  <c r="AE39" i="30"/>
  <c r="AF39" i="30"/>
  <c r="AG39" i="30"/>
  <c r="AH39" i="30"/>
  <c r="AI39" i="30"/>
  <c r="AJ39" i="30"/>
  <c r="AK39" i="30"/>
  <c r="AL39" i="30"/>
  <c r="AM39" i="30"/>
  <c r="AN39" i="30"/>
  <c r="AO39" i="30"/>
  <c r="AP39" i="30"/>
  <c r="AQ39" i="30"/>
  <c r="AR39" i="30"/>
  <c r="AS39" i="30"/>
  <c r="AT39" i="30"/>
  <c r="AU39" i="30"/>
  <c r="AV39" i="30"/>
  <c r="AW39" i="30"/>
  <c r="AX39" i="30"/>
  <c r="AY39" i="30"/>
  <c r="BD39" i="30"/>
  <c r="BE39" i="30"/>
  <c r="C38" i="30"/>
  <c r="D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AD38" i="30"/>
  <c r="AE38" i="30"/>
  <c r="AF38" i="30"/>
  <c r="AG38" i="30"/>
  <c r="AH38" i="30"/>
  <c r="AI38" i="30"/>
  <c r="AJ38" i="30"/>
  <c r="AK38" i="30"/>
  <c r="AL38" i="30"/>
  <c r="AM38" i="30"/>
  <c r="AN38" i="30"/>
  <c r="AO38" i="30"/>
  <c r="AP38" i="30"/>
  <c r="AQ38" i="30"/>
  <c r="AR38" i="30"/>
  <c r="AS38" i="30"/>
  <c r="AT38" i="30"/>
  <c r="AU38" i="30"/>
  <c r="AV38" i="30"/>
  <c r="AW38" i="30"/>
  <c r="AX38" i="30"/>
  <c r="AY38" i="30"/>
  <c r="BD38" i="30"/>
  <c r="BE38" i="30"/>
  <c r="D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AD37" i="30"/>
  <c r="AE37" i="30"/>
  <c r="AF37" i="30"/>
  <c r="AG37" i="30"/>
  <c r="AH37" i="30"/>
  <c r="AI37" i="30"/>
  <c r="AJ37" i="30"/>
  <c r="AK37" i="30"/>
  <c r="AL37" i="30"/>
  <c r="AM37" i="30"/>
  <c r="AN37" i="30"/>
  <c r="AO37" i="30"/>
  <c r="AP37" i="30"/>
  <c r="AQ37" i="30"/>
  <c r="AR37" i="30"/>
  <c r="AS37" i="30"/>
  <c r="AT37" i="30"/>
  <c r="AU37" i="30"/>
  <c r="AV37" i="30"/>
  <c r="AW37" i="30"/>
  <c r="AX37" i="30"/>
  <c r="AY37" i="30"/>
  <c r="BD37" i="30"/>
  <c r="BE37" i="30"/>
  <c r="D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AD36" i="30"/>
  <c r="AE36" i="30"/>
  <c r="AF36" i="30"/>
  <c r="AG36" i="30"/>
  <c r="AH36" i="30"/>
  <c r="AI36" i="30"/>
  <c r="AJ36" i="30"/>
  <c r="AK36" i="30"/>
  <c r="AL36" i="30"/>
  <c r="AM36" i="30"/>
  <c r="AN36" i="30"/>
  <c r="AO36" i="30"/>
  <c r="AP36" i="30"/>
  <c r="AQ36" i="30"/>
  <c r="AR36" i="30"/>
  <c r="AS36" i="30"/>
  <c r="AT36" i="30"/>
  <c r="AU36" i="30"/>
  <c r="AV36" i="30"/>
  <c r="AW36" i="30"/>
  <c r="AX36" i="30"/>
  <c r="AY36" i="30"/>
  <c r="BD36" i="30"/>
  <c r="BE36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AD35" i="30"/>
  <c r="AE35" i="30"/>
  <c r="AF35" i="30"/>
  <c r="AG35" i="30"/>
  <c r="AH35" i="30"/>
  <c r="AI35" i="30"/>
  <c r="AJ35" i="30"/>
  <c r="AK35" i="30"/>
  <c r="AL35" i="30"/>
  <c r="AM35" i="30"/>
  <c r="AN35" i="30"/>
  <c r="AO35" i="30"/>
  <c r="AP35" i="30"/>
  <c r="AQ35" i="30"/>
  <c r="AR35" i="30"/>
  <c r="AS35" i="30"/>
  <c r="AT35" i="30"/>
  <c r="AU35" i="30"/>
  <c r="AV35" i="30"/>
  <c r="AW35" i="30"/>
  <c r="AX35" i="30"/>
  <c r="AY35" i="30"/>
  <c r="BD35" i="30"/>
  <c r="BE35" i="30"/>
  <c r="I34" i="30"/>
  <c r="J34" i="30"/>
  <c r="K34" i="30"/>
  <c r="L34" i="30"/>
  <c r="M34" i="30"/>
  <c r="N34" i="30"/>
  <c r="O34" i="30"/>
  <c r="P34" i="30"/>
  <c r="Q34" i="30"/>
  <c r="R34" i="30"/>
  <c r="T34" i="30"/>
  <c r="U34" i="30"/>
  <c r="V34" i="30"/>
  <c r="W34" i="30"/>
  <c r="X34" i="30"/>
  <c r="Y34" i="30"/>
  <c r="Z34" i="30"/>
  <c r="AA34" i="30"/>
  <c r="AB34" i="30"/>
  <c r="AC34" i="30"/>
  <c r="AD34" i="30"/>
  <c r="AE34" i="30"/>
  <c r="AF34" i="30"/>
  <c r="AG34" i="30"/>
  <c r="AH34" i="30"/>
  <c r="AI34" i="30"/>
  <c r="AJ34" i="30"/>
  <c r="AK34" i="30"/>
  <c r="AL34" i="30"/>
  <c r="AM34" i="30"/>
  <c r="AN34" i="30"/>
  <c r="AO34" i="30"/>
  <c r="AP34" i="30"/>
  <c r="AQ34" i="30"/>
  <c r="AR34" i="30"/>
  <c r="AS34" i="30"/>
  <c r="AT34" i="30"/>
  <c r="AU34" i="30"/>
  <c r="AV34" i="30"/>
  <c r="AW34" i="30"/>
  <c r="AX34" i="30"/>
  <c r="AY34" i="30"/>
  <c r="BD34" i="30"/>
  <c r="BE34" i="30"/>
  <c r="C37" i="30"/>
  <c r="C36" i="30"/>
  <c r="T30" i="30"/>
  <c r="U30" i="30"/>
  <c r="V30" i="30"/>
  <c r="W30" i="30"/>
  <c r="X30" i="30"/>
  <c r="Y30" i="30"/>
  <c r="Z30" i="30"/>
  <c r="AA30" i="30"/>
  <c r="AB30" i="30"/>
  <c r="AC30" i="30"/>
  <c r="AD30" i="30"/>
  <c r="AE30" i="30"/>
  <c r="AF30" i="30"/>
  <c r="AG30" i="30"/>
  <c r="S30" i="30"/>
  <c r="BE24" i="30"/>
  <c r="BE29" i="30"/>
  <c r="BE27" i="30"/>
  <c r="BE26" i="30"/>
  <c r="BE25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M10" i="30" s="1"/>
  <c r="F68" i="30"/>
  <c r="L10" i="30" s="1"/>
  <c r="F67" i="30"/>
  <c r="K10" i="30" s="1"/>
  <c r="F66" i="30"/>
  <c r="J10" i="30" s="1"/>
  <c r="F65" i="30"/>
  <c r="I10" i="30" s="1"/>
  <c r="F64" i="30"/>
  <c r="R10" i="30" s="1"/>
  <c r="F63" i="30"/>
  <c r="Q10" i="30" s="1"/>
  <c r="F62" i="30"/>
  <c r="P10" i="30" s="1"/>
  <c r="F61" i="30"/>
  <c r="O10" i="30" s="1"/>
  <c r="F60" i="30"/>
  <c r="N10" i="30" s="1"/>
  <c r="F59" i="30"/>
  <c r="F58" i="30"/>
  <c r="F57" i="30"/>
  <c r="F56" i="30"/>
  <c r="F55" i="30"/>
  <c r="F54" i="30"/>
  <c r="F53" i="30"/>
  <c r="F52" i="30"/>
  <c r="F51" i="30"/>
  <c r="F50" i="30"/>
  <c r="L49" i="30"/>
  <c r="K49" i="30"/>
  <c r="F49" i="30"/>
  <c r="L48" i="30"/>
  <c r="K48" i="30"/>
  <c r="F48" i="30"/>
  <c r="L47" i="30"/>
  <c r="K47" i="30"/>
  <c r="F47" i="30"/>
  <c r="L46" i="30"/>
  <c r="K46" i="30"/>
  <c r="F46" i="30"/>
  <c r="L45" i="30"/>
  <c r="K45" i="30"/>
  <c r="F45" i="30"/>
  <c r="L44" i="30"/>
  <c r="K44" i="30"/>
  <c r="F44" i="30"/>
  <c r="F43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AY26" i="30"/>
  <c r="AX26" i="30"/>
  <c r="AW26" i="30"/>
  <c r="AV26" i="30"/>
  <c r="AU26" i="30"/>
  <c r="AT26" i="30"/>
  <c r="AS26" i="30"/>
  <c r="AR26" i="30"/>
  <c r="AQ26" i="30"/>
  <c r="AP26" i="30"/>
  <c r="AO26" i="30"/>
  <c r="AN26" i="30"/>
  <c r="AM26" i="30"/>
  <c r="AL26" i="30"/>
  <c r="AK26" i="30"/>
  <c r="AJ26" i="30"/>
  <c r="AI26" i="30"/>
  <c r="AH26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AY25" i="30"/>
  <c r="AX25" i="30"/>
  <c r="AW25" i="30"/>
  <c r="AV25" i="30"/>
  <c r="AU25" i="30"/>
  <c r="AT25" i="30"/>
  <c r="AS25" i="30"/>
  <c r="AR25" i="30"/>
  <c r="AQ25" i="30"/>
  <c r="AP25" i="30"/>
  <c r="AO25" i="30"/>
  <c r="AN25" i="30"/>
  <c r="AM25" i="30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AX24" i="30"/>
  <c r="AW24" i="30"/>
  <c r="AV24" i="30"/>
  <c r="AU24" i="30"/>
  <c r="AT24" i="30"/>
  <c r="AS24" i="30"/>
  <c r="AR24" i="30"/>
  <c r="AQ24" i="30"/>
  <c r="AP24" i="30"/>
  <c r="AO24" i="30"/>
  <c r="AN24" i="30"/>
  <c r="AM24" i="30"/>
  <c r="AL24" i="30"/>
  <c r="AK24" i="30"/>
  <c r="AJ24" i="30"/>
  <c r="AI24" i="30"/>
  <c r="AH24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C28" i="30"/>
  <c r="M44" i="30" l="1"/>
  <c r="M49" i="30"/>
  <c r="M47" i="30"/>
  <c r="M46" i="30"/>
  <c r="M48" i="30"/>
  <c r="M4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AX2" authorId="0" shapeId="0" xr:uid="{02E18B46-EFE9-4893-B885-9367BE2B99A2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  <comment ref="Q5" authorId="0" shapeId="0" xr:uid="{98ADD941-EF84-48EA-9ECB-0EECD785D49A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Updated based on MIM financial error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AX2" authorId="0" shapeId="0" xr:uid="{961958CD-0FEC-4A76-897A-7B83EFBA4DED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AX2" authorId="0" shapeId="0" xr:uid="{6E6828A0-5721-4D88-917D-031FD5285B68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R2" authorId="0" shapeId="0" xr:uid="{AD062EEF-4056-49AB-B1B1-6F28CD039C23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Variance - Subtracting Added care revenue from Purchased as it is driving the variance. </t>
        </r>
        <r>
          <rPr>
            <b/>
            <sz val="9"/>
            <color indexed="81"/>
            <rFont val="Tahoma"/>
            <family val="2"/>
          </rPr>
          <t xml:space="preserve">How do we know? </t>
        </r>
        <r>
          <rPr>
            <sz val="9"/>
            <color indexed="81"/>
            <rFont val="Tahoma"/>
            <family val="2"/>
          </rPr>
          <t xml:space="preserve">This number is fully contracted out. When they need additional staff for 1:1 care, they charge directly, this increases the "contracted" or Purchased hours driving a larger variance. </t>
        </r>
      </text>
    </comment>
    <comment ref="AX2" authorId="0" shapeId="0" xr:uid="{9D75EAF3-FA6E-4B9D-A4AB-66B85462C718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R2" authorId="0" shapeId="0" xr:uid="{8B61B9F9-9AB3-434A-BFFD-653961B4C5B1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Variance - Subtracting Added care revenue from Purchased as it is driving the variance. </t>
        </r>
        <r>
          <rPr>
            <b/>
            <sz val="9"/>
            <color indexed="81"/>
            <rFont val="Tahoma"/>
            <family val="2"/>
          </rPr>
          <t xml:space="preserve">How do we know? </t>
        </r>
        <r>
          <rPr>
            <sz val="9"/>
            <color indexed="81"/>
            <rFont val="Tahoma"/>
            <family val="2"/>
          </rPr>
          <t xml:space="preserve">This number is fully contracted out. When they need additional staff for 1:1 care, they charge directly, this increases the "contracted" or Purchased hours driving a larger variance. </t>
        </r>
      </text>
    </comment>
    <comment ref="AX2" authorId="0" shapeId="0" xr:uid="{57A22865-7CD4-46CB-AFB2-C8E82204FC5A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R2" authorId="0" shapeId="0" xr:uid="{BA19C52D-AC05-4C9F-BC06-171D389FF04A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Variance - Subtracting Added care revenue from Purchased as it is driving the variance. </t>
        </r>
        <r>
          <rPr>
            <b/>
            <sz val="9"/>
            <color indexed="81"/>
            <rFont val="Tahoma"/>
            <family val="2"/>
          </rPr>
          <t xml:space="preserve">How do we know? </t>
        </r>
        <r>
          <rPr>
            <sz val="9"/>
            <color indexed="81"/>
            <rFont val="Tahoma"/>
            <family val="2"/>
          </rPr>
          <t xml:space="preserve">This number is fully contracted out. When they need additional staff for 1:1 care, they charge directly, this increases the "contracted" or Purchased hours driving a larger variance. </t>
        </r>
      </text>
    </comment>
    <comment ref="AX2" authorId="0" shapeId="0" xr:uid="{5D739E0F-9DFE-467D-A9FA-24D8B1DFF15E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R2" authorId="0" shapeId="0" xr:uid="{67067EF2-8676-482D-8957-D02A68A87B59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Variance - Subtracting Added care revenue from Purchased as it is driving the variance. </t>
        </r>
        <r>
          <rPr>
            <b/>
            <sz val="9"/>
            <color indexed="81"/>
            <rFont val="Tahoma"/>
            <family val="2"/>
          </rPr>
          <t xml:space="preserve">How do we know? </t>
        </r>
        <r>
          <rPr>
            <sz val="9"/>
            <color indexed="81"/>
            <rFont val="Tahoma"/>
            <family val="2"/>
          </rPr>
          <t xml:space="preserve">This number is fully contracted out. When they need additional staff for 1:1 care, they charge directly, this increases the "contracted" or Purchased hours driving a larger variance. </t>
        </r>
      </text>
    </comment>
    <comment ref="AX2" authorId="0" shapeId="0" xr:uid="{60AAE268-9DCD-415B-8E5A-04F8C42FFB29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R2" authorId="0" shapeId="0" xr:uid="{B278FCE5-9972-4A99-8459-1B0AE3F9553E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Variance - Subtracting Added care revenue from Purchased as it is driving the variance. </t>
        </r>
        <r>
          <rPr>
            <b/>
            <sz val="9"/>
            <color indexed="81"/>
            <rFont val="Tahoma"/>
            <family val="2"/>
          </rPr>
          <t xml:space="preserve">How do we know? </t>
        </r>
        <r>
          <rPr>
            <sz val="9"/>
            <color indexed="81"/>
            <rFont val="Tahoma"/>
            <family val="2"/>
          </rPr>
          <t xml:space="preserve">This number is fully contracted out. When they need additional staff for 1:1 care, they charge directly, this increases the "contracted" or Purchased hours driving a larger variance. </t>
        </r>
      </text>
    </comment>
    <comment ref="AX2" authorId="0" shapeId="0" xr:uid="{4BD6F8C9-4667-48F4-8775-45C096DB98A0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R2" authorId="0" shapeId="0" xr:uid="{A9ABF4B2-CA9B-446B-8202-BEE2E2FFB5CA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Variance - Subtracting Added care revenue from Purchased as it is driving the variance. </t>
        </r>
        <r>
          <rPr>
            <b/>
            <sz val="9"/>
            <color indexed="81"/>
            <rFont val="Tahoma"/>
            <family val="2"/>
          </rPr>
          <t xml:space="preserve">How do we know? </t>
        </r>
        <r>
          <rPr>
            <sz val="9"/>
            <color indexed="81"/>
            <rFont val="Tahoma"/>
            <family val="2"/>
          </rPr>
          <t xml:space="preserve">This number is fully contracted out. When they need additional staff for 1:1 care, they charge directly, this increases the "contracted" or Purchased hours driving a larger variance. </t>
        </r>
      </text>
    </comment>
    <comment ref="AX2" authorId="0" shapeId="0" xr:uid="{88DB6768-FFC5-431E-8250-3F0744BC1F33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No CapEx for Managed Homes - taken care of by ownership group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Ashiana Jivraj</author>
  </authors>
  <commentList>
    <comment ref="J2" authorId="0" shapeId="0" xr:uid="{1B00760D-4168-420E-8E56-925948C02F21}">
      <text>
        <r>
          <rPr>
            <b/>
            <sz val="9"/>
            <color indexed="81"/>
            <rFont val="Tahoma"/>
            <family val="2"/>
          </rPr>
          <t>Ashiana Jivraj:</t>
        </r>
        <r>
          <rPr>
            <sz val="9"/>
            <color indexed="81"/>
            <rFont val="Tahoma"/>
            <family val="2"/>
          </rPr>
          <t xml:space="preserve">
Don't forget to format as it was before please…
</t>
        </r>
      </text>
    </comment>
  </commentList>
</comments>
</file>

<file path=xl/sharedStrings.xml><?xml version="1.0" encoding="utf-8"?>
<sst xmlns="http://schemas.openxmlformats.org/spreadsheetml/2006/main" count="5377" uniqueCount="248">
  <si>
    <t>Aster</t>
  </si>
  <si>
    <t>Bloom</t>
  </si>
  <si>
    <t>CL</t>
  </si>
  <si>
    <t>GL</t>
  </si>
  <si>
    <t>MN</t>
  </si>
  <si>
    <t>OM</t>
  </si>
  <si>
    <t>VV</t>
  </si>
  <si>
    <t>HC</t>
  </si>
  <si>
    <t>SW</t>
  </si>
  <si>
    <t>ST</t>
  </si>
  <si>
    <t>SP</t>
  </si>
  <si>
    <t>SRG</t>
  </si>
  <si>
    <t>WH</t>
  </si>
  <si>
    <t>BCM</t>
  </si>
  <si>
    <t>CPL</t>
  </si>
  <si>
    <t>MOM</t>
  </si>
  <si>
    <t>MIM</t>
  </si>
  <si>
    <t>SR</t>
  </si>
  <si>
    <t>BBC</t>
  </si>
  <si>
    <t>BJP</t>
  </si>
  <si>
    <t>BMT</t>
  </si>
  <si>
    <t>BMC</t>
  </si>
  <si>
    <t>BMR</t>
  </si>
  <si>
    <t>BRV</t>
  </si>
  <si>
    <t>BST</t>
  </si>
  <si>
    <t>BGW</t>
  </si>
  <si>
    <t>BHR</t>
  </si>
  <si>
    <t>BJB</t>
  </si>
  <si>
    <t>BLV</t>
  </si>
  <si>
    <t>BRC</t>
  </si>
  <si>
    <t>BSD</t>
  </si>
  <si>
    <t>BCT</t>
  </si>
  <si>
    <t>BMS</t>
  </si>
  <si>
    <t>IRO</t>
  </si>
  <si>
    <t>IAM</t>
  </si>
  <si>
    <t>IAR</t>
  </si>
  <si>
    <t>IEM</t>
  </si>
  <si>
    <t>ILD</t>
  </si>
  <si>
    <t>IPG</t>
  </si>
  <si>
    <t>IPH</t>
  </si>
  <si>
    <t>ITL</t>
  </si>
  <si>
    <t>RBR</t>
  </si>
  <si>
    <t>RGO</t>
  </si>
  <si>
    <t>RSM</t>
  </si>
  <si>
    <t>RWB</t>
  </si>
  <si>
    <t>RWG</t>
  </si>
  <si>
    <t>RWH</t>
  </si>
  <si>
    <t>RWL</t>
  </si>
  <si>
    <t>RWW</t>
  </si>
  <si>
    <t>MGS</t>
  </si>
  <si>
    <t>MBC</t>
  </si>
  <si>
    <t>MCG</t>
  </si>
  <si>
    <t>MQG</t>
  </si>
  <si>
    <t>MRG</t>
  </si>
  <si>
    <t>MVF</t>
  </si>
  <si>
    <t>SICK</t>
  </si>
  <si>
    <t>OT</t>
  </si>
  <si>
    <t xml:space="preserve">Purchased Hours </t>
  </si>
  <si>
    <t>Supplies</t>
  </si>
  <si>
    <t>Capex</t>
  </si>
  <si>
    <t>old supplies (before replacing)</t>
  </si>
  <si>
    <t>MAY BUDGET</t>
  </si>
  <si>
    <t>Sick Time</t>
  </si>
  <si>
    <t>Overtime</t>
  </si>
  <si>
    <t>Purchased Hours</t>
  </si>
  <si>
    <t>SUPPLIES</t>
  </si>
  <si>
    <t>1% OT</t>
  </si>
  <si>
    <t>Variance</t>
  </si>
  <si>
    <t>Site Code</t>
  </si>
  <si>
    <t>April Budget (as of March)</t>
  </si>
  <si>
    <t>YTD Totals</t>
  </si>
  <si>
    <t>AgeCare Brandt's Creek Mews</t>
  </si>
  <si>
    <t>AgeCare Cariboo Place</t>
  </si>
  <si>
    <t>AgeCare Monashee Mews</t>
  </si>
  <si>
    <t>AgeCare Mount Ida Mews</t>
  </si>
  <si>
    <t>AgeCare Sun Rivers</t>
  </si>
  <si>
    <t>AgeCare Sagewood</t>
  </si>
  <si>
    <t>AgeCare Seton</t>
  </si>
  <si>
    <t>AgeCare SkyPointe</t>
  </si>
  <si>
    <t>AgeCare Sunrise Gardens</t>
  </si>
  <si>
    <t>AgeCare Walden Heights</t>
  </si>
  <si>
    <t>AgeCare Bow Crest</t>
  </si>
  <si>
    <t xml:space="preserve">AgeCare Jasper Place </t>
  </si>
  <si>
    <t xml:space="preserve">AgeCare McKenzie Towne </t>
  </si>
  <si>
    <t xml:space="preserve">AgeCare Miller Crossing </t>
  </si>
  <si>
    <t xml:space="preserve">AgeCare Mount Royal </t>
  </si>
  <si>
    <t xml:space="preserve">AgeCare Riverview </t>
  </si>
  <si>
    <t xml:space="preserve">AgeCare South Terrace </t>
  </si>
  <si>
    <t xml:space="preserve">AgeCare Carlton </t>
  </si>
  <si>
    <t xml:space="preserve">AgeCare Glenwarren </t>
  </si>
  <si>
    <t xml:space="preserve">AgeCare Holyrood </t>
  </si>
  <si>
    <t>AgeCare James Bay</t>
  </si>
  <si>
    <t xml:space="preserve">AgeCare Lakeview </t>
  </si>
  <si>
    <t xml:space="preserve">AgeCare Malaspina </t>
  </si>
  <si>
    <t xml:space="preserve">AgeCare Royal City </t>
  </si>
  <si>
    <t>AgeCare Sandringham</t>
  </si>
  <si>
    <t>Total for IRIS</t>
  </si>
  <si>
    <t>Aurora (IAR)</t>
  </si>
  <si>
    <t>Aylmer (IAM)</t>
  </si>
  <si>
    <t>Elmira (IEM)</t>
  </si>
  <si>
    <t>London (ILD)</t>
  </si>
  <si>
    <t>Parkhill (IPH)</t>
  </si>
  <si>
    <t>Pine Grove (IPG)</t>
  </si>
  <si>
    <t>Royal Oak (IRO)</t>
  </si>
  <si>
    <t>Trilogy (ITL)</t>
  </si>
  <si>
    <t>Total for REGENCY</t>
  </si>
  <si>
    <t>Brant (RBR)</t>
  </si>
  <si>
    <t>Glen Oaks (RGO)</t>
  </si>
  <si>
    <t>Wenleigh (RWL)</t>
  </si>
  <si>
    <t>Westbury (RWB)</t>
  </si>
  <si>
    <t>West Williams (RWW)</t>
  </si>
  <si>
    <t>Willowgrove (RWG)</t>
  </si>
  <si>
    <t>Woodhaven (RWH)</t>
  </si>
  <si>
    <t>Samac (RSM)</t>
  </si>
  <si>
    <t>SG</t>
  </si>
  <si>
    <t>CapEx</t>
  </si>
  <si>
    <t>N/A</t>
  </si>
  <si>
    <t xml:space="preserve">**Check June File to alter May for ACIL </t>
  </si>
  <si>
    <t>ACIL - No approved Capex Budget?</t>
  </si>
  <si>
    <t>ACIL</t>
  </si>
  <si>
    <t>Iris</t>
  </si>
  <si>
    <t>Regency</t>
  </si>
  <si>
    <t>NA</t>
  </si>
  <si>
    <t>July Budget</t>
  </si>
  <si>
    <t>Actual</t>
  </si>
  <si>
    <t>-</t>
  </si>
  <si>
    <t>August Budget</t>
  </si>
  <si>
    <t>Compared to last</t>
  </si>
  <si>
    <t>NOTE: SG and SRG are the same</t>
  </si>
  <si>
    <t xml:space="preserve">-   </t>
  </si>
  <si>
    <t xml:space="preserve"> -   </t>
  </si>
  <si>
    <t xml:space="preserve">(for sept I first filled in 'RnM' and populated this from there, but going forward I should populate the monthly tab first </t>
  </si>
  <si>
    <t>Repairs &amp; Maintenance</t>
  </si>
  <si>
    <t xml:space="preserve"> Supplies (not funded)</t>
  </si>
  <si>
    <t>Sept Budget</t>
  </si>
  <si>
    <t>(thrid party staffing for ACIL 'Budget' tab)</t>
  </si>
  <si>
    <t>Supplies (not funded)</t>
  </si>
  <si>
    <t>TOTAL SPEND to Date 2025</t>
  </si>
  <si>
    <t>Budget 
(FY) 2025</t>
  </si>
  <si>
    <t>YTD Spend</t>
  </si>
  <si>
    <t>Left Dollars</t>
  </si>
  <si>
    <t>Aster AB</t>
  </si>
  <si>
    <t>Aster BC</t>
  </si>
  <si>
    <t xml:space="preserve">Bloom AB </t>
  </si>
  <si>
    <t>Bloom BC</t>
  </si>
  <si>
    <t xml:space="preserve">Iris </t>
  </si>
  <si>
    <t xml:space="preserve">Regency </t>
  </si>
  <si>
    <t>Managed</t>
  </si>
  <si>
    <t>From capex data below</t>
  </si>
  <si>
    <t>ON only</t>
  </si>
  <si>
    <t>Oct Budget</t>
  </si>
  <si>
    <t>Purchased Hours (- Added Care for AB only)</t>
  </si>
  <si>
    <t>6500 + 6500 SUPPLIES (- Added Care AB Only)</t>
  </si>
  <si>
    <t>Nov Budget</t>
  </si>
  <si>
    <t>6500 + 6500 SUPPLIES</t>
  </si>
  <si>
    <t>6500 + 6600 SUPPLIES (- Added Care AB Only)</t>
  </si>
  <si>
    <t>Dic Budget</t>
  </si>
  <si>
    <t>Arbutus</t>
  </si>
  <si>
    <t>MAC</t>
  </si>
  <si>
    <t>Jan Budget</t>
  </si>
  <si>
    <t>Purchased Hours (- Added Care for AB only, or - podiatry for ON only)</t>
  </si>
  <si>
    <t>Repairs</t>
  </si>
  <si>
    <t>Maintenance</t>
  </si>
  <si>
    <t>Other (R&amp;M)</t>
  </si>
  <si>
    <t>BOTH R&amp;M (for ACIL)</t>
  </si>
  <si>
    <t>Feb Budget</t>
  </si>
  <si>
    <t>Repairs (both R&amp;M for ACIL)</t>
  </si>
  <si>
    <t>Other(RnM)</t>
  </si>
  <si>
    <t>Other (R &amp; M)</t>
  </si>
  <si>
    <t>FEB not in yet (ON/BLOOM/Aster) - ALSO, they keep updating the file, I downloaded it on March 10, so I don't know if their updates would impact the amounts above</t>
  </si>
  <si>
    <t xml:space="preserve"> </t>
  </si>
  <si>
    <t>TOTAL</t>
  </si>
  <si>
    <t>Repairs (RnM funded ON)</t>
  </si>
  <si>
    <t>Maintenance (RnM unfunded ON)</t>
  </si>
  <si>
    <t>Repairs (both R&amp;M for ACIL) and (funded RnM ON)</t>
  </si>
  <si>
    <t>Maintenance (unfunded RnM ON)</t>
  </si>
  <si>
    <t>Repairs (both R&amp;M for ACIL) (RnM funded ON)</t>
  </si>
  <si>
    <t>Repairs (not the same Feb Mar)</t>
  </si>
  <si>
    <t>Maintenance (not the same Feb Mar)</t>
  </si>
  <si>
    <t>Sick</t>
  </si>
  <si>
    <t xml:space="preserve">ASTER </t>
  </si>
  <si>
    <t>Jan</t>
  </si>
  <si>
    <t>Feb</t>
  </si>
  <si>
    <t>March</t>
  </si>
  <si>
    <t>May</t>
  </si>
  <si>
    <t xml:space="preserve">April </t>
  </si>
  <si>
    <t>June</t>
  </si>
  <si>
    <t>July</t>
  </si>
  <si>
    <t>Aug</t>
  </si>
  <si>
    <t>Sep</t>
  </si>
  <si>
    <t>Oct</t>
  </si>
  <si>
    <t>Nov</t>
  </si>
  <si>
    <t>Dec</t>
  </si>
  <si>
    <t>Jan 26</t>
  </si>
  <si>
    <t>Feb 26</t>
  </si>
  <si>
    <t>Mar 26</t>
  </si>
  <si>
    <t xml:space="preserve">Agency </t>
  </si>
  <si>
    <t>BC Aster</t>
  </si>
  <si>
    <t>Clinical Supplies</t>
  </si>
  <si>
    <t>BC Bloom</t>
  </si>
  <si>
    <t>AB Aster</t>
  </si>
  <si>
    <t>AB Bloom</t>
  </si>
  <si>
    <t>Apr</t>
  </si>
  <si>
    <t xml:space="preserve">Jun </t>
  </si>
  <si>
    <t xml:space="preserve">July </t>
  </si>
  <si>
    <t>Sept</t>
  </si>
  <si>
    <t xml:space="preserve">min </t>
  </si>
  <si>
    <t>max</t>
  </si>
  <si>
    <t>avg</t>
  </si>
  <si>
    <t>Purchased</t>
  </si>
  <si>
    <t>OA Supplies</t>
  </si>
  <si>
    <t>Total</t>
  </si>
  <si>
    <t>Managed ON</t>
  </si>
  <si>
    <t>Mar</t>
  </si>
  <si>
    <t>Jun</t>
  </si>
  <si>
    <t>Jul</t>
  </si>
  <si>
    <t>Number of Beds</t>
  </si>
  <si>
    <t>Bloom AB</t>
  </si>
  <si>
    <t>ON Managed</t>
  </si>
  <si>
    <t>OMIT</t>
  </si>
  <si>
    <t xml:space="preserve">ACIL </t>
  </si>
  <si>
    <t>total</t>
  </si>
  <si>
    <t>Q2</t>
  </si>
  <si>
    <t>Q3</t>
  </si>
  <si>
    <t>Q4</t>
  </si>
  <si>
    <t>Clinical</t>
  </si>
  <si>
    <t xml:space="preserve">Oct </t>
  </si>
  <si>
    <t>Budget</t>
  </si>
  <si>
    <t>RNM Spend To Date (Variance to Budget)</t>
  </si>
  <si>
    <t>YTD</t>
  </si>
  <si>
    <t>Q1</t>
  </si>
  <si>
    <t>YTD CapEX Spend and $ Left</t>
  </si>
  <si>
    <t xml:space="preserve"> - RNM</t>
  </si>
  <si>
    <t>RnM</t>
  </si>
  <si>
    <t>PERCENTAGE VARIANCE</t>
  </si>
  <si>
    <t>BUDGET</t>
  </si>
  <si>
    <t>Apr 26</t>
  </si>
  <si>
    <t>NOTE on the new visualiation, probaly include the RnM in the line graph</t>
  </si>
  <si>
    <t>Q2 26</t>
  </si>
  <si>
    <t>Q1 26</t>
  </si>
  <si>
    <t>TOTALS</t>
  </si>
  <si>
    <t>DS</t>
  </si>
  <si>
    <t>SN</t>
  </si>
  <si>
    <t>Ds</t>
  </si>
  <si>
    <t>TOTAL SPEND to Date 2026</t>
  </si>
  <si>
    <t>Budget (FY) 2026</t>
  </si>
  <si>
    <t>May26</t>
  </si>
  <si>
    <t>Past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</si>
</sst>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(&quot;$&quot;* #,##0_);_(&quot;$&quot;* \(#,##0\);_(&quot;$&quot;* &quot;-&quot;??_);_(@_)"/>
    <numFmt numFmtId="168" formatCode="&quot;$&quot;#,##0"/>
    <numFmt numFmtId="169" formatCode="#,##0;\(#,##0\)"/>
    <numFmt numFmtId="170" formatCode="[=0]#,##0_);[&lt;0]\(#,##0\);#,##0_)"/>
    <numFmt numFmtId="171" formatCode="_-&quot;$&quot;* #,##0.00_-;\-&quot;$&quot;* #,##0.00_-;_-&quot;$&quot;* &quot;-&quot;??_-;_-@_-"/>
    <numFmt numFmtId="172" formatCode="_-* #,##0.00\ _€_-;\-* #,##0.00\ _€_-;_-* &quot;-&quot;??\ _€_-;_-@_-"/>
    <numFmt numFmtId="173" formatCode="_-&quot;$&quot;\ * #,##0.00_-;\-&quot;$&quot;\ * #,##0.00_-;_-&quot;$&quot;\ * &quot;-&quot;??_-;_-@_-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 Nova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 Nova"/>
      <family val="2"/>
    </font>
    <font>
      <sz val="10"/>
      <name val="Arial"/>
      <family val="2"/>
    </font>
    <font>
      <b/>
      <sz val="11"/>
      <color rgb="FFFF0000"/>
      <name val="Arial Nova"/>
      <family val="2"/>
    </font>
    <font>
      <b/>
      <sz val="11"/>
      <color theme="1"/>
      <name val="Arial Nova"/>
      <family val="2"/>
    </font>
    <font>
      <sz val="11"/>
      <name val="Arial Nov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rial Nova"/>
      <family val="2"/>
    </font>
    <font>
      <sz val="12"/>
      <color rgb="FF000000"/>
      <name val="Arial Nova"/>
      <family val="2"/>
    </font>
    <font>
      <b/>
      <sz val="11"/>
      <color rgb="FF000000"/>
      <name val="Arial Nova"/>
      <family val="2"/>
    </font>
    <font>
      <sz val="10"/>
      <color rgb="FF000000"/>
      <name val="Arial Nova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6100"/>
      <name val="Arial Nova"/>
      <family val="2"/>
    </font>
    <font>
      <b/>
      <sz val="11"/>
      <color rgb="FF9C5700"/>
      <name val="Arial Nova"/>
      <family val="2"/>
    </font>
    <font>
      <b/>
      <sz val="11"/>
      <color rgb="FF9C0006"/>
      <name val="Arial Nova"/>
      <family val="2"/>
    </font>
    <font>
      <sz val="8"/>
      <name val="Aptos Narrow"/>
      <family val="2"/>
      <scheme val="minor"/>
    </font>
    <font>
      <b/>
      <sz val="12"/>
      <color rgb="FF000000"/>
      <name val="Arial Nov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242424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sz val="11"/>
      <color rgb="FF242424"/>
      <name val="Consolas"/>
      <family val="3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Aptos Narrow"/>
      <family val="2"/>
      <scheme val="minor"/>
    </font>
    <font>
      <u/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</fonts>
  <fills count="6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CE0F5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2B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7F5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2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28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0" fontId="43" fillId="0" borderId="0"/>
    <xf numFmtId="44" fontId="6" fillId="0" borderId="0" applyFont="0" applyFill="0" applyBorder="0" applyAlignment="0" applyProtection="0"/>
    <xf numFmtId="0" fontId="44" fillId="0" borderId="0"/>
    <xf numFmtId="9" fontId="6" fillId="0" borderId="0" applyFont="0" applyFill="0" applyBorder="0" applyAlignment="0" applyProtection="0"/>
    <xf numFmtId="0" fontId="1" fillId="0" borderId="0"/>
    <xf numFmtId="44" fontId="44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5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9" fontId="4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top"/>
    </xf>
    <xf numFmtId="0" fontId="48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0" fontId="42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0" fontId="51" fillId="0" borderId="0" applyNumberFormat="0" applyFill="0" applyBorder="0" applyAlignment="0" applyProtection="0"/>
    <xf numFmtId="0" fontId="52" fillId="0" borderId="61" applyNumberFormat="0" applyFill="0" applyAlignment="0" applyProtection="0"/>
    <xf numFmtId="0" fontId="53" fillId="0" borderId="62" applyNumberFormat="0" applyFill="0" applyAlignment="0" applyProtection="0"/>
    <xf numFmtId="0" fontId="54" fillId="0" borderId="63" applyNumberFormat="0" applyFill="0" applyAlignment="0" applyProtection="0"/>
    <xf numFmtId="0" fontId="54" fillId="0" borderId="0" applyNumberFormat="0" applyFill="0" applyBorder="0" applyAlignment="0" applyProtection="0"/>
    <xf numFmtId="0" fontId="55" fillId="29" borderId="0" applyNumberFormat="0" applyBorder="0" applyAlignment="0" applyProtection="0"/>
    <xf numFmtId="0" fontId="56" fillId="30" borderId="0" applyNumberFormat="0" applyBorder="0" applyAlignment="0" applyProtection="0"/>
    <xf numFmtId="0" fontId="57" fillId="31" borderId="0" applyNumberFormat="0" applyBorder="0" applyAlignment="0" applyProtection="0"/>
    <xf numFmtId="0" fontId="58" fillId="32" borderId="64" applyNumberFormat="0" applyAlignment="0" applyProtection="0"/>
    <xf numFmtId="0" fontId="59" fillId="33" borderId="65" applyNumberFormat="0" applyAlignment="0" applyProtection="0"/>
    <xf numFmtId="0" fontId="60" fillId="33" borderId="64" applyNumberFormat="0" applyAlignment="0" applyProtection="0"/>
    <xf numFmtId="0" fontId="61" fillId="0" borderId="66" applyNumberFormat="0" applyFill="0" applyAlignment="0" applyProtection="0"/>
    <xf numFmtId="0" fontId="13" fillId="34" borderId="67" applyNumberFormat="0" applyAlignment="0" applyProtection="0"/>
    <xf numFmtId="0" fontId="50" fillId="0" borderId="0" applyNumberFormat="0" applyFill="0" applyBorder="0" applyAlignment="0" applyProtection="0"/>
    <xf numFmtId="0" fontId="1" fillId="35" borderId="68" applyNumberFormat="0" applyFont="0" applyAlignment="0" applyProtection="0"/>
    <xf numFmtId="0" fontId="62" fillId="0" borderId="0" applyNumberFormat="0" applyFill="0" applyBorder="0" applyAlignment="0" applyProtection="0"/>
    <xf numFmtId="0" fontId="14" fillId="0" borderId="69" applyNumberFormat="0" applyFill="0" applyAlignment="0" applyProtection="0"/>
    <xf numFmtId="0" fontId="63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63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63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63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63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63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1" fillId="0" borderId="0"/>
    <xf numFmtId="0" fontId="1" fillId="0" borderId="0"/>
    <xf numFmtId="0" fontId="64" fillId="0" borderId="0"/>
    <xf numFmtId="43" fontId="6" fillId="0" borderId="0" applyFont="0" applyFill="0" applyBorder="0" applyAlignment="0" applyProtection="0"/>
    <xf numFmtId="0" fontId="6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5" fillId="0" borderId="0"/>
    <xf numFmtId="43" fontId="6" fillId="0" borderId="0" applyFont="0" applyFill="0" applyBorder="0" applyAlignment="0" applyProtection="0"/>
    <xf numFmtId="0" fontId="6" fillId="0" borderId="0"/>
    <xf numFmtId="0" fontId="45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64" fillId="0" borderId="0" applyFont="0" applyFill="0" applyBorder="0" applyAlignment="0" applyProtection="0"/>
    <xf numFmtId="164" fontId="6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48" fillId="0" borderId="0"/>
    <xf numFmtId="172" fontId="45" fillId="0" borderId="0" applyFont="0" applyFill="0" applyBorder="0" applyAlignment="0" applyProtection="0">
      <alignment vertical="top"/>
    </xf>
    <xf numFmtId="0" fontId="45" fillId="0" borderId="0">
      <alignment vertical="top"/>
    </xf>
    <xf numFmtId="0" fontId="6" fillId="0" borderId="0"/>
    <xf numFmtId="0" fontId="45" fillId="0" borderId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172" fontId="64" fillId="0" borderId="0" applyFont="0" applyFill="0" applyBorder="0" applyAlignment="0" applyProtection="0"/>
    <xf numFmtId="0" fontId="45" fillId="0" borderId="0">
      <alignment vertical="top"/>
    </xf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65" fillId="0" borderId="0" applyFont="0" applyFill="0" applyBorder="0" applyAlignment="0" applyProtection="0"/>
    <xf numFmtId="172" fontId="45" fillId="0" borderId="0" applyFont="0" applyFill="0" applyBorder="0" applyAlignment="0" applyProtection="0">
      <alignment vertical="top"/>
    </xf>
    <xf numFmtId="43" fontId="45" fillId="0" borderId="0" applyFont="0" applyFill="0" applyBorder="0" applyAlignment="0" applyProtection="0">
      <alignment vertical="top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top"/>
    </xf>
    <xf numFmtId="164" fontId="45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6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top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top"/>
    </xf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top"/>
    </xf>
    <xf numFmtId="171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71" fontId="44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6" fillId="0" borderId="0"/>
    <xf numFmtId="171" fontId="1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64" fillId="0" borderId="0" applyFont="0" applyFill="0" applyBorder="0" applyAlignment="0" applyProtection="0"/>
    <xf numFmtId="164" fontId="64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6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5" fillId="0" borderId="0" applyFont="0" applyFill="0" applyBorder="0" applyAlignment="0" applyProtection="0"/>
    <xf numFmtId="17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6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top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top"/>
    </xf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top"/>
    </xf>
    <xf numFmtId="171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1" fillId="0" borderId="0"/>
    <xf numFmtId="0" fontId="1" fillId="0" borderId="0"/>
    <xf numFmtId="0" fontId="64" fillId="0" borderId="0"/>
    <xf numFmtId="164" fontId="64" fillId="0" borderId="0" applyFont="0" applyFill="0" applyBorder="0" applyAlignment="0" applyProtection="0"/>
    <xf numFmtId="0" fontId="1" fillId="35" borderId="68" applyNumberFormat="0" applyFont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64" fillId="0" borderId="0"/>
    <xf numFmtId="0" fontId="45" fillId="0" borderId="0"/>
    <xf numFmtId="0" fontId="1" fillId="0" borderId="0"/>
    <xf numFmtId="0" fontId="1" fillId="57" borderId="0" applyNumberFormat="0" applyBorder="0" applyAlignment="0" applyProtection="0"/>
    <xf numFmtId="0" fontId="1" fillId="45" borderId="0" applyNumberFormat="0" applyBorder="0" applyAlignment="0" applyProtection="0"/>
    <xf numFmtId="0" fontId="1" fillId="42" borderId="0" applyNumberFormat="0" applyBorder="0" applyAlignment="0" applyProtection="0"/>
    <xf numFmtId="0" fontId="1" fillId="35" borderId="68" applyNumberFormat="0" applyFont="0" applyAlignment="0" applyProtection="0"/>
    <xf numFmtId="0" fontId="1" fillId="37" borderId="0" applyNumberFormat="0" applyBorder="0" applyAlignment="0" applyProtection="0"/>
    <xf numFmtId="0" fontId="1" fillId="53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1" borderId="0" applyNumberFormat="0" applyBorder="0" applyAlignment="0" applyProtection="0"/>
    <xf numFmtId="0" fontId="1" fillId="47" borderId="0" applyNumberFormat="0" applyBorder="0" applyAlignment="0" applyProtection="0"/>
    <xf numFmtId="0" fontId="1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1" fillId="55" borderId="0" applyNumberFormat="0" applyBorder="0" applyAlignment="0" applyProtection="0"/>
    <xf numFmtId="0" fontId="1" fillId="43" borderId="0" applyNumberFormat="0" applyBorder="0" applyAlignment="0" applyProtection="0"/>
    <xf numFmtId="0" fontId="1" fillId="41" borderId="0" applyNumberFormat="0" applyBorder="0" applyAlignment="0" applyProtection="0"/>
    <xf numFmtId="0" fontId="1" fillId="49" borderId="0" applyNumberFormat="0" applyBorder="0" applyAlignment="0" applyProtection="0"/>
    <xf numFmtId="0" fontId="1" fillId="58" borderId="0" applyNumberFormat="0" applyBorder="0" applyAlignment="0" applyProtection="0"/>
    <xf numFmtId="0" fontId="1" fillId="50" borderId="0" applyNumberFormat="0" applyBorder="0" applyAlignment="0" applyProtection="0"/>
    <xf numFmtId="0" fontId="1" fillId="46" borderId="0" applyNumberFormat="0" applyBorder="0" applyAlignment="0" applyProtection="0"/>
    <xf numFmtId="0" fontId="1" fillId="3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/>
    <xf numFmtId="164" fontId="4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46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71" fontId="6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top"/>
    </xf>
    <xf numFmtId="164" fontId="6" fillId="0" borderId="0" applyFont="0" applyFill="0" applyBorder="0" applyAlignment="0" applyProtection="0"/>
  </cellStyleXfs>
  <cellXfs count="444">
    <xf numFmtId="0" fontId="0" fillId="0" borderId="0" xfId="0"/>
    <xf numFmtId="0" fontId="7" fillId="2" borderId="1" xfId="5" applyFont="1" applyFill="1" applyBorder="1"/>
    <xf numFmtId="0" fontId="5" fillId="0" borderId="2" xfId="5" applyFont="1" applyBorder="1" applyAlignment="1">
      <alignment horizontal="left" indent="1"/>
    </xf>
    <xf numFmtId="0" fontId="5" fillId="0" borderId="3" xfId="5" applyFont="1" applyBorder="1" applyAlignment="1">
      <alignment horizontal="left" indent="1"/>
    </xf>
    <xf numFmtId="0" fontId="7" fillId="2" borderId="4" xfId="5" applyFont="1" applyFill="1" applyBorder="1"/>
    <xf numFmtId="0" fontId="5" fillId="0" borderId="5" xfId="5" applyFont="1" applyBorder="1" applyAlignment="1">
      <alignment horizontal="left" indent="1"/>
    </xf>
    <xf numFmtId="0" fontId="5" fillId="0" borderId="6" xfId="5" applyFont="1" applyBorder="1" applyAlignment="1">
      <alignment horizontal="left" indent="1"/>
    </xf>
    <xf numFmtId="0" fontId="5" fillId="0" borderId="7" xfId="5" applyFont="1" applyBorder="1" applyAlignment="1">
      <alignment horizontal="left" indent="1"/>
    </xf>
    <xf numFmtId="0" fontId="5" fillId="0" borderId="8" xfId="5" applyFont="1" applyBorder="1" applyAlignment="1">
      <alignment horizontal="left" indent="1"/>
    </xf>
    <xf numFmtId="0" fontId="0" fillId="4" borderId="0" xfId="0" applyFill="1"/>
    <xf numFmtId="0" fontId="0" fillId="4" borderId="20" xfId="0" applyFill="1" applyBorder="1"/>
    <xf numFmtId="0" fontId="14" fillId="0" borderId="0" xfId="0" applyFont="1"/>
    <xf numFmtId="165" fontId="0" fillId="0" borderId="0" xfId="1" applyNumberFormat="1" applyFont="1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5" fontId="14" fillId="0" borderId="0" xfId="1" applyNumberFormat="1" applyFont="1"/>
    <xf numFmtId="0" fontId="12" fillId="0" borderId="0" xfId="0" applyFont="1"/>
    <xf numFmtId="0" fontId="15" fillId="5" borderId="22" xfId="8" applyFont="1" applyFill="1" applyBorder="1" applyAlignment="1">
      <alignment horizontal="center" vertical="center"/>
    </xf>
    <xf numFmtId="0" fontId="8" fillId="6" borderId="23" xfId="8" applyFont="1" applyFill="1" applyBorder="1"/>
    <xf numFmtId="0" fontId="5" fillId="0" borderId="24" xfId="8" applyFont="1" applyBorder="1" applyAlignment="1">
      <alignment horizontal="left" indent="1"/>
    </xf>
    <xf numFmtId="0" fontId="5" fillId="0" borderId="6" xfId="8" applyFont="1" applyBorder="1" applyAlignment="1">
      <alignment horizontal="left" indent="1"/>
    </xf>
    <xf numFmtId="0" fontId="5" fillId="0" borderId="8" xfId="8" applyFont="1" applyBorder="1" applyAlignment="1">
      <alignment horizontal="left" indent="1"/>
    </xf>
    <xf numFmtId="17" fontId="15" fillId="5" borderId="12" xfId="8" applyNumberFormat="1" applyFont="1" applyFill="1" applyBorder="1" applyAlignment="1">
      <alignment horizontal="center" vertical="center"/>
    </xf>
    <xf numFmtId="8" fontId="8" fillId="6" borderId="25" xfId="8" applyNumberFormat="1" applyFont="1" applyFill="1" applyBorder="1" applyAlignment="1">
      <alignment horizontal="right"/>
    </xf>
    <xf numFmtId="166" fontId="5" fillId="0" borderId="13" xfId="2" applyNumberFormat="1" applyFont="1" applyFill="1" applyBorder="1"/>
    <xf numFmtId="166" fontId="5" fillId="0" borderId="10" xfId="2" applyNumberFormat="1" applyFont="1" applyFill="1" applyBorder="1"/>
    <xf numFmtId="166" fontId="5" fillId="0" borderId="14" xfId="2" applyNumberFormat="1" applyFont="1" applyFill="1" applyBorder="1"/>
    <xf numFmtId="43" fontId="8" fillId="6" borderId="23" xfId="8" applyNumberFormat="1" applyFont="1" applyFill="1" applyBorder="1"/>
    <xf numFmtId="0" fontId="5" fillId="0" borderId="26" xfId="8" applyFont="1" applyBorder="1" applyAlignment="1">
      <alignment horizontal="left" indent="1"/>
    </xf>
    <xf numFmtId="0" fontId="5" fillId="0" borderId="23" xfId="8" applyFont="1" applyBorder="1" applyAlignment="1">
      <alignment horizontal="left" indent="1"/>
    </xf>
    <xf numFmtId="43" fontId="8" fillId="6" borderId="12" xfId="8" applyNumberFormat="1" applyFont="1" applyFill="1" applyBorder="1"/>
    <xf numFmtId="2" fontId="5" fillId="0" borderId="13" xfId="2" applyNumberFormat="1" applyFont="1" applyFill="1" applyBorder="1"/>
    <xf numFmtId="2" fontId="5" fillId="0" borderId="10" xfId="2" applyNumberFormat="1" applyFont="1" applyFill="1" applyBorder="1"/>
    <xf numFmtId="2" fontId="5" fillId="0" borderId="27" xfId="2" applyNumberFormat="1" applyFont="1" applyFill="1" applyBorder="1"/>
    <xf numFmtId="2" fontId="5" fillId="0" borderId="28" xfId="2" applyNumberFormat="1" applyFont="1" applyFill="1" applyBorder="1"/>
    <xf numFmtId="43" fontId="8" fillId="6" borderId="29" xfId="8" applyNumberFormat="1" applyFont="1" applyFill="1" applyBorder="1" applyAlignment="1">
      <alignment horizontal="right"/>
    </xf>
    <xf numFmtId="2" fontId="16" fillId="0" borderId="21" xfId="4" applyNumberFormat="1" applyFont="1" applyBorder="1"/>
    <xf numFmtId="2" fontId="16" fillId="0" borderId="17" xfId="4" applyNumberFormat="1" applyFont="1" applyBorder="1"/>
    <xf numFmtId="2" fontId="16" fillId="0" borderId="19" xfId="4" applyNumberFormat="1" applyFont="1" applyBorder="1"/>
    <xf numFmtId="43" fontId="8" fillId="6" borderId="30" xfId="8" applyNumberFormat="1" applyFont="1" applyFill="1" applyBorder="1" applyAlignment="1">
      <alignment horizontal="right"/>
    </xf>
    <xf numFmtId="8" fontId="8" fillId="6" borderId="30" xfId="8" applyNumberFormat="1" applyFont="1" applyFill="1" applyBorder="1" applyAlignment="1">
      <alignment horizontal="right"/>
    </xf>
    <xf numFmtId="8" fontId="17" fillId="7" borderId="15" xfId="0" applyNumberFormat="1" applyFont="1" applyFill="1" applyBorder="1"/>
    <xf numFmtId="8" fontId="2" fillId="0" borderId="9" xfId="0" applyNumberFormat="1" applyFont="1" applyBorder="1"/>
    <xf numFmtId="8" fontId="2" fillId="0" borderId="10" xfId="0" applyNumberFormat="1" applyFont="1" applyBorder="1"/>
    <xf numFmtId="8" fontId="18" fillId="0" borderId="10" xfId="0" applyNumberFormat="1" applyFont="1" applyBorder="1" applyAlignment="1">
      <alignment horizontal="right"/>
    </xf>
    <xf numFmtId="8" fontId="2" fillId="0" borderId="11" xfId="0" applyNumberFormat="1" applyFont="1" applyBorder="1"/>
    <xf numFmtId="8" fontId="17" fillId="7" borderId="12" xfId="0" applyNumberFormat="1" applyFont="1" applyFill="1" applyBorder="1"/>
    <xf numFmtId="8" fontId="2" fillId="0" borderId="13" xfId="0" applyNumberFormat="1" applyFont="1" applyBorder="1"/>
    <xf numFmtId="4" fontId="2" fillId="0" borderId="10" xfId="0" applyNumberFormat="1" applyFont="1" applyBorder="1"/>
    <xf numFmtId="0" fontId="2" fillId="0" borderId="10" xfId="0" applyFont="1" applyBorder="1"/>
    <xf numFmtId="8" fontId="2" fillId="0" borderId="14" xfId="0" applyNumberFormat="1" applyFont="1" applyBorder="1"/>
    <xf numFmtId="0" fontId="7" fillId="7" borderId="1" xfId="0" applyFont="1" applyFill="1" applyBorder="1"/>
    <xf numFmtId="0" fontId="2" fillId="0" borderId="2" xfId="0" applyFont="1" applyBorder="1" applyAlignment="1">
      <alignment horizontal="left" indent="1"/>
    </xf>
    <xf numFmtId="0" fontId="2" fillId="0" borderId="3" xfId="0" applyFont="1" applyBorder="1" applyAlignment="1">
      <alignment horizontal="left" indent="1"/>
    </xf>
    <xf numFmtId="0" fontId="7" fillId="7" borderId="4" xfId="0" applyFont="1" applyFill="1" applyBorder="1"/>
    <xf numFmtId="0" fontId="2" fillId="0" borderId="5" xfId="0" applyFont="1" applyBorder="1" applyAlignment="1">
      <alignment horizontal="left" indent="1"/>
    </xf>
    <xf numFmtId="0" fontId="2" fillId="0" borderId="6" xfId="0" applyFont="1" applyBorder="1" applyAlignment="1">
      <alignment horizontal="left" indent="1"/>
    </xf>
    <xf numFmtId="0" fontId="2" fillId="0" borderId="7" xfId="0" applyFont="1" applyBorder="1" applyAlignment="1">
      <alignment horizontal="left" indent="1"/>
    </xf>
    <xf numFmtId="0" fontId="2" fillId="0" borderId="8" xfId="0" applyFont="1" applyBorder="1" applyAlignment="1">
      <alignment horizontal="left" indent="1"/>
    </xf>
    <xf numFmtId="8" fontId="17" fillId="7" borderId="1" xfId="0" applyNumberFormat="1" applyFont="1" applyFill="1" applyBorder="1" applyAlignment="1">
      <alignment horizontal="right"/>
    </xf>
    <xf numFmtId="8" fontId="2" fillId="0" borderId="31" xfId="0" applyNumberFormat="1" applyFont="1" applyBorder="1"/>
    <xf numFmtId="8" fontId="2" fillId="0" borderId="17" xfId="0" applyNumberFormat="1" applyFont="1" applyBorder="1"/>
    <xf numFmtId="8" fontId="2" fillId="0" borderId="18" xfId="0" applyNumberFormat="1" applyFont="1" applyBorder="1"/>
    <xf numFmtId="8" fontId="17" fillId="7" borderId="32" xfId="0" applyNumberFormat="1" applyFont="1" applyFill="1" applyBorder="1"/>
    <xf numFmtId="8" fontId="2" fillId="0" borderId="16" xfId="0" applyNumberFormat="1" applyFont="1" applyBorder="1"/>
    <xf numFmtId="8" fontId="2" fillId="0" borderId="19" xfId="0" applyNumberFormat="1" applyFont="1" applyBorder="1"/>
    <xf numFmtId="8" fontId="17" fillId="7" borderId="33" xfId="0" applyNumberFormat="1" applyFont="1" applyFill="1" applyBorder="1" applyAlignment="1">
      <alignment horizontal="right"/>
    </xf>
    <xf numFmtId="4" fontId="17" fillId="7" borderId="30" xfId="0" applyNumberFormat="1" applyFont="1" applyFill="1" applyBorder="1" applyAlignment="1">
      <alignment horizontal="right"/>
    </xf>
    <xf numFmtId="8" fontId="2" fillId="0" borderId="34" xfId="0" applyNumberFormat="1" applyFont="1" applyBorder="1"/>
    <xf numFmtId="8" fontId="17" fillId="7" borderId="30" xfId="0" applyNumberFormat="1" applyFont="1" applyFill="1" applyBorder="1"/>
    <xf numFmtId="8" fontId="2" fillId="0" borderId="28" xfId="0" applyNumberFormat="1" applyFont="1" applyBorder="1"/>
    <xf numFmtId="4" fontId="17" fillId="8" borderId="29" xfId="0" applyNumberFormat="1" applyFont="1" applyFill="1" applyBorder="1" applyAlignment="1">
      <alignment horizontal="right"/>
    </xf>
    <xf numFmtId="0" fontId="16" fillId="0" borderId="21" xfId="0" applyFont="1" applyBorder="1"/>
    <xf numFmtId="0" fontId="16" fillId="0" borderId="17" xfId="0" applyFont="1" applyBorder="1"/>
    <xf numFmtId="0" fontId="16" fillId="0" borderId="19" xfId="0" applyFont="1" applyBorder="1"/>
    <xf numFmtId="8" fontId="17" fillId="8" borderId="35" xfId="0" applyNumberFormat="1" applyFont="1" applyFill="1" applyBorder="1" applyAlignment="1">
      <alignment horizontal="right"/>
    </xf>
    <xf numFmtId="4" fontId="16" fillId="0" borderId="17" xfId="0" applyNumberFormat="1" applyFont="1" applyBorder="1"/>
    <xf numFmtId="4" fontId="16" fillId="0" borderId="31" xfId="0" applyNumberFormat="1" applyFont="1" applyBorder="1"/>
    <xf numFmtId="4" fontId="16" fillId="0" borderId="19" xfId="0" applyNumberFormat="1" applyFont="1" applyBorder="1"/>
    <xf numFmtId="8" fontId="18" fillId="0" borderId="10" xfId="0" applyNumberFormat="1" applyFont="1" applyBorder="1" applyAlignment="1">
      <alignment horizontal="left" vertical="center"/>
    </xf>
    <xf numFmtId="167" fontId="8" fillId="6" borderId="25" xfId="7" applyNumberFormat="1" applyFont="1" applyFill="1" applyBorder="1" applyAlignment="1">
      <alignment horizontal="right"/>
    </xf>
    <xf numFmtId="167" fontId="17" fillId="8" borderId="35" xfId="7" applyNumberFormat="1" applyFont="1" applyFill="1" applyBorder="1" applyAlignment="1">
      <alignment horizontal="right"/>
    </xf>
    <xf numFmtId="167" fontId="8" fillId="6" borderId="12" xfId="7" applyNumberFormat="1" applyFont="1" applyFill="1" applyBorder="1"/>
    <xf numFmtId="167" fontId="17" fillId="8" borderId="29" xfId="7" applyNumberFormat="1" applyFont="1" applyFill="1" applyBorder="1" applyAlignment="1">
      <alignment horizontal="right"/>
    </xf>
    <xf numFmtId="167" fontId="17" fillId="7" borderId="15" xfId="7" applyNumberFormat="1" applyFont="1" applyFill="1" applyBorder="1"/>
    <xf numFmtId="167" fontId="17" fillId="7" borderId="1" xfId="7" applyNumberFormat="1" applyFont="1" applyFill="1" applyBorder="1" applyAlignment="1">
      <alignment horizontal="right"/>
    </xf>
    <xf numFmtId="167" fontId="17" fillId="7" borderId="12" xfId="7" applyNumberFormat="1" applyFont="1" applyFill="1" applyBorder="1"/>
    <xf numFmtId="167" fontId="17" fillId="7" borderId="30" xfId="7" applyNumberFormat="1" applyFont="1" applyFill="1" applyBorder="1"/>
    <xf numFmtId="1" fontId="0" fillId="0" borderId="0" xfId="0" applyNumberFormat="1"/>
    <xf numFmtId="165" fontId="0" fillId="0" borderId="0" xfId="0" applyNumberFormat="1"/>
    <xf numFmtId="165" fontId="10" fillId="0" borderId="0" xfId="3" applyNumberFormat="1" applyFont="1"/>
    <xf numFmtId="165" fontId="0" fillId="0" borderId="0" xfId="3" applyNumberFormat="1" applyFont="1"/>
    <xf numFmtId="166" fontId="0" fillId="0" borderId="0" xfId="2" applyNumberFormat="1" applyFont="1"/>
    <xf numFmtId="166" fontId="0" fillId="0" borderId="0" xfId="0" applyNumberFormat="1"/>
    <xf numFmtId="0" fontId="11" fillId="0" borderId="0" xfId="0" applyFont="1" applyAlignment="1">
      <alignment vertical="top"/>
    </xf>
    <xf numFmtId="9" fontId="9" fillId="0" borderId="0" xfId="2" applyNumberFormat="1" applyFont="1" applyBorder="1"/>
    <xf numFmtId="0" fontId="7" fillId="2" borderId="0" xfId="5" applyFont="1" applyFill="1"/>
    <xf numFmtId="9" fontId="8" fillId="2" borderId="0" xfId="10" applyFont="1" applyFill="1" applyBorder="1" applyAlignment="1"/>
    <xf numFmtId="0" fontId="8" fillId="6" borderId="0" xfId="8" applyFont="1" applyFill="1"/>
    <xf numFmtId="9" fontId="8" fillId="6" borderId="0" xfId="8" applyNumberFormat="1" applyFont="1" applyFill="1"/>
    <xf numFmtId="0" fontId="5" fillId="0" borderId="0" xfId="8" applyFont="1" applyAlignment="1">
      <alignment horizontal="left" indent="1"/>
    </xf>
    <xf numFmtId="43" fontId="8" fillId="6" borderId="0" xfId="8" applyNumberFormat="1" applyFont="1" applyFill="1"/>
    <xf numFmtId="0" fontId="5" fillId="0" borderId="0" xfId="5" applyFont="1" applyAlignment="1">
      <alignment horizontal="left" indent="1"/>
    </xf>
    <xf numFmtId="9" fontId="0" fillId="0" borderId="0" xfId="9" applyFont="1"/>
    <xf numFmtId="168" fontId="8" fillId="6" borderId="36" xfId="8" applyNumberFormat="1" applyFont="1" applyFill="1" applyBorder="1"/>
    <xf numFmtId="168" fontId="17" fillId="0" borderId="0" xfId="0" applyNumberFormat="1" applyFont="1" applyAlignment="1">
      <alignment horizontal="right" readingOrder="1"/>
    </xf>
    <xf numFmtId="168" fontId="14" fillId="0" borderId="0" xfId="0" applyNumberFormat="1" applyFont="1"/>
    <xf numFmtId="0" fontId="19" fillId="0" borderId="0" xfId="0" applyFont="1"/>
    <xf numFmtId="168" fontId="19" fillId="0" borderId="0" xfId="8" applyNumberFormat="1" applyFont="1"/>
    <xf numFmtId="168" fontId="20" fillId="0" borderId="0" xfId="0" applyNumberFormat="1" applyFont="1" applyAlignment="1">
      <alignment horizontal="right" readingOrder="1"/>
    </xf>
    <xf numFmtId="9" fontId="19" fillId="0" borderId="0" xfId="9" applyFont="1" applyBorder="1"/>
    <xf numFmtId="168" fontId="19" fillId="0" borderId="0" xfId="0" applyNumberFormat="1" applyFont="1"/>
    <xf numFmtId="0" fontId="0" fillId="0" borderId="20" xfId="0" applyBorder="1"/>
    <xf numFmtId="9" fontId="8" fillId="6" borderId="37" xfId="8" applyNumberFormat="1" applyFont="1" applyFill="1" applyBorder="1"/>
    <xf numFmtId="9" fontId="9" fillId="0" borderId="38" xfId="2" applyNumberFormat="1" applyFont="1" applyBorder="1"/>
    <xf numFmtId="9" fontId="9" fillId="0" borderId="39" xfId="2" applyNumberFormat="1" applyFont="1" applyBorder="1"/>
    <xf numFmtId="9" fontId="9" fillId="0" borderId="40" xfId="2" applyNumberFormat="1" applyFont="1" applyBorder="1"/>
    <xf numFmtId="9" fontId="21" fillId="9" borderId="1" xfId="0" applyNumberFormat="1" applyFont="1" applyFill="1" applyBorder="1"/>
    <xf numFmtId="9" fontId="21" fillId="9" borderId="41" xfId="0" applyNumberFormat="1" applyFont="1" applyFill="1" applyBorder="1"/>
    <xf numFmtId="9" fontId="21" fillId="9" borderId="42" xfId="0" applyNumberFormat="1" applyFont="1" applyFill="1" applyBorder="1"/>
    <xf numFmtId="9" fontId="22" fillId="10" borderId="42" xfId="0" applyNumberFormat="1" applyFont="1" applyFill="1" applyBorder="1"/>
    <xf numFmtId="9" fontId="23" fillId="11" borderId="42" xfId="0" applyNumberFormat="1" applyFont="1" applyFill="1" applyBorder="1"/>
    <xf numFmtId="9" fontId="21" fillId="9" borderId="43" xfId="0" applyNumberFormat="1" applyFont="1" applyFill="1" applyBorder="1"/>
    <xf numFmtId="9" fontId="21" fillId="9" borderId="44" xfId="0" applyNumberFormat="1" applyFont="1" applyFill="1" applyBorder="1"/>
    <xf numFmtId="165" fontId="1" fillId="0" borderId="0" xfId="1" applyNumberFormat="1" applyFont="1"/>
    <xf numFmtId="2" fontId="5" fillId="0" borderId="45" xfId="2" applyNumberFormat="1" applyFont="1" applyBorder="1" applyAlignment="1">
      <alignment horizontal="right"/>
    </xf>
    <xf numFmtId="2" fontId="5" fillId="0" borderId="38" xfId="2" applyNumberFormat="1" applyFont="1" applyBorder="1" applyAlignment="1">
      <alignment horizontal="right"/>
    </xf>
    <xf numFmtId="2" fontId="5" fillId="0" borderId="46" xfId="2" applyNumberFormat="1" applyFont="1" applyBorder="1" applyAlignment="1">
      <alignment horizontal="right"/>
    </xf>
    <xf numFmtId="2" fontId="5" fillId="0" borderId="37" xfId="2" applyNumberFormat="1" applyFont="1" applyBorder="1" applyAlignment="1">
      <alignment horizontal="right"/>
    </xf>
    <xf numFmtId="43" fontId="8" fillId="6" borderId="47" xfId="8" applyNumberFormat="1" applyFont="1" applyFill="1" applyBorder="1" applyAlignment="1">
      <alignment horizontal="right"/>
    </xf>
    <xf numFmtId="2" fontId="5" fillId="0" borderId="13" xfId="2" applyNumberFormat="1" applyFont="1" applyBorder="1"/>
    <xf numFmtId="2" fontId="5" fillId="0" borderId="10" xfId="2" applyNumberFormat="1" applyFont="1" applyBorder="1"/>
    <xf numFmtId="2" fontId="5" fillId="0" borderId="27" xfId="2" applyNumberFormat="1" applyFont="1" applyBorder="1"/>
    <xf numFmtId="2" fontId="5" fillId="0" borderId="28" xfId="2" applyNumberFormat="1" applyFont="1" applyBorder="1"/>
    <xf numFmtId="43" fontId="5" fillId="0" borderId="45" xfId="2" applyNumberFormat="1" applyFont="1" applyBorder="1" applyAlignment="1">
      <alignment horizontal="right"/>
    </xf>
    <xf numFmtId="43" fontId="5" fillId="0" borderId="48" xfId="2" applyNumberFormat="1" applyFont="1" applyBorder="1" applyAlignment="1">
      <alignment horizontal="right"/>
    </xf>
    <xf numFmtId="8" fontId="8" fillId="6" borderId="47" xfId="8" applyNumberFormat="1" applyFont="1" applyFill="1" applyBorder="1" applyAlignment="1">
      <alignment horizontal="right"/>
    </xf>
    <xf numFmtId="43" fontId="5" fillId="0" borderId="49" xfId="2" applyNumberFormat="1" applyFont="1" applyBorder="1" applyAlignment="1">
      <alignment horizontal="right"/>
    </xf>
    <xf numFmtId="43" fontId="5" fillId="0" borderId="50" xfId="2" applyNumberFormat="1" applyFont="1" applyBorder="1" applyAlignment="1">
      <alignment horizontal="right"/>
    </xf>
    <xf numFmtId="43" fontId="5" fillId="0" borderId="22" xfId="2" applyNumberFormat="1" applyFont="1" applyBorder="1" applyAlignment="1">
      <alignment horizontal="right"/>
    </xf>
    <xf numFmtId="7" fontId="8" fillId="2" borderId="33" xfId="6" applyNumberFormat="1" applyFont="1" applyFill="1" applyBorder="1" applyAlignment="1">
      <alignment horizontal="right"/>
    </xf>
    <xf numFmtId="7" fontId="5" fillId="0" borderId="51" xfId="6" applyNumberFormat="1" applyFont="1" applyFill="1" applyBorder="1" applyAlignment="1">
      <alignment horizontal="right"/>
    </xf>
    <xf numFmtId="43" fontId="5" fillId="0" borderId="52" xfId="6" applyNumberFormat="1" applyFont="1" applyFill="1" applyBorder="1" applyAlignment="1">
      <alignment horizontal="right"/>
    </xf>
    <xf numFmtId="43" fontId="8" fillId="2" borderId="30" xfId="6" applyNumberFormat="1" applyFont="1" applyFill="1" applyBorder="1" applyAlignment="1">
      <alignment horizontal="right"/>
    </xf>
    <xf numFmtId="7" fontId="5" fillId="0" borderId="53" xfId="6" applyNumberFormat="1" applyFont="1" applyBorder="1" applyAlignment="1">
      <alignment horizontal="right"/>
    </xf>
    <xf numFmtId="7" fontId="5" fillId="0" borderId="54" xfId="6" applyNumberFormat="1" applyFont="1" applyBorder="1" applyAlignment="1">
      <alignment horizontal="right"/>
    </xf>
    <xf numFmtId="7" fontId="5" fillId="0" borderId="33" xfId="6" applyNumberFormat="1" applyFont="1" applyBorder="1" applyAlignment="1">
      <alignment horizontal="right"/>
    </xf>
    <xf numFmtId="7" fontId="8" fillId="2" borderId="55" xfId="6" applyNumberFormat="1" applyFont="1" applyFill="1" applyBorder="1" applyAlignment="1">
      <alignment horizontal="right"/>
    </xf>
    <xf numFmtId="7" fontId="5" fillId="0" borderId="24" xfId="6" applyNumberFormat="1" applyFont="1" applyBorder="1"/>
    <xf numFmtId="7" fontId="5" fillId="0" borderId="56" xfId="6" applyNumberFormat="1" applyFont="1" applyBorder="1"/>
    <xf numFmtId="7" fontId="8" fillId="2" borderId="47" xfId="6" applyNumberFormat="1" applyFont="1" applyFill="1" applyBorder="1" applyAlignment="1"/>
    <xf numFmtId="7" fontId="5" fillId="0" borderId="57" xfId="6" applyNumberFormat="1" applyFont="1" applyBorder="1"/>
    <xf numFmtId="7" fontId="5" fillId="0" borderId="58" xfId="6" applyNumberFormat="1" applyFont="1" applyBorder="1"/>
    <xf numFmtId="7" fontId="5" fillId="0" borderId="59" xfId="6" applyNumberFormat="1" applyFont="1" applyBorder="1"/>
    <xf numFmtId="9" fontId="0" fillId="0" borderId="0" xfId="0" applyNumberFormat="1"/>
    <xf numFmtId="9" fontId="0" fillId="0" borderId="0" xfId="0" applyNumberFormat="1" applyAlignment="1">
      <alignment horizontal="right"/>
    </xf>
    <xf numFmtId="43" fontId="0" fillId="0" borderId="0" xfId="0" applyNumberFormat="1"/>
    <xf numFmtId="0" fontId="25" fillId="12" borderId="0" xfId="0" applyFont="1" applyFill="1"/>
    <xf numFmtId="0" fontId="25" fillId="13" borderId="0" xfId="0" applyFont="1" applyFill="1"/>
    <xf numFmtId="0" fontId="25" fillId="14" borderId="0" xfId="0" applyFont="1" applyFill="1"/>
    <xf numFmtId="0" fontId="17" fillId="15" borderId="0" xfId="0" applyFont="1" applyFill="1"/>
    <xf numFmtId="0" fontId="17" fillId="16" borderId="0" xfId="0" applyFont="1" applyFill="1"/>
    <xf numFmtId="0" fontId="17" fillId="17" borderId="0" xfId="0" applyFont="1" applyFill="1"/>
    <xf numFmtId="0" fontId="17" fillId="18" borderId="0" xfId="0" applyFont="1" applyFill="1"/>
    <xf numFmtId="0" fontId="17" fillId="19" borderId="0" xfId="0" applyFont="1" applyFill="1"/>
    <xf numFmtId="0" fontId="17" fillId="19" borderId="60" xfId="0" applyFont="1" applyFill="1" applyBorder="1"/>
    <xf numFmtId="0" fontId="16" fillId="12" borderId="0" xfId="0" applyFont="1" applyFill="1" applyAlignment="1">
      <alignment horizontal="center" wrapText="1"/>
    </xf>
    <xf numFmtId="0" fontId="16" fillId="13" borderId="0" xfId="0" applyFont="1" applyFill="1" applyAlignment="1">
      <alignment horizontal="center" wrapText="1"/>
    </xf>
    <xf numFmtId="0" fontId="16" fillId="14" borderId="0" xfId="0" applyFont="1" applyFill="1" applyAlignment="1">
      <alignment horizontal="center" wrapText="1"/>
    </xf>
    <xf numFmtId="0" fontId="2" fillId="15" borderId="0" xfId="0" applyFont="1" applyFill="1" applyAlignment="1">
      <alignment horizontal="center" wrapText="1"/>
    </xf>
    <xf numFmtId="0" fontId="2" fillId="16" borderId="0" xfId="0" applyFont="1" applyFill="1" applyAlignment="1">
      <alignment horizontal="center" wrapText="1"/>
    </xf>
    <xf numFmtId="0" fontId="2" fillId="17" borderId="0" xfId="0" applyFont="1" applyFill="1" applyAlignment="1">
      <alignment horizontal="center" wrapText="1"/>
    </xf>
    <xf numFmtId="0" fontId="2" fillId="18" borderId="0" xfId="0" applyFont="1" applyFill="1" applyAlignment="1">
      <alignment horizontal="center" wrapText="1"/>
    </xf>
    <xf numFmtId="0" fontId="2" fillId="19" borderId="0" xfId="0" applyFont="1" applyFill="1" applyAlignment="1">
      <alignment horizontal="center" wrapText="1"/>
    </xf>
    <xf numFmtId="0" fontId="2" fillId="19" borderId="60" xfId="0" applyFont="1" applyFill="1" applyBorder="1" applyAlignment="1">
      <alignment horizontal="center" wrapText="1"/>
    </xf>
    <xf numFmtId="0" fontId="2" fillId="12" borderId="18" xfId="0" applyFont="1" applyFill="1" applyBorder="1" applyAlignment="1">
      <alignment horizontal="center" wrapText="1"/>
    </xf>
    <xf numFmtId="0" fontId="2" fillId="14" borderId="18" xfId="0" applyFont="1" applyFill="1" applyBorder="1" applyAlignment="1">
      <alignment horizontal="center" wrapText="1"/>
    </xf>
    <xf numFmtId="0" fontId="2" fillId="15" borderId="18" xfId="0" applyFont="1" applyFill="1" applyBorder="1" applyAlignment="1">
      <alignment horizontal="center" wrapText="1"/>
    </xf>
    <xf numFmtId="0" fontId="2" fillId="17" borderId="18" xfId="0" applyFont="1" applyFill="1" applyBorder="1" applyAlignment="1">
      <alignment horizontal="center" wrapText="1"/>
    </xf>
    <xf numFmtId="166" fontId="0" fillId="0" borderId="0" xfId="3" applyNumberFormat="1" applyFont="1"/>
    <xf numFmtId="166" fontId="0" fillId="0" borderId="0" xfId="0" applyNumberFormat="1" applyAlignment="1">
      <alignment horizontal="center"/>
    </xf>
    <xf numFmtId="9" fontId="0" fillId="0" borderId="0" xfId="9" applyFont="1" applyFill="1"/>
    <xf numFmtId="165" fontId="10" fillId="0" borderId="0" xfId="3" applyNumberFormat="1" applyFont="1" applyFill="1"/>
    <xf numFmtId="166" fontId="1" fillId="0" borderId="0" xfId="1" applyNumberFormat="1" applyFont="1" applyFill="1"/>
    <xf numFmtId="166" fontId="1" fillId="3" borderId="0" xfId="1" applyNumberFormat="1" applyFont="1" applyFill="1"/>
    <xf numFmtId="166" fontId="4" fillId="3" borderId="0" xfId="0" applyNumberFormat="1" applyFont="1" applyFill="1"/>
    <xf numFmtId="166" fontId="4" fillId="0" borderId="0" xfId="0" applyNumberFormat="1" applyFont="1"/>
    <xf numFmtId="166" fontId="6" fillId="0" borderId="0" xfId="11" applyNumberFormat="1"/>
    <xf numFmtId="9" fontId="0" fillId="20" borderId="0" xfId="0" applyNumberFormat="1" applyFill="1" applyAlignment="1">
      <alignment horizontal="right"/>
    </xf>
    <xf numFmtId="0" fontId="6" fillId="0" borderId="0" xfId="0" applyFont="1"/>
    <xf numFmtId="169" fontId="0" fillId="0" borderId="0" xfId="0" applyNumberFormat="1" applyAlignment="1">
      <alignment vertical="top"/>
    </xf>
    <xf numFmtId="169" fontId="0" fillId="0" borderId="0" xfId="0" applyNumberFormat="1"/>
    <xf numFmtId="0" fontId="6" fillId="21" borderId="0" xfId="0" applyFont="1" applyFill="1"/>
    <xf numFmtId="0" fontId="6" fillId="20" borderId="0" xfId="0" applyFont="1" applyFill="1"/>
    <xf numFmtId="8" fontId="2" fillId="0" borderId="51" xfId="0" applyNumberFormat="1" applyFont="1" applyBorder="1" applyAlignment="1">
      <alignment horizontal="right"/>
    </xf>
    <xf numFmtId="4" fontId="2" fillId="0" borderId="52" xfId="0" applyNumberFormat="1" applyFont="1" applyBorder="1" applyAlignment="1">
      <alignment horizontal="right"/>
    </xf>
    <xf numFmtId="8" fontId="2" fillId="0" borderId="53" xfId="0" applyNumberFormat="1" applyFont="1" applyBorder="1" applyAlignment="1">
      <alignment horizontal="right"/>
    </xf>
    <xf numFmtId="8" fontId="2" fillId="0" borderId="54" xfId="0" applyNumberFormat="1" applyFont="1" applyBorder="1" applyAlignment="1">
      <alignment horizontal="right"/>
    </xf>
    <xf numFmtId="8" fontId="2" fillId="0" borderId="33" xfId="0" applyNumberFormat="1" applyFont="1" applyBorder="1" applyAlignment="1">
      <alignment horizontal="right"/>
    </xf>
    <xf numFmtId="7" fontId="5" fillId="0" borderId="24" xfId="6" applyNumberFormat="1" applyFont="1" applyFill="1" applyBorder="1"/>
    <xf numFmtId="7" fontId="5" fillId="0" borderId="56" xfId="6" applyNumberFormat="1" applyFont="1" applyFill="1" applyBorder="1"/>
    <xf numFmtId="7" fontId="8" fillId="0" borderId="47" xfId="6" applyNumberFormat="1" applyFont="1" applyFill="1" applyBorder="1" applyAlignment="1"/>
    <xf numFmtId="7" fontId="5" fillId="0" borderId="57" xfId="6" applyNumberFormat="1" applyFont="1" applyFill="1" applyBorder="1"/>
    <xf numFmtId="7" fontId="5" fillId="0" borderId="58" xfId="6" applyNumberFormat="1" applyFont="1" applyFill="1" applyBorder="1"/>
    <xf numFmtId="7" fontId="5" fillId="0" borderId="59" xfId="6" applyNumberFormat="1" applyFont="1" applyFill="1" applyBorder="1"/>
    <xf numFmtId="166" fontId="0" fillId="0" borderId="0" xfId="0" applyNumberFormat="1" applyAlignment="1">
      <alignment vertical="top"/>
    </xf>
    <xf numFmtId="166" fontId="0" fillId="0" borderId="0" xfId="0" applyNumberFormat="1" applyAlignment="1">
      <alignment horizontal="left"/>
    </xf>
    <xf numFmtId="165" fontId="0" fillId="0" borderId="0" xfId="14" applyNumberFormat="1" applyFont="1" applyAlignment="1"/>
    <xf numFmtId="166" fontId="6" fillId="0" borderId="0" xfId="0" applyNumberFormat="1" applyFont="1"/>
    <xf numFmtId="165" fontId="6" fillId="0" borderId="0" xfId="0" applyNumberFormat="1" applyFont="1"/>
    <xf numFmtId="166" fontId="6" fillId="3" borderId="0" xfId="0" applyNumberFormat="1" applyFont="1" applyFill="1"/>
    <xf numFmtId="0" fontId="2" fillId="0" borderId="45" xfId="0" applyFont="1" applyBorder="1" applyAlignment="1">
      <alignment horizontal="right"/>
    </xf>
    <xf numFmtId="0" fontId="2" fillId="0" borderId="49" xfId="0" applyFont="1" applyBorder="1" applyAlignment="1">
      <alignment horizontal="right"/>
    </xf>
    <xf numFmtId="4" fontId="2" fillId="0" borderId="45" xfId="0" applyNumberFormat="1" applyFont="1" applyBorder="1" applyAlignment="1">
      <alignment horizontal="right"/>
    </xf>
    <xf numFmtId="0" fontId="2" fillId="0" borderId="50" xfId="0" applyFont="1" applyBorder="1" applyAlignment="1">
      <alignment horizontal="right"/>
    </xf>
    <xf numFmtId="4" fontId="2" fillId="0" borderId="50" xfId="0" applyNumberFormat="1" applyFont="1" applyBorder="1" applyAlignment="1">
      <alignment horizontal="right"/>
    </xf>
    <xf numFmtId="4" fontId="2" fillId="0" borderId="48" xfId="0" applyNumberFormat="1" applyFont="1" applyBorder="1" applyAlignment="1">
      <alignment horizontal="right"/>
    </xf>
    <xf numFmtId="4" fontId="2" fillId="0" borderId="22" xfId="0" applyNumberFormat="1" applyFont="1" applyBorder="1" applyAlignment="1">
      <alignment horizontal="right"/>
    </xf>
    <xf numFmtId="9" fontId="3" fillId="0" borderId="0" xfId="0" applyNumberFormat="1" applyFont="1"/>
    <xf numFmtId="166" fontId="0" fillId="0" borderId="0" xfId="1" applyNumberFormat="1" applyFont="1"/>
    <xf numFmtId="166" fontId="0" fillId="21" borderId="0" xfId="0" applyNumberFormat="1" applyFill="1" applyAlignment="1">
      <alignment vertical="top"/>
    </xf>
    <xf numFmtId="166" fontId="0" fillId="21" borderId="0" xfId="1" applyNumberFormat="1" applyFont="1" applyFill="1"/>
    <xf numFmtId="166" fontId="0" fillId="20" borderId="0" xfId="0" applyNumberFormat="1" applyFill="1" applyAlignment="1">
      <alignment vertical="top"/>
    </xf>
    <xf numFmtId="166" fontId="0" fillId="20" borderId="0" xfId="1" applyNumberFormat="1" applyFont="1" applyFill="1"/>
    <xf numFmtId="0" fontId="6" fillId="3" borderId="0" xfId="0" applyFont="1" applyFill="1"/>
    <xf numFmtId="166" fontId="0" fillId="3" borderId="0" xfId="0" applyNumberFormat="1" applyFill="1" applyAlignment="1">
      <alignment vertical="top"/>
    </xf>
    <xf numFmtId="166" fontId="0" fillId="3" borderId="0" xfId="1" applyNumberFormat="1" applyFont="1" applyFill="1"/>
    <xf numFmtId="166" fontId="0" fillId="3" borderId="0" xfId="0" applyNumberFormat="1" applyFill="1"/>
    <xf numFmtId="166" fontId="0" fillId="22" borderId="0" xfId="0" applyNumberFormat="1" applyFill="1"/>
    <xf numFmtId="166" fontId="10" fillId="0" borderId="0" xfId="3" applyNumberFormat="1" applyFont="1"/>
    <xf numFmtId="166" fontId="10" fillId="0" borderId="0" xfId="3" applyNumberFormat="1" applyFont="1" applyFill="1"/>
    <xf numFmtId="9" fontId="0" fillId="0" borderId="0" xfId="9" applyFont="1" applyFill="1" applyBorder="1"/>
    <xf numFmtId="0" fontId="14" fillId="23" borderId="0" xfId="0" applyFont="1" applyFill="1"/>
    <xf numFmtId="0" fontId="0" fillId="0" borderId="43" xfId="0" applyBorder="1"/>
    <xf numFmtId="0" fontId="29" fillId="0" borderId="0" xfId="4" applyFont="1"/>
    <xf numFmtId="166" fontId="1" fillId="0" borderId="0" xfId="0" applyNumberFormat="1" applyFont="1"/>
    <xf numFmtId="165" fontId="0" fillId="0" borderId="0" xfId="3" applyNumberFormat="1" applyFont="1" applyBorder="1"/>
    <xf numFmtId="165" fontId="0" fillId="0" borderId="0" xfId="1" applyNumberFormat="1" applyFont="1" applyBorder="1"/>
    <xf numFmtId="0" fontId="14" fillId="0" borderId="41" xfId="0" applyFont="1" applyBorder="1"/>
    <xf numFmtId="165" fontId="0" fillId="0" borderId="41" xfId="3" applyNumberFormat="1" applyFont="1" applyBorder="1"/>
    <xf numFmtId="165" fontId="0" fillId="0" borderId="41" xfId="1" applyNumberFormat="1" applyFont="1" applyBorder="1"/>
    <xf numFmtId="0" fontId="0" fillId="0" borderId="41" xfId="0" applyBorder="1"/>
    <xf numFmtId="165" fontId="0" fillId="0" borderId="0" xfId="2" applyNumberFormat="1" applyFont="1" applyBorder="1"/>
    <xf numFmtId="165" fontId="0" fillId="0" borderId="41" xfId="2" applyNumberFormat="1" applyFont="1" applyBorder="1"/>
    <xf numFmtId="165" fontId="0" fillId="0" borderId="41" xfId="0" applyNumberFormat="1" applyBorder="1"/>
    <xf numFmtId="166" fontId="0" fillId="0" borderId="0" xfId="2" applyNumberFormat="1" applyFont="1" applyBorder="1"/>
    <xf numFmtId="166" fontId="0" fillId="0" borderId="41" xfId="2" applyNumberFormat="1" applyFont="1" applyBorder="1"/>
    <xf numFmtId="170" fontId="30" fillId="0" borderId="0" xfId="0" applyNumberFormat="1" applyFont="1"/>
    <xf numFmtId="166" fontId="30" fillId="0" borderId="0" xfId="0" applyNumberFormat="1" applyFont="1"/>
    <xf numFmtId="44" fontId="0" fillId="0" borderId="0" xfId="0" applyNumberFormat="1"/>
    <xf numFmtId="0" fontId="0" fillId="24" borderId="0" xfId="0" applyFill="1"/>
    <xf numFmtId="0" fontId="13" fillId="24" borderId="0" xfId="0" applyFont="1" applyFill="1"/>
    <xf numFmtId="167" fontId="0" fillId="0" borderId="0" xfId="0" applyNumberFormat="1"/>
    <xf numFmtId="0" fontId="14" fillId="4" borderId="0" xfId="0" applyFont="1" applyFill="1"/>
    <xf numFmtId="0" fontId="0" fillId="4" borderId="0" xfId="0" quotePrefix="1" applyFill="1"/>
    <xf numFmtId="166" fontId="12" fillId="0" borderId="0" xfId="11" applyNumberFormat="1" applyFont="1"/>
    <xf numFmtId="166" fontId="14" fillId="0" borderId="0" xfId="1" applyNumberFormat="1" applyFont="1" applyFill="1"/>
    <xf numFmtId="166" fontId="14" fillId="0" borderId="0" xfId="0" applyNumberFormat="1" applyFont="1"/>
    <xf numFmtId="0" fontId="31" fillId="0" borderId="0" xfId="0" applyFont="1"/>
    <xf numFmtId="0" fontId="32" fillId="0" borderId="0" xfId="0" applyFont="1"/>
    <xf numFmtId="166" fontId="31" fillId="0" borderId="0" xfId="0" applyNumberFormat="1" applyFont="1"/>
    <xf numFmtId="165" fontId="31" fillId="0" borderId="0" xfId="14" applyNumberFormat="1" applyFont="1" applyAlignment="1"/>
    <xf numFmtId="9" fontId="31" fillId="0" borderId="0" xfId="0" applyNumberFormat="1" applyFont="1"/>
    <xf numFmtId="9" fontId="33" fillId="0" borderId="0" xfId="0" applyNumberFormat="1" applyFont="1"/>
    <xf numFmtId="0" fontId="31" fillId="0" borderId="0" xfId="0" applyFont="1" applyAlignment="1">
      <alignment horizontal="left"/>
    </xf>
    <xf numFmtId="166" fontId="31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  <xf numFmtId="165" fontId="31" fillId="0" borderId="0" xfId="0" applyNumberFormat="1" applyFont="1"/>
    <xf numFmtId="1" fontId="32" fillId="0" borderId="0" xfId="0" applyNumberFormat="1" applyFont="1"/>
    <xf numFmtId="1" fontId="31" fillId="0" borderId="0" xfId="0" applyNumberFormat="1" applyFont="1"/>
    <xf numFmtId="165" fontId="31" fillId="0" borderId="0" xfId="1" applyNumberFormat="1" applyFont="1"/>
    <xf numFmtId="0" fontId="31" fillId="0" borderId="0" xfId="5" applyFont="1" applyAlignment="1">
      <alignment horizontal="left" indent="1"/>
    </xf>
    <xf numFmtId="8" fontId="33" fillId="0" borderId="0" xfId="0" applyNumberFormat="1" applyFont="1" applyAlignment="1">
      <alignment horizontal="right"/>
    </xf>
    <xf numFmtId="7" fontId="31" fillId="0" borderId="0" xfId="6" applyNumberFormat="1" applyFont="1" applyFill="1" applyBorder="1"/>
    <xf numFmtId="9" fontId="31" fillId="0" borderId="0" xfId="9" applyFont="1" applyFill="1" applyBorder="1"/>
    <xf numFmtId="4" fontId="33" fillId="0" borderId="0" xfId="0" applyNumberFormat="1" applyFont="1" applyAlignment="1">
      <alignment horizontal="right"/>
    </xf>
    <xf numFmtId="0" fontId="34" fillId="0" borderId="0" xfId="5" applyFont="1"/>
    <xf numFmtId="4" fontId="35" fillId="0" borderId="0" xfId="0" applyNumberFormat="1" applyFont="1" applyAlignment="1">
      <alignment horizontal="right"/>
    </xf>
    <xf numFmtId="7" fontId="32" fillId="0" borderId="0" xfId="6" applyNumberFormat="1" applyFont="1" applyFill="1" applyBorder="1"/>
    <xf numFmtId="165" fontId="31" fillId="0" borderId="0" xfId="3" applyNumberFormat="1" applyFont="1" applyFill="1"/>
    <xf numFmtId="9" fontId="31" fillId="0" borderId="0" xfId="3" applyNumberFormat="1" applyFont="1" applyFill="1"/>
    <xf numFmtId="0" fontId="36" fillId="0" borderId="0" xfId="0" applyFont="1"/>
    <xf numFmtId="0" fontId="32" fillId="0" borderId="0" xfId="0" applyFont="1" applyAlignment="1">
      <alignment vertical="top"/>
    </xf>
    <xf numFmtId="165" fontId="31" fillId="0" borderId="0" xfId="3" applyNumberFormat="1" applyFont="1"/>
    <xf numFmtId="166" fontId="31" fillId="0" borderId="0" xfId="3" applyNumberFormat="1" applyFont="1"/>
    <xf numFmtId="166" fontId="31" fillId="0" borderId="0" xfId="3" applyNumberFormat="1" applyFont="1" applyFill="1"/>
    <xf numFmtId="2" fontId="0" fillId="0" borderId="0" xfId="0" applyNumberFormat="1"/>
    <xf numFmtId="0" fontId="30" fillId="0" borderId="0" xfId="0" applyFont="1" applyAlignment="1">
      <alignment wrapText="1"/>
    </xf>
    <xf numFmtId="3" fontId="30" fillId="0" borderId="0" xfId="0" applyNumberFormat="1" applyFont="1" applyAlignment="1">
      <alignment vertical="top"/>
    </xf>
    <xf numFmtId="0" fontId="30" fillId="0" borderId="0" xfId="0" applyFont="1" applyAlignment="1">
      <alignment vertical="top"/>
    </xf>
    <xf numFmtId="3" fontId="3" fillId="0" borderId="0" xfId="0" applyNumberFormat="1" applyFont="1"/>
    <xf numFmtId="166" fontId="31" fillId="0" borderId="0" xfId="3" applyNumberFormat="1" applyFont="1" applyAlignment="1"/>
    <xf numFmtId="8" fontId="2" fillId="0" borderId="0" xfId="0" applyNumberFormat="1" applyFont="1" applyAlignment="1">
      <alignment horizontal="right"/>
    </xf>
    <xf numFmtId="7" fontId="5" fillId="0" borderId="0" xfId="6" applyNumberFormat="1" applyFont="1" applyFill="1" applyBorder="1"/>
    <xf numFmtId="4" fontId="2" fillId="0" borderId="0" xfId="0" applyNumberFormat="1" applyFont="1" applyAlignment="1">
      <alignment horizontal="right"/>
    </xf>
    <xf numFmtId="0" fontId="7" fillId="0" borderId="0" xfId="5" applyFont="1"/>
    <xf numFmtId="4" fontId="17" fillId="0" borderId="0" xfId="0" applyNumberFormat="1" applyFont="1" applyAlignment="1">
      <alignment horizontal="right"/>
    </xf>
    <xf numFmtId="7" fontId="8" fillId="0" borderId="0" xfId="6" applyNumberFormat="1" applyFont="1" applyFill="1" applyBorder="1"/>
    <xf numFmtId="0" fontId="1" fillId="0" borderId="0" xfId="0" applyFont="1"/>
    <xf numFmtId="0" fontId="1" fillId="0" borderId="41" xfId="0" applyFont="1" applyBorder="1"/>
    <xf numFmtId="0" fontId="31" fillId="20" borderId="0" xfId="0" applyFont="1" applyFill="1"/>
    <xf numFmtId="166" fontId="31" fillId="20" borderId="0" xfId="0" applyNumberFormat="1" applyFont="1" applyFill="1"/>
    <xf numFmtId="165" fontId="31" fillId="20" borderId="0" xfId="0" applyNumberFormat="1" applyFont="1" applyFill="1"/>
    <xf numFmtId="3" fontId="32" fillId="0" borderId="0" xfId="0" applyNumberFormat="1" applyFont="1"/>
    <xf numFmtId="3" fontId="31" fillId="0" borderId="0" xfId="0" applyNumberFormat="1" applyFont="1"/>
    <xf numFmtId="1" fontId="31" fillId="0" borderId="0" xfId="3" applyNumberFormat="1" applyFont="1" applyFill="1"/>
    <xf numFmtId="1" fontId="31" fillId="0" borderId="0" xfId="0" applyNumberFormat="1" applyFont="1" applyAlignment="1">
      <alignment vertical="top"/>
    </xf>
    <xf numFmtId="1" fontId="31" fillId="20" borderId="0" xfId="0" applyNumberFormat="1" applyFont="1" applyFill="1" applyAlignment="1">
      <alignment vertical="top"/>
    </xf>
    <xf numFmtId="3" fontId="30" fillId="0" borderId="0" xfId="0" applyNumberFormat="1" applyFont="1"/>
    <xf numFmtId="3" fontId="0" fillId="0" borderId="43" xfId="0" applyNumberFormat="1" applyBorder="1"/>
    <xf numFmtId="3" fontId="0" fillId="0" borderId="0" xfId="0" applyNumberFormat="1"/>
    <xf numFmtId="3" fontId="0" fillId="0" borderId="41" xfId="0" applyNumberFormat="1" applyBorder="1"/>
    <xf numFmtId="3" fontId="6" fillId="0" borderId="0" xfId="1" applyNumberFormat="1" applyFont="1" applyBorder="1"/>
    <xf numFmtId="3" fontId="4" fillId="0" borderId="43" xfId="16" applyNumberFormat="1" applyFont="1" applyBorder="1"/>
    <xf numFmtId="3" fontId="4" fillId="0" borderId="0" xfId="16" applyNumberFormat="1" applyFont="1"/>
    <xf numFmtId="3" fontId="4" fillId="0" borderId="41" xfId="16" applyNumberFormat="1" applyFont="1" applyBorder="1"/>
    <xf numFmtId="3" fontId="1" fillId="0" borderId="0" xfId="0" applyNumberFormat="1" applyFont="1"/>
    <xf numFmtId="3" fontId="1" fillId="0" borderId="41" xfId="0" applyNumberFormat="1" applyFont="1" applyBorder="1"/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2" fillId="20" borderId="0" xfId="0" applyFont="1" applyFill="1" applyAlignment="1">
      <alignment horizontal="center" vertical="center"/>
    </xf>
    <xf numFmtId="3" fontId="31" fillId="0" borderId="0" xfId="3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1" fillId="0" borderId="0" xfId="14" applyNumberFormat="1" applyFont="1" applyAlignment="1">
      <alignment horizontal="center" vertical="center"/>
    </xf>
    <xf numFmtId="3" fontId="30" fillId="0" borderId="0" xfId="0" applyNumberFormat="1" applyFont="1" applyAlignment="1">
      <alignment horizontal="center" vertical="center" wrapText="1"/>
    </xf>
    <xf numFmtId="3" fontId="31" fillId="20" borderId="0" xfId="0" applyNumberFormat="1" applyFont="1" applyFill="1" applyAlignment="1">
      <alignment horizontal="center" vertical="center"/>
    </xf>
    <xf numFmtId="1" fontId="31" fillId="0" borderId="0" xfId="3" applyNumberFormat="1" applyFont="1" applyFill="1" applyAlignment="1">
      <alignment horizontal="center" vertical="center"/>
    </xf>
    <xf numFmtId="3" fontId="31" fillId="0" borderId="0" xfId="3" applyNumberFormat="1" applyFont="1" applyFill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9" fontId="31" fillId="0" borderId="0" xfId="3" applyNumberFormat="1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30" fillId="2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66" fontId="31" fillId="0" borderId="0" xfId="0" applyNumberFormat="1" applyFont="1" applyAlignment="1">
      <alignment horizontal="center"/>
    </xf>
    <xf numFmtId="166" fontId="30" fillId="0" borderId="0" xfId="0" applyNumberFormat="1" applyFont="1" applyAlignment="1">
      <alignment horizontal="center" vertical="center"/>
    </xf>
    <xf numFmtId="166" fontId="30" fillId="20" borderId="0" xfId="0" applyNumberFormat="1" applyFont="1" applyFill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6" fontId="31" fillId="2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65" fontId="31" fillId="0" borderId="0" xfId="0" applyNumberFormat="1" applyFont="1" applyAlignment="1">
      <alignment horizontal="center" vertical="center"/>
    </xf>
    <xf numFmtId="165" fontId="31" fillId="20" borderId="0" xfId="0" applyNumberFormat="1" applyFont="1" applyFill="1" applyAlignment="1">
      <alignment horizontal="center" vertical="center"/>
    </xf>
    <xf numFmtId="165" fontId="0" fillId="0" borderId="38" xfId="1" applyNumberFormat="1" applyFont="1" applyBorder="1"/>
    <xf numFmtId="165" fontId="31" fillId="0" borderId="0" xfId="3" applyNumberFormat="1" applyFont="1" applyAlignment="1">
      <alignment horizontal="left" vertical="center"/>
    </xf>
    <xf numFmtId="165" fontId="31" fillId="0" borderId="0" xfId="3" applyNumberFormat="1" applyFont="1" applyFill="1" applyAlignment="1">
      <alignment horizontal="left" vertical="center"/>
    </xf>
    <xf numFmtId="165" fontId="31" fillId="0" borderId="0" xfId="3" applyNumberFormat="1" applyFont="1" applyFill="1" applyAlignment="1">
      <alignment horizontal="left"/>
    </xf>
    <xf numFmtId="0" fontId="2" fillId="0" borderId="0" xfId="0" applyFont="1"/>
    <xf numFmtId="9" fontId="31" fillId="0" borderId="0" xfId="9" applyFont="1"/>
    <xf numFmtId="165" fontId="31" fillId="0" borderId="0" xfId="14" applyNumberFormat="1" applyFont="1"/>
    <xf numFmtId="0" fontId="0" fillId="26" borderId="0" xfId="0" applyFill="1"/>
    <xf numFmtId="165" fontId="0" fillId="26" borderId="0" xfId="0" applyNumberFormat="1" applyFill="1"/>
    <xf numFmtId="1" fontId="0" fillId="0" borderId="0" xfId="3" applyNumberFormat="1" applyFont="1"/>
    <xf numFmtId="165" fontId="0" fillId="0" borderId="0" xfId="1" applyNumberFormat="1" applyFont="1" applyFill="1" applyBorder="1"/>
    <xf numFmtId="165" fontId="0" fillId="0" borderId="0" xfId="1" applyNumberFormat="1" applyFont="1" applyFill="1"/>
    <xf numFmtId="165" fontId="4" fillId="0" borderId="0" xfId="1" applyNumberFormat="1" applyFont="1" applyFill="1" applyBorder="1"/>
    <xf numFmtId="165" fontId="4" fillId="0" borderId="41" xfId="1" applyNumberFormat="1" applyFont="1" applyFill="1" applyBorder="1"/>
    <xf numFmtId="3" fontId="6" fillId="0" borderId="0" xfId="0" applyNumberFormat="1" applyFont="1" applyAlignment="1">
      <alignment wrapText="1"/>
    </xf>
    <xf numFmtId="3" fontId="6" fillId="25" borderId="0" xfId="0" applyNumberFormat="1" applyFont="1" applyFill="1" applyAlignment="1">
      <alignment wrapText="1"/>
    </xf>
    <xf numFmtId="3" fontId="33" fillId="0" borderId="0" xfId="0" applyNumberFormat="1" applyFont="1" applyAlignment="1">
      <alignment wrapText="1"/>
    </xf>
    <xf numFmtId="0" fontId="33" fillId="0" borderId="0" xfId="0" applyFont="1" applyAlignment="1">
      <alignment wrapText="1"/>
    </xf>
    <xf numFmtId="0" fontId="33" fillId="0" borderId="0" xfId="0" applyFont="1"/>
    <xf numFmtId="49" fontId="0" fillId="0" borderId="0" xfId="0" applyNumberFormat="1"/>
    <xf numFmtId="49" fontId="0" fillId="4" borderId="0" xfId="0" applyNumberFormat="1" applyFill="1"/>
    <xf numFmtId="165" fontId="0" fillId="27" borderId="41" xfId="1" applyNumberFormat="1" applyFont="1" applyFill="1" applyBorder="1"/>
    <xf numFmtId="165" fontId="0" fillId="27" borderId="0" xfId="1" applyNumberFormat="1" applyFont="1" applyFill="1" applyBorder="1"/>
    <xf numFmtId="0" fontId="0" fillId="27" borderId="0" xfId="0" applyFill="1"/>
    <xf numFmtId="49" fontId="0" fillId="4" borderId="20" xfId="0" applyNumberFormat="1" applyFill="1" applyBorder="1"/>
    <xf numFmtId="49" fontId="14" fillId="23" borderId="0" xfId="0" applyNumberFormat="1" applyFont="1" applyFill="1"/>
    <xf numFmtId="0" fontId="38" fillId="0" borderId="0" xfId="0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3" fontId="39" fillId="0" borderId="0" xfId="0" applyNumberFormat="1" applyFont="1"/>
    <xf numFmtId="3" fontId="38" fillId="0" borderId="0" xfId="0" applyNumberFormat="1" applyFont="1"/>
    <xf numFmtId="9" fontId="39" fillId="0" borderId="0" xfId="3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65" fontId="31" fillId="0" borderId="0" xfId="1" applyNumberFormat="1" applyFont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3" fontId="38" fillId="0" borderId="0" xfId="0" applyNumberFormat="1" applyFont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5" applyFont="1" applyAlignment="1">
      <alignment horizontal="center" vertical="center"/>
    </xf>
    <xf numFmtId="8" fontId="33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9" fontId="31" fillId="0" borderId="0" xfId="9" applyFont="1" applyFill="1" applyBorder="1" applyAlignment="1">
      <alignment horizontal="center" vertical="center"/>
    </xf>
    <xf numFmtId="9" fontId="31" fillId="0" borderId="0" xfId="9" applyFont="1" applyAlignment="1">
      <alignment horizontal="center" vertical="center"/>
    </xf>
    <xf numFmtId="7" fontId="31" fillId="0" borderId="0" xfId="6" applyNumberFormat="1" applyFont="1" applyFill="1" applyBorder="1" applyAlignment="1">
      <alignment horizontal="center" vertical="center"/>
    </xf>
    <xf numFmtId="0" fontId="34" fillId="0" borderId="0" xfId="5" applyFont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7" fontId="32" fillId="0" borderId="0" xfId="6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1" fillId="0" borderId="0" xfId="5" applyFont="1" applyAlignment="1">
      <alignment horizontal="left" vertical="center"/>
    </xf>
    <xf numFmtId="3" fontId="34" fillId="0" borderId="0" xfId="0" applyNumberFormat="1" applyFont="1" applyAlignment="1">
      <alignment horizontal="left" vertical="center"/>
    </xf>
    <xf numFmtId="3" fontId="30" fillId="25" borderId="0" xfId="0" applyNumberFormat="1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3" fontId="37" fillId="0" borderId="0" xfId="0" applyNumberFormat="1" applyFont="1"/>
    <xf numFmtId="0" fontId="37" fillId="0" borderId="0" xfId="0" applyFont="1"/>
    <xf numFmtId="3" fontId="32" fillId="0" borderId="0" xfId="0" applyNumberFormat="1" applyFont="1" applyAlignment="1">
      <alignment horizontal="left" vertical="center"/>
    </xf>
    <xf numFmtId="3" fontId="36" fillId="0" borderId="0" xfId="0" applyNumberFormat="1" applyFont="1" applyAlignment="1">
      <alignment horizontal="center" vertical="center"/>
    </xf>
    <xf numFmtId="3" fontId="32" fillId="20" borderId="0" xfId="0" applyNumberFormat="1" applyFont="1" applyFill="1" applyAlignment="1">
      <alignment horizontal="center" vertical="center"/>
    </xf>
    <xf numFmtId="3" fontId="31" fillId="0" borderId="0" xfId="3" applyNumberFormat="1" applyFont="1" applyAlignment="1">
      <alignment horizontal="left" vertical="center"/>
    </xf>
    <xf numFmtId="3" fontId="37" fillId="0" borderId="0" xfId="0" applyNumberFormat="1" applyFont="1" applyAlignment="1">
      <alignment horizontal="center"/>
    </xf>
    <xf numFmtId="3" fontId="31" fillId="0" borderId="0" xfId="3" applyNumberFormat="1" applyFont="1" applyFill="1" applyAlignment="1">
      <alignment horizontal="left" vertical="center"/>
    </xf>
    <xf numFmtId="3" fontId="31" fillId="0" borderId="0" xfId="0" applyNumberFormat="1" applyFont="1" applyAlignment="1">
      <alignment horizontal="left" vertical="center"/>
    </xf>
    <xf numFmtId="3" fontId="0" fillId="0" borderId="38" xfId="0" applyNumberFormat="1" applyBorder="1"/>
    <xf numFmtId="0" fontId="0" fillId="0" borderId="38" xfId="0" applyBorder="1"/>
    <xf numFmtId="1" fontId="39" fillId="0" borderId="0" xfId="0" applyNumberFormat="1" applyFont="1" applyAlignment="1">
      <alignment horizontal="center" vertical="center"/>
    </xf>
    <xf numFmtId="43" fontId="0" fillId="0" borderId="0" xfId="3" applyFont="1"/>
    <xf numFmtId="0" fontId="14" fillId="3" borderId="0" xfId="0" applyFont="1" applyFill="1"/>
    <xf numFmtId="0" fontId="0" fillId="3" borderId="0" xfId="0" applyFill="1"/>
    <xf numFmtId="0" fontId="3" fillId="0" borderId="0" xfId="0" applyFont="1"/>
    <xf numFmtId="0" fontId="41" fillId="0" borderId="0" xfId="0" applyFont="1"/>
    <xf numFmtId="3" fontId="31" fillId="0" borderId="0" xfId="0" applyNumberFormat="1" applyFont="1" applyAlignment="1">
      <alignment horizontal="center"/>
    </xf>
    <xf numFmtId="9" fontId="30" fillId="0" borderId="0" xfId="9" applyFont="1" applyAlignment="1">
      <alignment horizontal="center" vertical="center" wrapText="1"/>
    </xf>
    <xf numFmtId="3" fontId="31" fillId="27" borderId="0" xfId="0" applyNumberFormat="1" applyFont="1" applyFill="1" applyAlignment="1">
      <alignment horizontal="center" vertical="center"/>
    </xf>
    <xf numFmtId="3" fontId="31" fillId="27" borderId="0" xfId="0" applyNumberFormat="1" applyFont="1" applyFill="1" applyAlignment="1">
      <alignment horizontal="left" vertical="center"/>
    </xf>
    <xf numFmtId="3" fontId="33" fillId="27" borderId="0" xfId="0" applyNumberFormat="1" applyFont="1" applyFill="1" applyAlignment="1">
      <alignment horizontal="center" vertical="center" wrapText="1"/>
    </xf>
    <xf numFmtId="3" fontId="37" fillId="27" borderId="0" xfId="0" applyNumberFormat="1" applyFont="1" applyFill="1" applyAlignment="1">
      <alignment horizontal="center" vertical="center"/>
    </xf>
    <xf numFmtId="3" fontId="30" fillId="27" borderId="0" xfId="0" applyNumberFormat="1" applyFont="1" applyFill="1" applyAlignment="1">
      <alignment horizontal="center" vertical="center" wrapText="1"/>
    </xf>
    <xf numFmtId="0" fontId="31" fillId="27" borderId="0" xfId="0" applyFont="1" applyFill="1" applyAlignment="1">
      <alignment horizontal="center" vertical="center"/>
    </xf>
    <xf numFmtId="0" fontId="31" fillId="27" borderId="0" xfId="0" applyFont="1" applyFill="1" applyAlignment="1">
      <alignment horizontal="left" vertical="center"/>
    </xf>
    <xf numFmtId="3" fontId="37" fillId="27" borderId="0" xfId="0" applyNumberFormat="1" applyFont="1" applyFill="1"/>
    <xf numFmtId="0" fontId="37" fillId="27" borderId="0" xfId="0" applyFont="1" applyFill="1"/>
    <xf numFmtId="166" fontId="30" fillId="27" borderId="0" xfId="0" applyNumberFormat="1" applyFont="1" applyFill="1" applyAlignment="1">
      <alignment horizontal="center" vertical="center"/>
    </xf>
    <xf numFmtId="3" fontId="30" fillId="27" borderId="0" xfId="0" applyNumberFormat="1" applyFont="1" applyFill="1" applyAlignment="1">
      <alignment horizontal="center" vertical="center"/>
    </xf>
    <xf numFmtId="0" fontId="41" fillId="27" borderId="0" xfId="0" applyFont="1" applyFill="1"/>
    <xf numFmtId="2" fontId="30" fillId="0" borderId="0" xfId="9" applyNumberFormat="1" applyFont="1" applyAlignment="1">
      <alignment horizontal="center" vertical="center" wrapText="1"/>
    </xf>
    <xf numFmtId="165" fontId="0" fillId="0" borderId="0" xfId="0" applyNumberFormat="1" applyAlignment="1">
      <alignment horizontal="left" vertical="center"/>
    </xf>
    <xf numFmtId="9" fontId="0" fillId="0" borderId="0" xfId="9" applyFont="1" applyBorder="1"/>
    <xf numFmtId="0" fontId="31" fillId="20" borderId="0" xfId="0" applyFont="1" applyFill="1" applyAlignment="1">
      <alignment horizontal="center" vertical="center"/>
    </xf>
    <xf numFmtId="1" fontId="31" fillId="20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wrapText="1"/>
    </xf>
    <xf numFmtId="3" fontId="31" fillId="28" borderId="0" xfId="0" applyNumberFormat="1" applyFont="1" applyFill="1" applyAlignment="1">
      <alignment horizontal="center" vertical="center"/>
    </xf>
    <xf numFmtId="3" fontId="49" fillId="0" borderId="0" xfId="0" applyNumberFormat="1" applyFont="1" applyAlignment="1">
      <alignment horizontal="left" vertical="center"/>
    </xf>
    <xf numFmtId="3" fontId="6" fillId="27" borderId="0" xfId="0" applyNumberFormat="1" applyFont="1" applyFill="1" applyAlignment="1">
      <alignment horizontal="center" vertical="center"/>
    </xf>
    <xf numFmtId="0" fontId="50" fillId="0" borderId="0" xfId="0" applyFont="1"/>
    <xf numFmtId="165" fontId="0" fillId="0" borderId="0" xfId="9" applyNumberFormat="1" applyFont="1"/>
    <xf numFmtId="9" fontId="0" fillId="0" borderId="38" xfId="9" applyFont="1" applyBorder="1"/>
    <xf numFmtId="49" fontId="0" fillId="0" borderId="38" xfId="0" applyNumberFormat="1" applyBorder="1"/>
  </cellXfs>
  <cellStyles count="320">
    <cellStyle name="20% - Accent1" xfId="84" builtinId="30" customBuiltin="1"/>
    <cellStyle name="20% - Accent1 2" xfId="245" xr:uid="{3D9B8FF6-7AE1-4033-BF29-B425C534186B}"/>
    <cellStyle name="20% - Accent1 3" xfId="270" xr:uid="{CC54C086-6B74-4344-AEF6-FA10CBDF77DA}"/>
    <cellStyle name="20% - Accent2" xfId="88" builtinId="34" customBuiltin="1"/>
    <cellStyle name="20% - Accent2 2" xfId="248" xr:uid="{A6DF71AC-6B7F-4764-9CC3-C005BDB58D5A}"/>
    <cellStyle name="20% - Accent2 3" xfId="282" xr:uid="{0E5AC1DF-E99E-483E-93EA-B6E7F60B55F1}"/>
    <cellStyle name="20% - Accent3" xfId="92" builtinId="38" customBuiltin="1"/>
    <cellStyle name="20% - Accent3 2" xfId="251" xr:uid="{DC5277D5-5199-4178-BBC3-D1D7C1827ECE}"/>
    <cellStyle name="20% - Accent3 3" xfId="267" xr:uid="{DFBA66B6-DBA7-4618-9021-5D9AC455374B}"/>
    <cellStyle name="20% - Accent4" xfId="96" builtinId="42" customBuiltin="1"/>
    <cellStyle name="20% - Accent4 2" xfId="254" xr:uid="{0B972EFF-7088-4CA1-B705-3FDEF621DA64}"/>
    <cellStyle name="20% - Accent4 3" xfId="283" xr:uid="{BA5C771C-FD58-433F-BD7E-9269D6E9A466}"/>
    <cellStyle name="20% - Accent5" xfId="100" builtinId="46" customBuiltin="1"/>
    <cellStyle name="20% - Accent5 2" xfId="257" xr:uid="{92CC4EF7-6407-4937-80A2-4846644EE40F}"/>
    <cellStyle name="20% - Accent5 3" xfId="271" xr:uid="{A02C97CE-9E1C-4F4D-9664-7B3A5865EAD4}"/>
    <cellStyle name="20% - Accent6" xfId="104" builtinId="50" customBuiltin="1"/>
    <cellStyle name="20% - Accent6 2" xfId="260" xr:uid="{BA0E8E7E-87D5-4427-980D-98E70F21F32B}"/>
    <cellStyle name="20% - Accent6 3" xfId="266" xr:uid="{FAD29BE9-5DEF-43A3-BAA5-5BE219CB5EA5}"/>
    <cellStyle name="40% - Accent1" xfId="85" builtinId="31" customBuiltin="1"/>
    <cellStyle name="40% - Accent1 2" xfId="246" xr:uid="{04EF0439-7F15-48BD-A874-FE875DD8C23C}"/>
    <cellStyle name="40% - Accent1 3" xfId="287" xr:uid="{F702534E-67C8-4EDC-BAC8-206207741BF6}"/>
    <cellStyle name="40% - Accent2" xfId="89" builtinId="35" customBuiltin="1"/>
    <cellStyle name="40% - Accent2 2" xfId="249" xr:uid="{93637729-5DE9-415B-8AA7-3240F8465785}"/>
    <cellStyle name="40% - Accent2 3" xfId="268" xr:uid="{88C67171-4D0E-4EE5-B005-65AE948E6226}"/>
    <cellStyle name="40% - Accent3" xfId="93" builtinId="39" customBuiltin="1"/>
    <cellStyle name="40% - Accent3 2" xfId="252" xr:uid="{588A6BC5-0C1A-45AA-86F6-959302E9784E}"/>
    <cellStyle name="40% - Accent3 3" xfId="286" xr:uid="{5095AE57-ED58-46D7-9DE0-E0C96544A9A2}"/>
    <cellStyle name="40% - Accent4" xfId="97" builtinId="43" customBuiltin="1"/>
    <cellStyle name="40% - Accent4 2" xfId="255" xr:uid="{E6606998-22AA-4522-A4D6-6DA781B2014B}"/>
    <cellStyle name="40% - Accent4 3" xfId="285" xr:uid="{43340A9F-0796-4DB6-AE9D-CD19BC179D50}"/>
    <cellStyle name="40% - Accent5" xfId="101" builtinId="47" customBuiltin="1"/>
    <cellStyle name="40% - Accent5 2" xfId="258" xr:uid="{652A00DB-BB95-4985-8F4B-02757E1EDE4C}"/>
    <cellStyle name="40% - Accent5 3" xfId="273" xr:uid="{F7F10D89-E6B1-48F6-BF48-85335181BC05}"/>
    <cellStyle name="40% - Accent6" xfId="105" builtinId="51" customBuiltin="1"/>
    <cellStyle name="40% - Accent6 2" xfId="261" xr:uid="{8149FB72-F439-4023-A410-C0E1C0794EE1}"/>
    <cellStyle name="40% - Accent6 3" xfId="284" xr:uid="{B39B139B-5B27-4EAE-A2F9-591E2FC858A6}"/>
    <cellStyle name="60% - Accent1" xfId="86" builtinId="32" customBuiltin="1"/>
    <cellStyle name="60% - Accent1 2" xfId="247" xr:uid="{3E24EED4-C9B8-4833-AC05-392BF2AA65F7}"/>
    <cellStyle name="60% - Accent1 3" xfId="276" xr:uid="{B7170C2D-14D4-4F88-B71B-D9FF79260BE8}"/>
    <cellStyle name="60% - Accent2" xfId="90" builtinId="36" customBuiltin="1"/>
    <cellStyle name="60% - Accent2 2" xfId="250" xr:uid="{6E682C69-7DF4-49A8-84CE-C9DDDC630B86}"/>
    <cellStyle name="60% - Accent2 3" xfId="281" xr:uid="{87A8C10F-BCEA-4496-839D-4854BE179E32}"/>
    <cellStyle name="60% - Accent3" xfId="94" builtinId="40" customBuiltin="1"/>
    <cellStyle name="60% - Accent3 2" xfId="253" xr:uid="{2D74AE00-5602-4F96-9E81-ECC57168C751}"/>
    <cellStyle name="60% - Accent3 3" xfId="275" xr:uid="{31896EAD-B551-445D-8152-E3331C52EA41}"/>
    <cellStyle name="60% - Accent4" xfId="98" builtinId="44" customBuiltin="1"/>
    <cellStyle name="60% - Accent4 2" xfId="256" xr:uid="{42F552CA-B4A9-4BF6-A2D4-898B63BF4DE1}"/>
    <cellStyle name="60% - Accent4 3" xfId="274" xr:uid="{B72A29B6-5C1E-4827-AF21-280D7F4B624A}"/>
    <cellStyle name="60% - Accent5" xfId="102" builtinId="48" customBuiltin="1"/>
    <cellStyle name="60% - Accent5 2" xfId="259" xr:uid="{D6D421A7-AEE3-406A-8046-1A723E68211D}"/>
    <cellStyle name="60% - Accent5 3" xfId="280" xr:uid="{FA95214F-CAD3-4399-A323-3C89B5D733DD}"/>
    <cellStyle name="60% - Accent6" xfId="106" builtinId="52" customBuiltin="1"/>
    <cellStyle name="60% - Accent6 2" xfId="262" xr:uid="{E6D45C6B-55D7-4BA5-B08A-740A1DB375C8}"/>
    <cellStyle name="60% - Accent6 3" xfId="272" xr:uid="{431518C0-BB2E-45C2-BF57-DA8BC1C25E67}"/>
    <cellStyle name="Accent1" xfId="83" builtinId="29" customBuiltin="1"/>
    <cellStyle name="Accent2" xfId="87" builtinId="33" customBuiltin="1"/>
    <cellStyle name="Accent3" xfId="91" builtinId="37" customBuiltin="1"/>
    <cellStyle name="Accent4" xfId="95" builtinId="41" customBuiltin="1"/>
    <cellStyle name="Accent5" xfId="99" builtinId="45" customBuiltin="1"/>
    <cellStyle name="Accent6" xfId="103" builtinId="49" customBuiltin="1"/>
    <cellStyle name="Bad" xfId="72" builtinId="27" customBuiltin="1"/>
    <cellStyle name="Calculation" xfId="76" builtinId="22" customBuiltin="1"/>
    <cellStyle name="Check Cell" xfId="78" builtinId="23" customBuiltin="1"/>
    <cellStyle name="Comma" xfId="1" builtinId="3"/>
    <cellStyle name="Comma 10" xfId="166" xr:uid="{81F81360-74C0-4118-8AAB-341502066A94}"/>
    <cellStyle name="Comma 10 2" xfId="176" xr:uid="{1EC53220-B4FD-4DA8-ACB6-C0DA24620FFC}"/>
    <cellStyle name="Comma 10 2 2" xfId="218" xr:uid="{06C6203C-5E8D-4E33-9F8A-440F1E03DD8C}"/>
    <cellStyle name="Comma 10 3" xfId="208" xr:uid="{596544C5-941C-4981-B4D3-DDB2E2DDE70D}"/>
    <cellStyle name="Comma 19" xfId="138" xr:uid="{5F36F8B7-C65E-4704-8CC1-E2DA77099230}"/>
    <cellStyle name="Comma 19 2" xfId="198" xr:uid="{A86E2F63-9C50-4738-A692-855FCD3158B8}"/>
    <cellStyle name="Comma 2" xfId="3" xr:uid="{4117B592-3DFC-4D22-8F41-2936739BA318}"/>
    <cellStyle name="Comma 2 11" xfId="112" xr:uid="{8D4E8FCB-02B2-4A3B-8F34-D412FDD4CAC0}"/>
    <cellStyle name="Comma 2 11 2" xfId="190" xr:uid="{492C6CE9-2E84-4191-8A34-8B16DC0536AC}"/>
    <cellStyle name="Comma 2 2" xfId="16" xr:uid="{5B4E04BE-B34D-4018-995F-12C37AA678B9}"/>
    <cellStyle name="Comma 2 2 2" xfId="28" xr:uid="{B8E081BC-ADEE-4E98-9DDD-FA808326A2C5}"/>
    <cellStyle name="Comma 2 2 2 2" xfId="49" xr:uid="{BCF75D0F-4E79-487D-B847-5674442FF52E}"/>
    <cellStyle name="Comma 2 2 2 2 2" xfId="177" xr:uid="{1008978C-8791-4895-B79C-0353DDEC9E66}"/>
    <cellStyle name="Comma 2 2 2 2 2 2" xfId="219" xr:uid="{BE85A108-ECEB-4F8C-AEB6-AEDF8889AB5F}"/>
    <cellStyle name="Comma 2 2 2 3" xfId="161" xr:uid="{2A35E0AB-3681-4574-A619-7A176CD55493}"/>
    <cellStyle name="Comma 2 2 2 3 2" xfId="318" xr:uid="{C2DB0124-65AB-46DF-98C8-4B279CDA59A5}"/>
    <cellStyle name="Comma 2 2 3" xfId="174" xr:uid="{475D70BB-60B4-4A5A-A03D-C43C7A2E699A}"/>
    <cellStyle name="Comma 2 2 3 2" xfId="216" xr:uid="{2B89D8B8-5D0F-4CF3-847E-F08F2BDE6A41}"/>
    <cellStyle name="Comma 2 2 4" xfId="164" xr:uid="{9CCD2488-9D25-435E-AE63-D40D212D90AC}"/>
    <cellStyle name="Comma 2 2 4 2" xfId="207" xr:uid="{703473B4-4461-4F94-8172-B43021C8CA2F}"/>
    <cellStyle name="Comma 2 2 5" xfId="189" xr:uid="{682CDE7C-84EA-4C78-BC24-EFF063AA0FB0}"/>
    <cellStyle name="Comma 2 2 6" xfId="111" xr:uid="{98AC0619-4624-49B9-B9B7-86A14D73D300}"/>
    <cellStyle name="Comma 2 3" xfId="57" xr:uid="{398444A0-EEAA-43BB-9CCD-64F34BD4CC53}"/>
    <cellStyle name="Comma 2 3 2" xfId="192" xr:uid="{ED55B140-97EE-4285-916F-77E57D268005}"/>
    <cellStyle name="Comma 2 3 2 2" xfId="310" xr:uid="{E90314C9-0F56-4187-9586-8623BE61F097}"/>
    <cellStyle name="Comma 2 3 3" xfId="123" xr:uid="{CD9120F8-0482-4825-91F4-87A7DE91F5AB}"/>
    <cellStyle name="Comma 2 4" xfId="63" xr:uid="{90C243B0-F0E1-4EEC-80C0-4E12508873E7}"/>
    <cellStyle name="Comma 2 4 2" xfId="152" xr:uid="{4E3D57AD-65AF-4FC1-A8C6-4C1E5DB81FE5}"/>
    <cellStyle name="Comma 2 4 2 2" xfId="319" xr:uid="{2DADAAEA-C15F-4DDD-B57A-26B48E7BE684}"/>
    <cellStyle name="Comma 2 5" xfId="227" xr:uid="{A4F4E3BE-E83A-4FAB-AD37-AEDF733D2E1E}"/>
    <cellStyle name="Comma 2 5 2" xfId="144" xr:uid="{ADE23A56-E96B-47C7-A42E-00681E4D5AE9}"/>
    <cellStyle name="Comma 2 6" xfId="243" xr:uid="{F2F819B8-B9EA-4FA3-8DC0-A2AEF05CBA95}"/>
    <cellStyle name="Comma 3" xfId="31" xr:uid="{ADF2A4AC-D625-476A-8768-3D6E7EC4A4DA}"/>
    <cellStyle name="Comma 3 2" xfId="169" xr:uid="{4AE8306E-C4B5-4C8E-BC35-2012FEDF5F3C}"/>
    <cellStyle name="Comma 3 2 2" xfId="211" xr:uid="{25E648E7-FDD5-4E2B-AB18-3BA8FD2D4C0A}"/>
    <cellStyle name="Comma 3 2 3" xfId="230" xr:uid="{0B300669-07B6-4587-95F9-3E716C99C687}"/>
    <cellStyle name="Comma 3 2 4" xfId="317" xr:uid="{525A91E3-4B3E-48C0-B892-02D835B80C3A}"/>
    <cellStyle name="Comma 3 3" xfId="158" xr:uid="{717F0588-DE1F-447E-AE71-F45169D03CF5}"/>
    <cellStyle name="Comma 3 3 2" xfId="204" xr:uid="{DB2F539D-C396-4F56-B1A1-FF6867CFF6F8}"/>
    <cellStyle name="Comma 3 4" xfId="130" xr:uid="{9904A1A8-43A7-430D-8E4B-460373D0DE6B}"/>
    <cellStyle name="Comma 32" xfId="2" xr:uid="{51B06C42-5B77-45C1-8195-28895B40579D}"/>
    <cellStyle name="Comma 32 2" xfId="6" xr:uid="{18647B14-A8FC-4120-B3FA-8893480C910E}"/>
    <cellStyle name="Comma 32 2 2" xfId="36" xr:uid="{79B3421E-2819-4FAD-8391-87F51FB6F7A9}"/>
    <cellStyle name="Comma 32 2 2 2" xfId="303" xr:uid="{1D629610-8A1B-489E-9920-68AEC140C5DC}"/>
    <cellStyle name="Comma 32 3" xfId="44" xr:uid="{70521489-424B-4501-A3DD-B61F38E39F9B}"/>
    <cellStyle name="Comma 32 3 2" xfId="300" xr:uid="{4BB03B09-9534-4204-B7B1-4B099898EC5C}"/>
    <cellStyle name="Comma 32 4" xfId="25" xr:uid="{B6FB5E7A-0448-4AB3-998C-37BEDC497A6A}"/>
    <cellStyle name="Comma 32 4 2" xfId="107" xr:uid="{6B069C2A-7A51-42A4-BE59-F28EEAD303FD}"/>
    <cellStyle name="Comma 4" xfId="34" xr:uid="{B1078479-4AF8-4DEA-8529-A2B57E8B682B}"/>
    <cellStyle name="Comma 4 2" xfId="157" xr:uid="{D332FCE3-A1CA-4C0D-8549-F49F4F539B6C}"/>
    <cellStyle name="Comma 4 2 2" xfId="168" xr:uid="{4CBF836B-A84B-4A19-AFC5-19D5F8CD9BAF}"/>
    <cellStyle name="Comma 4 2 2 2" xfId="210" xr:uid="{B8972B4F-0398-4327-A0BC-67B6421C96E9}"/>
    <cellStyle name="Comma 4 2 3" xfId="203" xr:uid="{C0F092CD-8CAD-41EC-8B84-8A7136BB7940}"/>
    <cellStyle name="Comma 4 2 4" xfId="316" xr:uid="{CBBEDD55-EE29-4AA0-8D40-E3D7B4E381E3}"/>
    <cellStyle name="Comma 4 3" xfId="175" xr:uid="{BDBF24FB-6C05-4069-9768-E0A6BA9B66E4}"/>
    <cellStyle name="Comma 4 3 2" xfId="217" xr:uid="{D3A5AB2B-9DD6-4F11-80BA-5DCD0EFE3BF6}"/>
    <cellStyle name="Comma 4 4" xfId="165" xr:uid="{68332581-D9C0-498D-9CC0-3E3090A0A766}"/>
    <cellStyle name="Comma 4 9" xfId="135" xr:uid="{19431B6B-FD2F-4EC5-AF3D-3855B543B5D2}"/>
    <cellStyle name="Comma 4 9 2" xfId="197" xr:uid="{823EDD6D-0838-4C4A-A473-CA1F394A5698}"/>
    <cellStyle name="Comma 49" xfId="14" xr:uid="{0C218E2A-48F3-4040-A7F0-8E5FE6DA5A83}"/>
    <cellStyle name="Comma 49 2" xfId="200" xr:uid="{3CB23285-4706-446C-B7DF-8BFBF8390240}"/>
    <cellStyle name="Comma 49 3" xfId="141" xr:uid="{F708999B-27BF-4E06-A422-48BC31350F67}"/>
    <cellStyle name="Comma 5" xfId="47" xr:uid="{A1A9EE5A-8841-44D1-81FE-856A33D487B7}"/>
    <cellStyle name="Comma 5 2" xfId="221" xr:uid="{0FE356EA-783D-4196-B12E-4759646C2861}"/>
    <cellStyle name="Comma 5 3" xfId="179" xr:uid="{95053992-92F5-4A04-871B-E749E96ABC95}"/>
    <cellStyle name="Comma 5 4 2" xfId="139" xr:uid="{82B333D1-1423-4876-B8CB-B896CAEFD46C}"/>
    <cellStyle name="Comma 5 4 2 2" xfId="199" xr:uid="{18A057A0-18F2-44D4-9CC7-C7FAC341E94C}"/>
    <cellStyle name="Comma 58" xfId="115" xr:uid="{63CBFC16-4C3E-4B27-A86F-E3F1F198C2E9}"/>
    <cellStyle name="Comma 58 2" xfId="191" xr:uid="{897B5DF7-BF16-4485-9082-C5957C6AF360}"/>
    <cellStyle name="Comma 6" xfId="54" xr:uid="{FB37499E-9E49-4FCA-AF59-79F9B9CC466A}"/>
    <cellStyle name="Comma 6 2" xfId="154" xr:uid="{EB00A494-0E1D-48CF-A4F6-A5A29D47C840}"/>
    <cellStyle name="Comma 6 2 2" xfId="298" xr:uid="{E9264195-EA27-44A5-9E49-5F69EF2154B4}"/>
    <cellStyle name="Comma 7" xfId="62" xr:uid="{E768477F-4918-4D43-84A1-68BFC55B94D1}"/>
    <cellStyle name="Comma 7 2" xfId="151" xr:uid="{375F0D92-58D4-4E57-9B3E-AB46311CB5C9}"/>
    <cellStyle name="Comma 7 2 2" xfId="163" xr:uid="{66DA25B8-1AD9-4A34-B8C3-3CB8357178C0}"/>
    <cellStyle name="Comma 7 2 2 2" xfId="173" xr:uid="{BAAD14C0-245C-44E2-BCE9-9A3811F21221}"/>
    <cellStyle name="Comma 7 2 2 2 2" xfId="215" xr:uid="{EB04117F-9682-4781-BDBD-500A319FB602}"/>
    <cellStyle name="Comma 7 2 3" xfId="108" xr:uid="{2C0ACEE3-5942-44B2-84CE-63DA2232922B}"/>
    <cellStyle name="Comma 7 3" xfId="170" xr:uid="{50A8AB56-53C0-49C3-A3C1-68939094FB5C}"/>
    <cellStyle name="Comma 7 3 2" xfId="212" xr:uid="{751B8247-9224-478B-9F32-A0375D103397}"/>
    <cellStyle name="Comma 7 4" xfId="205" xr:uid="{61BAEFDB-95A4-4CC6-8906-15483FEC81F8}"/>
    <cellStyle name="Comma 7 5" xfId="159" xr:uid="{D72F4C22-0E34-4292-876E-DC7CE690B958}"/>
    <cellStyle name="Comma 8" xfId="202" xr:uid="{252DAA0E-FEF0-474C-9D06-05DD8425B846}"/>
    <cellStyle name="Comma 8 2" xfId="237" xr:uid="{C06E1A1A-309C-489F-9A18-960055FE37B7}"/>
    <cellStyle name="Comma 9" xfId="297" xr:uid="{63ED77ED-6AAB-4015-8AFF-1D5925D706D7}"/>
    <cellStyle name="Currency" xfId="7" builtinId="4"/>
    <cellStyle name="Currency 2" xfId="52" xr:uid="{2FECD605-E493-40B7-80CB-348B01F906E7}"/>
    <cellStyle name="Currency 2 2" xfId="27" xr:uid="{E3676F32-CC05-45E1-8553-4026EFF09848}"/>
    <cellStyle name="Currency 2 2 2" xfId="178" xr:uid="{A01A2419-FF93-4458-AB3C-1FC67CF55484}"/>
    <cellStyle name="Currency 2 2 2 2" xfId="220" xr:uid="{A5B63CB5-3B1D-47D7-B7ED-1A616C49A225}"/>
    <cellStyle name="Currency 2 2 3" xfId="167" xr:uid="{F39260F1-196F-4E80-BC4F-CF3221F36BE1}"/>
    <cellStyle name="Currency 2 2 3 2" xfId="209" xr:uid="{B5BC4462-FB89-40BC-B841-D66CA4491C67}"/>
    <cellStyle name="Currency 2 2 4" xfId="188" xr:uid="{E714ACBE-C912-4E26-8465-33E63E856061}"/>
    <cellStyle name="Currency 2 2 5" xfId="109" xr:uid="{8EC9FD6B-C91E-40BB-B0A9-AA7DFAA9F431}"/>
    <cellStyle name="Currency 2 2 6" xfId="133" xr:uid="{856C2C5C-5C62-440F-B3D6-50AF0FBA6B62}"/>
    <cellStyle name="Currency 2 2 6 2" xfId="196" xr:uid="{439F591E-8A19-4D0B-8F2F-6E56BD068A5C}"/>
    <cellStyle name="Currency 2 3" xfId="143" xr:uid="{3B3CF8B8-138F-4648-8417-4C2795037AE8}"/>
    <cellStyle name="Currency 2 3 2" xfId="171" xr:uid="{C500F3E1-E50F-402C-818D-6DE00722A4B1}"/>
    <cellStyle name="Currency 2 3 2 2" xfId="213" xr:uid="{AD5DCA44-E62B-4852-9BD0-189AA1641704}"/>
    <cellStyle name="Currency 2 3 3" xfId="201" xr:uid="{FCC7FD8C-3BFA-4C4B-A13D-943317F2CEDC}"/>
    <cellStyle name="Currency 2 3 4" xfId="308" xr:uid="{5A652220-C374-4137-B1BA-B442D46139BF}"/>
    <cellStyle name="Currency 2 4" xfId="160" xr:uid="{7D72D6A1-CED5-4B07-9DD0-49E7291F8F05}"/>
    <cellStyle name="Currency 2 4 2" xfId="206" xr:uid="{6564B3F4-F41D-487E-8AF3-5EA243F55884}"/>
    <cellStyle name="Currency 28" xfId="127" xr:uid="{9BBB7357-FAF5-4424-AFDC-2413FEF91FBA}"/>
    <cellStyle name="Currency 28 2" xfId="194" xr:uid="{281360DA-8CA2-4E6D-A173-07FD7C950AAB}"/>
    <cellStyle name="Currency 3" xfId="22" xr:uid="{BE1B2A02-0D1A-4E0C-81E4-2A42F556BDCE}"/>
    <cellStyle name="Currency 3 2" xfId="186" xr:uid="{E085B8E8-EA8E-45B3-9AF5-F7245B9AE197}"/>
    <cellStyle name="Currency 4" xfId="29" xr:uid="{093B1EBD-5F98-4006-8EFB-DBC53BFC7663}"/>
    <cellStyle name="Currency 4 2" xfId="145" xr:uid="{02E98438-4811-4DCF-83C6-65C29DC88507}"/>
    <cellStyle name="Currency 4 2 2" xfId="306" xr:uid="{DCB6FC9E-6466-41E2-B422-1C0F07E1841C}"/>
    <cellStyle name="Currency 5" xfId="55" xr:uid="{419EBB7D-172D-41C4-8547-D9888E793021}"/>
    <cellStyle name="Currency 5 2" xfId="193" xr:uid="{B49402D0-6EB6-435B-B694-B10307966B6F}"/>
    <cellStyle name="Currency 6" xfId="18" xr:uid="{248DE0D0-5F66-4D4D-A9A9-D4CEB59D51DB}"/>
    <cellStyle name="Currency 6 2" xfId="239" xr:uid="{2D2EF8EA-8A71-4C08-95C9-0A48D6873FDE}"/>
    <cellStyle name="Currency 7" xfId="125" xr:uid="{554584DB-0EBF-45E9-A23A-6E9A80A24126}"/>
    <cellStyle name="Explanatory Text" xfId="81" builtinId="53" customBuiltin="1"/>
    <cellStyle name="Good" xfId="71" builtinId="26" customBuiltin="1"/>
    <cellStyle name="Heading 1" xfId="67" builtinId="16" customBuiltin="1"/>
    <cellStyle name="Heading 2" xfId="68" builtinId="17" customBuiltin="1"/>
    <cellStyle name="Heading 3" xfId="69" builtinId="18" customBuiltin="1"/>
    <cellStyle name="Heading 4" xfId="70" builtinId="19" customBuiltin="1"/>
    <cellStyle name="Hyperlink 2" xfId="40" xr:uid="{BFCA5C80-691D-4B23-898D-1570632CD7A9}"/>
    <cellStyle name="Hyperlink 2 2" xfId="301" xr:uid="{FEFF924C-426C-459E-95F6-F3F07F1E4A36}"/>
    <cellStyle name="Hyperlink 3" xfId="59" xr:uid="{849CA8BD-EF68-405F-ADC3-06069248B6FC}"/>
    <cellStyle name="Hyperlink 4" xfId="39" xr:uid="{09749B59-F499-4262-87E1-BE0ACBC3DE6D}"/>
    <cellStyle name="Input" xfId="74" builtinId="20" customBuiltin="1"/>
    <cellStyle name="Linked Cell" xfId="77" builtinId="24" customBuiltin="1"/>
    <cellStyle name="Millares 2" xfId="147" xr:uid="{1BFD2313-B279-4BE2-888D-AF2E70A27D8A}"/>
    <cellStyle name="Millares 3" xfId="162" xr:uid="{96795291-3CF3-4A90-87D6-22122D513967}"/>
    <cellStyle name="Millares 3 2" xfId="172" xr:uid="{D927EFDC-64BD-4704-B326-A656C40AF02E}"/>
    <cellStyle name="Millares 3 2 2" xfId="214" xr:uid="{685B8543-867E-40F4-9F29-65AC510B05AA}"/>
    <cellStyle name="Neutral" xfId="73" builtinId="28" customBuiltin="1"/>
    <cellStyle name="Normal" xfId="0" builtinId="0"/>
    <cellStyle name="Normal 10" xfId="17" xr:uid="{86281EA2-E8F3-4245-A5B6-5A8A363D8928}"/>
    <cellStyle name="Normal 10 2" xfId="278" xr:uid="{4BAD0F67-B297-4C55-A4D4-132030D1E176}"/>
    <cellStyle name="Normal 10 3" xfId="184" xr:uid="{65178526-F2BF-4600-B37C-F92E6BCCEF6F}"/>
    <cellStyle name="Normal 11" xfId="185" xr:uid="{B885EEB0-57A7-45EC-9B47-89481EF1083E}"/>
    <cellStyle name="Normal 11 2" xfId="279" xr:uid="{3B038857-BCDE-407D-A168-649E44DC7B8E}"/>
    <cellStyle name="Normal 12" xfId="13" xr:uid="{5D0148B5-44D7-4848-8878-6DE18E7B6B21}"/>
    <cellStyle name="Normal 12 2" xfId="263" xr:uid="{ABF02889-1F4D-4F2F-9BD8-0B8920E446DE}"/>
    <cellStyle name="Normal 12 3" xfId="288" xr:uid="{8CC5C5A5-9CAE-4072-AF35-F016B56AECA6}"/>
    <cellStyle name="Normal 13" xfId="224" xr:uid="{8881457A-0B34-4391-848F-15B7A1260F4E}"/>
    <cellStyle name="Normal 13 2" xfId="289" xr:uid="{DC2578F2-C9B0-4C74-AA71-94598EE2A95A}"/>
    <cellStyle name="Normal 14" xfId="225" xr:uid="{CA8FCA01-0EF5-4755-8FC6-6753A68AF2DE}"/>
    <cellStyle name="Normal 14 2" xfId="290" xr:uid="{ACE6D5A2-BA1A-4A41-8EAE-2CDAC3FC7AE6}"/>
    <cellStyle name="Normal 15" xfId="226" xr:uid="{D0B951AF-F94A-4F36-BE32-AAA15CC10692}"/>
    <cellStyle name="Normal 15 2" xfId="291" xr:uid="{1F4912E8-133A-4536-BCFC-039EFABF21B5}"/>
    <cellStyle name="Normal 16" xfId="231" xr:uid="{067B5CC2-AF28-4932-B867-A5F6A601880D}"/>
    <cellStyle name="Normal 16 2" xfId="292" xr:uid="{93C21781-C4E7-4C44-BAF1-8563EF84AFC9}"/>
    <cellStyle name="Normal 17" xfId="232" xr:uid="{49DAE330-228D-4FF6-A39D-2C915ECF61F3}"/>
    <cellStyle name="Normal 17 2" xfId="293" xr:uid="{3EB45BB5-4B79-4D7B-86DE-6B7ADC8F03F8}"/>
    <cellStyle name="Normal 18" xfId="233" xr:uid="{4050D869-0E3F-404A-976D-801B5F3E2041}"/>
    <cellStyle name="Normal 18 2" xfId="294" xr:uid="{FDA1A47A-6805-496A-980B-D6991DC510C0}"/>
    <cellStyle name="Normal 19" xfId="21" xr:uid="{61E045FF-9ACC-4F8B-88D4-44F66DD41585}"/>
    <cellStyle name="Normal 19 2" xfId="240" xr:uid="{DF55E9F7-8DED-4312-AAAB-C4D870B7C979}"/>
    <cellStyle name="Normal 2" xfId="33" xr:uid="{D379C7D4-F136-4A85-88A4-CCB481DDC041}"/>
    <cellStyle name="Normal 2 13" xfId="50" xr:uid="{CFBF14CA-5114-4D14-9F54-ECBB1FC13036}"/>
    <cellStyle name="Normal 2 2" xfId="4" xr:uid="{43EAF0CC-B8FA-4B4C-A3DF-572EE4695D8D}"/>
    <cellStyle name="Normal 2 2 2" xfId="32" xr:uid="{96474C1B-DFD0-4178-B0D6-11E104A1FE92}"/>
    <cellStyle name="Normal 2 2 2 2" xfId="148" xr:uid="{668D3B62-A511-4271-B52B-05354F4CB0D8}"/>
    <cellStyle name="Normal 2 2 2 3" xfId="110" xr:uid="{C3369F7F-412C-41B3-B603-B7BEB11D9235}"/>
    <cellStyle name="Normal 2 2 3" xfId="124" xr:uid="{B8060F2F-FB15-474F-B4D7-0A14332BB96B}"/>
    <cellStyle name="Normal 2 2 4 4" xfId="64" xr:uid="{B99E0ADC-CF6C-4440-B5E7-617932F6168F}"/>
    <cellStyle name="Normal 2 3" xfId="38" xr:uid="{97C27F78-6C8B-4008-80EC-D78A09F1F7FB}"/>
    <cellStyle name="Normal 2 3 2" xfId="131" xr:uid="{6FFB866F-F7F7-4165-8466-C9958CB2F944}"/>
    <cellStyle name="Normal 2 3 2 2" xfId="314" xr:uid="{B7EADC89-1B7B-4689-A317-DC02380794BC}"/>
    <cellStyle name="Normal 2 3 3" xfId="150" xr:uid="{4C580565-B10C-446C-8E46-2D2F4B7DD15A}"/>
    <cellStyle name="Normal 2 4" xfId="58" xr:uid="{5D91950F-EFA9-4BA4-8231-C0C919D00068}"/>
    <cellStyle name="Normal 2 4 2" xfId="153" xr:uid="{8F882448-850D-4B10-9592-04EBEF7C511B}"/>
    <cellStyle name="Normal 2 5" xfId="146" xr:uid="{19F89A3B-B155-4A1B-8237-5804C2DFC9DD}"/>
    <cellStyle name="Normal 2 5 2" xfId="305" xr:uid="{47541DD1-FB32-4F5F-8B1D-2102A1D798AB}"/>
    <cellStyle name="Normal 2 8" xfId="65" xr:uid="{E55E53BA-037F-4B29-B4E1-6E579C981C90}"/>
    <cellStyle name="Normal 2 8 2" xfId="307" xr:uid="{21BD2AA8-0A84-46F7-B3E9-2561087BC73D}"/>
    <cellStyle name="Normal 20" xfId="234" xr:uid="{1F043A5B-764E-42D6-B9D3-46C853C4BD07}"/>
    <cellStyle name="Normal 20 2" xfId="295" xr:uid="{A8AB7695-C7A2-4E8C-9616-D72067C31148}"/>
    <cellStyle name="Normal 21" xfId="296" xr:uid="{1C6C3DFF-C693-4521-B331-C3A91F5E9072}"/>
    <cellStyle name="Normal 3" xfId="41" xr:uid="{6A31F6BF-DF5F-488B-B8D8-F182F33991D4}"/>
    <cellStyle name="Normal 3 2" xfId="60" xr:uid="{7EF99F12-358F-4089-A714-D4B8E4F76D7D}"/>
    <cellStyle name="Normal 3 2 2" xfId="129" xr:uid="{A7B81479-F8A1-4AED-95C7-A0AFCC92416B}"/>
    <cellStyle name="Normal 3 3" xfId="155" xr:uid="{364E6823-BE3D-4189-975A-BADF745F5B83}"/>
    <cellStyle name="Normal 3 4" xfId="229" xr:uid="{E86CBA22-739D-420B-9FD7-636E9C85D737}"/>
    <cellStyle name="Normal 3 5" xfId="242" xr:uid="{A5F6193C-28B0-40D3-92CA-2C3F99384C41}"/>
    <cellStyle name="Normal 32" xfId="136" xr:uid="{CFBB5B98-7D96-4095-BBAB-211F39CCB5D4}"/>
    <cellStyle name="Normal 34" xfId="23" xr:uid="{6423786A-7B57-4838-A67E-1BCC6ECC3DB3}"/>
    <cellStyle name="Normal 34 2" xfId="5" xr:uid="{1D2A8F55-D5EA-4438-AE9C-9FD9015A29A3}"/>
    <cellStyle name="Normal 34 2 2" xfId="304" xr:uid="{305A19B2-C882-435F-8C39-B39F00CEFD9D}"/>
    <cellStyle name="Normal 34 3" xfId="45" xr:uid="{042FA1ED-B794-43E7-9C83-754E41B03981}"/>
    <cellStyle name="Normal 34 4" xfId="187" xr:uid="{80402D62-C6AA-4B07-BCF8-6C2AAC85C433}"/>
    <cellStyle name="Normal 35" xfId="8" xr:uid="{8CA7720E-BFA7-411B-B2F7-9FB9A4D650CA}"/>
    <cellStyle name="Normal 35 2" xfId="313" xr:uid="{16532FF1-72D0-4945-A863-FC841F8BD8BB}"/>
    <cellStyle name="Normal 36" xfId="24" xr:uid="{E9D0CD10-D8F1-40AF-8544-E1AE0FC67EE7}"/>
    <cellStyle name="Normal 36 2" xfId="15" xr:uid="{637CFFA0-BFD1-4ACD-BBF7-C77F4AFE6845}"/>
    <cellStyle name="Normal 36 2 2" xfId="35" xr:uid="{9F7E00C8-D7B4-4ED3-B02C-177DAEE9E7F9}"/>
    <cellStyle name="Normal 36 3" xfId="43" xr:uid="{2E41EA2E-21AF-4918-9F86-F0C0364402C5}"/>
    <cellStyle name="Normal 36 3 2" xfId="311" xr:uid="{8AA424CC-D835-4F93-A923-1C72D4F659B2}"/>
    <cellStyle name="Normal 36 4" xfId="241" xr:uid="{8AA27BB3-DF3C-4B37-B881-1D5D41D9EF2C}"/>
    <cellStyle name="Normal 39" xfId="117" xr:uid="{8EFA0065-7814-4A82-88D0-51E45C046EE8}"/>
    <cellStyle name="Normal 4" xfId="19" xr:uid="{DEB0E929-559F-4DFD-A445-DC4327E01C82}"/>
    <cellStyle name="Normal 4 2" xfId="156" xr:uid="{DB1A817C-C68C-4B54-B42C-43C3296C7D74}"/>
    <cellStyle name="Normal 4 3" xfId="228" xr:uid="{66D5EA2B-D83E-41D8-B64D-67C158470180}"/>
    <cellStyle name="Normal 4 4" xfId="264" xr:uid="{D47C9E3F-7864-482E-A021-B9076CBE94D3}"/>
    <cellStyle name="Normal 5" xfId="12" xr:uid="{4AC9A0B8-2080-4316-A6ED-AA4226B445F9}"/>
    <cellStyle name="Normal 5 10" xfId="132" xr:uid="{6D3BE740-56F5-47AB-80F1-BB68AE4D871F}"/>
    <cellStyle name="Normal 5 2" xfId="46" xr:uid="{3F695FEE-CB52-4A2C-A86D-846E4AFEA1F9}"/>
    <cellStyle name="Normal 5 2 2" xfId="195" xr:uid="{5AB1CA35-6F84-40CF-BBCC-F16E522AD19C}"/>
    <cellStyle name="Normal 51" xfId="140" xr:uid="{9B8BA3F5-E11D-4236-BAAD-B2E320258D97}"/>
    <cellStyle name="Normal 6" xfId="51" xr:uid="{9079B7FC-2369-4693-AD91-D28980A90730}"/>
    <cellStyle name="Normal 6 2" xfId="222" xr:uid="{B8CCE466-CD56-4DCA-95D2-443BBA442942}"/>
    <cellStyle name="Normal 6 2 2" xfId="236" xr:uid="{59D7C0E3-B533-4387-A9CD-0B36673364EB}"/>
    <cellStyle name="Normal 6 3" xfId="265" xr:uid="{971E1BEC-F9F1-4A12-AA41-BA0C4E297CC6}"/>
    <cellStyle name="Normal 6 4" xfId="180" xr:uid="{3409BA06-93DF-451B-9A98-54AF2B51BD4A}"/>
    <cellStyle name="Normal 61 2" xfId="113" xr:uid="{84E9557D-2140-47F8-A81E-E4E1C36EAD05}"/>
    <cellStyle name="Normal 64 2" xfId="120" xr:uid="{10F2262D-89FD-4B99-BCA8-CB1D9901E417}"/>
    <cellStyle name="Normal 7" xfId="53" xr:uid="{468F3296-6497-483E-8B92-3CF829121567}"/>
    <cellStyle name="Normal 7 2" xfId="149" xr:uid="{22A7D657-5634-45BD-B2F8-FFC69B86B8FA}"/>
    <cellStyle name="Normal 7 2 2" xfId="299" xr:uid="{67C371D8-C80C-44AF-9135-30A7C1C9413E}"/>
    <cellStyle name="Normal 7 3" xfId="182" xr:uid="{BD614C48-99FB-420B-BD9F-1A66EB1A3D73}"/>
    <cellStyle name="Normal 7 5" xfId="122" xr:uid="{73102D07-7C52-43C2-9EA1-3BDDDBDF7804}"/>
    <cellStyle name="Normal 76" xfId="114" xr:uid="{1C428B4D-5107-4008-834D-CCD43813725D}"/>
    <cellStyle name="Normal 78" xfId="126" xr:uid="{56ABE738-D28F-4556-B1AC-058453BE3460}"/>
    <cellStyle name="Normal 8" xfId="61" xr:uid="{385EE60B-1642-4B49-9D67-9A18AD3DB65E}"/>
    <cellStyle name="Normal 8 2" xfId="223" xr:uid="{79387B95-3FF4-4581-9CF4-E8033FFE3017}"/>
    <cellStyle name="Normal 8 2 2" xfId="309" xr:uid="{8C79757D-12EC-46F9-B11B-214722E346E4}"/>
    <cellStyle name="Normal 8 3" xfId="183" xr:uid="{D29EC72E-50BD-458D-BEBB-4D8AFBD65941}"/>
    <cellStyle name="Normal 80" xfId="121" xr:uid="{66940781-E208-4E3D-B5B0-8328548CA21E}"/>
    <cellStyle name="Normal 9" xfId="11" xr:uid="{0AA37C6E-1AA4-4EE5-950C-284316A6710A}"/>
    <cellStyle name="Normal 9 2" xfId="277" xr:uid="{BCFCB219-AD83-4CFD-9D1C-E74CDF38DB52}"/>
    <cellStyle name="Note" xfId="80" builtinId="10" customBuiltin="1"/>
    <cellStyle name="Note 2" xfId="244" xr:uid="{A829342A-8014-4BBE-9A9B-7A40FD0CF03B}"/>
    <cellStyle name="Note 3" xfId="269" xr:uid="{0BAC87B8-386D-42F8-BEAE-F582606972E2}"/>
    <cellStyle name="Output" xfId="75" builtinId="21" customBuiltin="1"/>
    <cellStyle name="Percent" xfId="9" builtinId="5"/>
    <cellStyle name="Percent 15" xfId="37" xr:uid="{7FD9AF10-AF24-410D-AC2D-5814134A19CB}"/>
    <cellStyle name="Percent 15 2" xfId="302" xr:uid="{D1160F50-E6F2-4BD9-9B77-E2871E0B146F}"/>
    <cellStyle name="Percent 15 2 2 2" xfId="118" xr:uid="{67086B36-7720-4C4B-8681-13A2B6386338}"/>
    <cellStyle name="Percent 15 5" xfId="137" xr:uid="{2EA40DB7-F750-4C78-B268-6BB7A77C430B}"/>
    <cellStyle name="Percent 18" xfId="26" xr:uid="{76C1F5BC-EA62-4610-96BC-7A7FE6A11EAB}"/>
    <cellStyle name="Percent 18 2" xfId="10" xr:uid="{DDAA6EBE-FC04-4A4B-986E-376152A49DC2}"/>
    <cellStyle name="Percent 18 2 2" xfId="315" xr:uid="{606EA30A-6ACA-4141-BE05-58F0E00D58C3}"/>
    <cellStyle name="Percent 18 3" xfId="235" xr:uid="{D22EE68B-AD85-4308-A79C-D216947F3BE2}"/>
    <cellStyle name="Percent 2" xfId="42" xr:uid="{1145AE69-2378-4519-B168-57D30C89DFDB}"/>
    <cellStyle name="Percent 2 2" xfId="20" xr:uid="{962F6F23-B162-4B9F-B3CE-F33F124EC2DE}"/>
    <cellStyle name="Percent 2 2 2" xfId="181" xr:uid="{DAFD8C07-EA98-4BFC-B592-F6D34E8533DD}"/>
    <cellStyle name="Percent 2 2 2 3" xfId="134" xr:uid="{2ECC851E-7431-4E45-983E-DC17F9C47638}"/>
    <cellStyle name="Percent 2 3 2" xfId="119" xr:uid="{A5D26A92-4738-459B-B787-3C901D801541}"/>
    <cellStyle name="Percent 21" xfId="142" xr:uid="{35ABA15B-AEAA-4581-A827-9909120B0924}"/>
    <cellStyle name="Percent 26" xfId="116" xr:uid="{5EC024AC-D512-4E5F-B507-0C2145EBE473}"/>
    <cellStyle name="Percent 3" xfId="48" xr:uid="{5A807BA3-03C7-45E5-802F-9F5120D26120}"/>
    <cellStyle name="Percent 3 2" xfId="128" xr:uid="{42DE7B4B-56B1-470C-93F5-8D0FB0BBBADB}"/>
    <cellStyle name="Percent 3 2 2" xfId="312" xr:uid="{C928AAF0-4565-43F7-B4A1-10E657DC54B7}"/>
    <cellStyle name="Percent 4" xfId="56" xr:uid="{06311950-AFD8-4C55-9E77-99BB441AA956}"/>
    <cellStyle name="Percent 4 2" xfId="238" xr:uid="{B9CECE79-E4DE-4658-AAC9-9548377431E7}"/>
    <cellStyle name="Percent 5" xfId="30" xr:uid="{854F9F1C-8B44-41D6-B29B-B86BCE4CB76B}"/>
    <cellStyle name="Title" xfId="66" builtinId="15" customBuiltin="1"/>
    <cellStyle name="Total" xfId="82" builtinId="25" customBuiltin="1"/>
    <cellStyle name="Warning Text" xfId="79" builtinId="11" customBuiltin="1"/>
  </cellStyles>
  <dxfs count="58"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CCCC"/>
      <color rgb="FFFF9999"/>
      <color rgb="FFF7F5CB"/>
      <color rgb="FF34DB64"/>
      <color rgb="FF33CC33"/>
      <color rgb="FFF54E4E"/>
      <color rgb="FFFFC2BD"/>
      <color rgb="FF3FB5B5"/>
      <color rgb="FFF9BE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openxmlformats.org/officeDocument/2006/relationships/styles" Target="style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externalLink" Target="externalLinks/externalLink38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'Variances by Entity'!$B$4</c:f>
              <c:strCache>
                <c:ptCount val="1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Entity'!$F$3:$Q$3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Entity'!$F$4:$Q$4</c:f>
              <c:numCache>
                <c:formatCode>_(* #,##0_);_(* \(#,##0\);_(* "-"??_);_(@_)</c:formatCode>
                <c:ptCount val="12"/>
                <c:pt idx="0">
                  <c:v>7893.3099999999831</c:v>
                </c:pt>
                <c:pt idx="1">
                  <c:v>-42725.759999999966</c:v>
                </c:pt>
                <c:pt idx="2">
                  <c:v>-8635.1999999999898</c:v>
                </c:pt>
                <c:pt idx="3">
                  <c:v>28033.989999999976</c:v>
                </c:pt>
                <c:pt idx="4">
                  <c:v>17400.449999999997</c:v>
                </c:pt>
                <c:pt idx="5">
                  <c:v>22680.60999999999</c:v>
                </c:pt>
                <c:pt idx="6">
                  <c:v>-46690</c:v>
                </c:pt>
                <c:pt idx="7">
                  <c:v>-59399</c:v>
                </c:pt>
                <c:pt idx="8">
                  <c:v>64206</c:v>
                </c:pt>
                <c:pt idx="9">
                  <c:v>31342.250000000033</c:v>
                </c:pt>
                <c:pt idx="10">
                  <c:v>-60633.520000000019</c:v>
                </c:pt>
                <c:pt idx="11">
                  <c:v>42244.08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B-4743-81A1-ACAE1B04A3D7}"/>
            </c:ext>
          </c:extLst>
        </c:ser>
        <c:ser>
          <c:idx val="1"/>
          <c:order val="1"/>
          <c:tx>
            <c:strRef>
              <c:f>'Variances by Entity'!$B$5</c:f>
              <c:strCache>
                <c:ptCount val="1"/>
                <c:pt idx="0">
                  <c:v>OT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Entity'!$F$3:$Q$3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Entity'!$F$5:$Q$5</c:f>
              <c:numCache>
                <c:formatCode>_(* #,##0_);_(* \(#,##0\);_(* "-"??_);_(@_)</c:formatCode>
                <c:ptCount val="12"/>
                <c:pt idx="0">
                  <c:v>-64346.84</c:v>
                </c:pt>
                <c:pt idx="1">
                  <c:v>-73011.27999999997</c:v>
                </c:pt>
                <c:pt idx="2">
                  <c:v>-71349.700000000012</c:v>
                </c:pt>
                <c:pt idx="3">
                  <c:v>-54153.34</c:v>
                </c:pt>
                <c:pt idx="4">
                  <c:v>-22278.700000000004</c:v>
                </c:pt>
                <c:pt idx="5">
                  <c:v>-27262.090000000004</c:v>
                </c:pt>
                <c:pt idx="6">
                  <c:v>-17299</c:v>
                </c:pt>
                <c:pt idx="7">
                  <c:v>-45707</c:v>
                </c:pt>
                <c:pt idx="8">
                  <c:v>-36099</c:v>
                </c:pt>
                <c:pt idx="9">
                  <c:v>-42043.040000000008</c:v>
                </c:pt>
                <c:pt idx="10">
                  <c:v>-69394.890000000014</c:v>
                </c:pt>
                <c:pt idx="11">
                  <c:v>-57781.670000000013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4B-4743-81A1-ACAE1B04A3D7}"/>
            </c:ext>
          </c:extLst>
        </c:ser>
        <c:ser>
          <c:idx val="2"/>
          <c:order val="2"/>
          <c:tx>
            <c:strRef>
              <c:f>'Variances by Entity'!$B$6</c:f>
              <c:strCache>
                <c:ptCount val="1"/>
                <c:pt idx="0">
                  <c:v>Agency </c:v>
                </c:pt>
              </c:strCache>
            </c:strRef>
          </c:tx>
          <c:spPr>
            <a:ln w="28575" cap="rnd">
              <a:solidFill>
                <a:srgbClr val="F9BE00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Entity'!$F$3:$Q$3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Entity'!$F$6:$Q$6</c:f>
              <c:numCache>
                <c:formatCode>_(* #,##0_);_(* \(#,##0\);_(* "-"??_);_(@_)</c:formatCode>
                <c:ptCount val="12"/>
                <c:pt idx="0">
                  <c:v>40964.99</c:v>
                </c:pt>
                <c:pt idx="1">
                  <c:v>92178.379999999961</c:v>
                </c:pt>
                <c:pt idx="2">
                  <c:v>190368.64999999997</c:v>
                </c:pt>
                <c:pt idx="3">
                  <c:v>-91758.820000000153</c:v>
                </c:pt>
                <c:pt idx="4">
                  <c:v>68766.289999999994</c:v>
                </c:pt>
                <c:pt idx="5">
                  <c:v>102842.38000000002</c:v>
                </c:pt>
                <c:pt idx="6">
                  <c:v>101925</c:v>
                </c:pt>
                <c:pt idx="7">
                  <c:v>162910.27000000002</c:v>
                </c:pt>
                <c:pt idx="8">
                  <c:v>-104344</c:v>
                </c:pt>
                <c:pt idx="9">
                  <c:v>21641.270000000026</c:v>
                </c:pt>
                <c:pt idx="10">
                  <c:v>77018.22000000003</c:v>
                </c:pt>
                <c:pt idx="11">
                  <c:v>-32665.420000000013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4B-4743-81A1-ACAE1B04A3D7}"/>
            </c:ext>
          </c:extLst>
        </c:ser>
        <c:ser>
          <c:idx val="3"/>
          <c:order val="3"/>
          <c:tx>
            <c:strRef>
              <c:f>'Variances by Entity'!$B$7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Entity'!$F$3:$Q$3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Entity'!$F$7:$Q$7</c:f>
              <c:numCache>
                <c:formatCode>_(* #,##0_);_(* \(#,##0\);_(* "-"??_);_(@_)</c:formatCode>
                <c:ptCount val="12"/>
                <c:pt idx="0">
                  <c:v>16513.819999999996</c:v>
                </c:pt>
                <c:pt idx="1">
                  <c:v>56073.880000000005</c:v>
                </c:pt>
                <c:pt idx="2">
                  <c:v>-13140.570000000007</c:v>
                </c:pt>
                <c:pt idx="3">
                  <c:v>6716.0699999999961</c:v>
                </c:pt>
                <c:pt idx="4">
                  <c:v>22788.320000000007</c:v>
                </c:pt>
                <c:pt idx="5">
                  <c:v>27303.609999999986</c:v>
                </c:pt>
                <c:pt idx="6">
                  <c:v>26962</c:v>
                </c:pt>
                <c:pt idx="7">
                  <c:v>-13786</c:v>
                </c:pt>
                <c:pt idx="8">
                  <c:v>9711</c:v>
                </c:pt>
                <c:pt idx="9">
                  <c:v>-11205.550000000008</c:v>
                </c:pt>
                <c:pt idx="10">
                  <c:v>15811.080000000009</c:v>
                </c:pt>
                <c:pt idx="11">
                  <c:v>-13144.939999999979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4B-4743-81A1-ACAE1B04A3D7}"/>
            </c:ext>
          </c:extLst>
        </c:ser>
        <c:ser>
          <c:idx val="4"/>
          <c:order val="4"/>
          <c:tx>
            <c:strRef>
              <c:f>'Variances by Entity'!$B$8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99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Entity'!$F$3:$Q$3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Entity'!$F$8:$Q$8</c:f>
              <c:numCache>
                <c:formatCode>_(* #,##0_);_(* \(#,##0\);_(* "-"??_);_(@_)</c:formatCode>
                <c:ptCount val="12"/>
                <c:pt idx="0">
                  <c:v>1025.2799999999806</c:v>
                </c:pt>
                <c:pt idx="1">
                  <c:v>32515.22000000003</c:v>
                </c:pt>
                <c:pt idx="2">
                  <c:v>97243.179999999964</c:v>
                </c:pt>
                <c:pt idx="3">
                  <c:v>-111162.10000000018</c:v>
                </c:pt>
                <c:pt idx="4">
                  <c:v>86676.359999999986</c:v>
                </c:pt>
                <c:pt idx="5">
                  <c:v>125564.51</c:v>
                </c:pt>
                <c:pt idx="6">
                  <c:v>64898</c:v>
                </c:pt>
                <c:pt idx="7">
                  <c:v>44018.270000000019</c:v>
                </c:pt>
                <c:pt idx="8">
                  <c:v>-66526</c:v>
                </c:pt>
                <c:pt idx="9">
                  <c:v>-265.06999999995787</c:v>
                </c:pt>
                <c:pt idx="10">
                  <c:v>-37199.109999999993</c:v>
                </c:pt>
                <c:pt idx="11">
                  <c:v>-61347.950000000004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4B-4743-81A1-ACAE1B04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633823"/>
        <c:axId val="1543634303"/>
      </c:lineChart>
      <c:catAx>
        <c:axId val="15436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4303"/>
        <c:crosses val="autoZero"/>
        <c:auto val="1"/>
        <c:lblAlgn val="ctr"/>
        <c:lblOffset val="100"/>
        <c:noMultiLvlLbl val="0"/>
      </c:catAx>
      <c:valAx>
        <c:axId val="154363430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382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'Variances by Entity'!$B$11</c:f>
              <c:strCache>
                <c:ptCount val="1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Entity'!$F$10:$Q$10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Entity'!$F$11:$Q$11</c:f>
              <c:numCache>
                <c:formatCode>_(* #,##0_);_(* \(#,##0\);_(* "-"??_);_(@_)</c:formatCode>
                <c:ptCount val="12"/>
                <c:pt idx="0">
                  <c:v>-107327.50000000003</c:v>
                </c:pt>
                <c:pt idx="1">
                  <c:v>-111905.44</c:v>
                </c:pt>
                <c:pt idx="2">
                  <c:v>-103621.66999999998</c:v>
                </c:pt>
                <c:pt idx="3">
                  <c:v>-185385.96000000002</c:v>
                </c:pt>
                <c:pt idx="4">
                  <c:v>-168442.43000000002</c:v>
                </c:pt>
                <c:pt idx="5">
                  <c:v>-154264.45000000001</c:v>
                </c:pt>
                <c:pt idx="6">
                  <c:v>-118513</c:v>
                </c:pt>
                <c:pt idx="7">
                  <c:v>-157537</c:v>
                </c:pt>
                <c:pt idx="8">
                  <c:v>-209923.67</c:v>
                </c:pt>
                <c:pt idx="9">
                  <c:v>-112389</c:v>
                </c:pt>
                <c:pt idx="10">
                  <c:v>-94156.75999999998</c:v>
                </c:pt>
                <c:pt idx="11">
                  <c:v>-78167.72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4-4315-BAF4-67220DA8BBEB}"/>
            </c:ext>
          </c:extLst>
        </c:ser>
        <c:ser>
          <c:idx val="1"/>
          <c:order val="1"/>
          <c:tx>
            <c:strRef>
              <c:f>'Variances by Entity'!$B$12</c:f>
              <c:strCache>
                <c:ptCount val="1"/>
                <c:pt idx="0">
                  <c:v>OT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Entity'!$F$10:$Q$10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Entity'!$F$12:$Q$12</c:f>
              <c:numCache>
                <c:formatCode>_(* #,##0_);_(* \(#,##0\);_(* "-"??_);_(@_)</c:formatCode>
                <c:ptCount val="12"/>
                <c:pt idx="0">
                  <c:v>-171098.37000000002</c:v>
                </c:pt>
                <c:pt idx="1">
                  <c:v>-50759.709999999963</c:v>
                </c:pt>
                <c:pt idx="2">
                  <c:v>-48326.279999999992</c:v>
                </c:pt>
                <c:pt idx="3">
                  <c:v>-139930.34999999998</c:v>
                </c:pt>
                <c:pt idx="4">
                  <c:v>-9338.4600000000064</c:v>
                </c:pt>
                <c:pt idx="5">
                  <c:v>2933.7000000000044</c:v>
                </c:pt>
                <c:pt idx="6">
                  <c:v>53783</c:v>
                </c:pt>
                <c:pt idx="7">
                  <c:v>59359</c:v>
                </c:pt>
                <c:pt idx="8">
                  <c:v>-108913.29999999999</c:v>
                </c:pt>
                <c:pt idx="9">
                  <c:v>-35124</c:v>
                </c:pt>
                <c:pt idx="10">
                  <c:v>-69254.540000000008</c:v>
                </c:pt>
                <c:pt idx="11">
                  <c:v>-14989.600000000013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4-4315-BAF4-67220DA8BBEB}"/>
            </c:ext>
          </c:extLst>
        </c:ser>
        <c:ser>
          <c:idx val="2"/>
          <c:order val="2"/>
          <c:tx>
            <c:strRef>
              <c:f>'Variances by Entity'!$B$13</c:f>
              <c:strCache>
                <c:ptCount val="1"/>
                <c:pt idx="0">
                  <c:v>Agency </c:v>
                </c:pt>
              </c:strCache>
            </c:strRef>
          </c:tx>
          <c:spPr>
            <a:ln w="28575" cap="rnd">
              <a:solidFill>
                <a:srgbClr val="F9BE00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Entity'!$F$10:$Q$10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Entity'!$F$13:$Q$13</c:f>
              <c:numCache>
                <c:formatCode>_(* #,##0_);_(* \(#,##0\);_(* "-"??_);_(@_)</c:formatCode>
                <c:ptCount val="12"/>
                <c:pt idx="0">
                  <c:v>98622.329999999798</c:v>
                </c:pt>
                <c:pt idx="1">
                  <c:v>10167.759999999755</c:v>
                </c:pt>
                <c:pt idx="2">
                  <c:v>-60370.340000000171</c:v>
                </c:pt>
                <c:pt idx="3">
                  <c:v>-36435.219999999827</c:v>
                </c:pt>
                <c:pt idx="4">
                  <c:v>-76440.669999999882</c:v>
                </c:pt>
                <c:pt idx="5">
                  <c:v>-68957.960000000268</c:v>
                </c:pt>
                <c:pt idx="6">
                  <c:v>489453</c:v>
                </c:pt>
                <c:pt idx="7">
                  <c:v>-70290</c:v>
                </c:pt>
                <c:pt idx="8">
                  <c:v>139520.58999999959</c:v>
                </c:pt>
                <c:pt idx="9">
                  <c:v>134125</c:v>
                </c:pt>
                <c:pt idx="10">
                  <c:v>-7515.9400000001888</c:v>
                </c:pt>
                <c:pt idx="11">
                  <c:v>231237.40000000011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B4-4315-BAF4-67220DA8BBEB}"/>
            </c:ext>
          </c:extLst>
        </c:ser>
        <c:ser>
          <c:idx val="3"/>
          <c:order val="3"/>
          <c:tx>
            <c:strRef>
              <c:f>'Variances by Entity'!$B$14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Entity'!$F$10:$Q$10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Entity'!$F$14:$Q$14</c:f>
              <c:numCache>
                <c:formatCode>_(* #,##0_);_(* \(#,##0\);_(* "-"??_);_(@_)</c:formatCode>
                <c:ptCount val="12"/>
                <c:pt idx="0">
                  <c:v>174.00999999999658</c:v>
                </c:pt>
                <c:pt idx="1">
                  <c:v>54736.140000000014</c:v>
                </c:pt>
                <c:pt idx="2">
                  <c:v>-3266.5599999999977</c:v>
                </c:pt>
                <c:pt idx="3">
                  <c:v>16064.32</c:v>
                </c:pt>
                <c:pt idx="4">
                  <c:v>13510.53999999999</c:v>
                </c:pt>
                <c:pt idx="5">
                  <c:v>11112.489999999994</c:v>
                </c:pt>
                <c:pt idx="6">
                  <c:v>25302</c:v>
                </c:pt>
                <c:pt idx="7">
                  <c:v>-113345</c:v>
                </c:pt>
                <c:pt idx="8">
                  <c:v>46528.119999999995</c:v>
                </c:pt>
                <c:pt idx="9">
                  <c:v>53155</c:v>
                </c:pt>
                <c:pt idx="10">
                  <c:v>-9125.4200000000073</c:v>
                </c:pt>
                <c:pt idx="11">
                  <c:v>36360.74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4-4315-BAF4-67220DA8BBEB}"/>
            </c:ext>
          </c:extLst>
        </c:ser>
        <c:ser>
          <c:idx val="4"/>
          <c:order val="4"/>
          <c:tx>
            <c:strRef>
              <c:f>'Variances by Entity'!$B$15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99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Entity'!$F$10:$Q$10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Entity'!$F$15:$Q$15</c:f>
              <c:numCache>
                <c:formatCode>_(* #,##0_);_(* \(#,##0\);_(* "-"??_);_(@_)</c:formatCode>
                <c:ptCount val="12"/>
                <c:pt idx="0">
                  <c:v>-179629.53000000026</c:v>
                </c:pt>
                <c:pt idx="1">
                  <c:v>-97761.250000000204</c:v>
                </c:pt>
                <c:pt idx="2">
                  <c:v>-215584.85000000015</c:v>
                </c:pt>
                <c:pt idx="3">
                  <c:v>-345687.20999999979</c:v>
                </c:pt>
                <c:pt idx="4">
                  <c:v>-240711.0199999999</c:v>
                </c:pt>
                <c:pt idx="5">
                  <c:v>-209176.22000000026</c:v>
                </c:pt>
                <c:pt idx="6">
                  <c:v>450025</c:v>
                </c:pt>
                <c:pt idx="7">
                  <c:v>-281813</c:v>
                </c:pt>
                <c:pt idx="8">
                  <c:v>-132788.26000000039</c:v>
                </c:pt>
                <c:pt idx="9">
                  <c:v>39767</c:v>
                </c:pt>
                <c:pt idx="10">
                  <c:v>-180052.66000000018</c:v>
                </c:pt>
                <c:pt idx="11">
                  <c:v>174440.82000000009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B4-4315-BAF4-67220DA8B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633823"/>
        <c:axId val="1543634303"/>
      </c:lineChart>
      <c:catAx>
        <c:axId val="15436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4303"/>
        <c:crosses val="autoZero"/>
        <c:auto val="1"/>
        <c:lblAlgn val="ctr"/>
        <c:lblOffset val="100"/>
        <c:noMultiLvlLbl val="0"/>
      </c:catAx>
      <c:valAx>
        <c:axId val="154363430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382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 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'Variances by Entity'!$B$22</c:f>
              <c:strCache>
                <c:ptCount val="1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Entity'!$F$21:$Q$21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Entity'!$G$22:$Q$22</c:f>
              <c:numCache>
                <c:formatCode>_(* #,##0_);_(* \(#,##0\);_(* "-"??_);_(@_)</c:formatCode>
                <c:ptCount val="11"/>
                <c:pt idx="0">
                  <c:v>14534.050000000001</c:v>
                </c:pt>
                <c:pt idx="1">
                  <c:v>19662.030000000006</c:v>
                </c:pt>
                <c:pt idx="2">
                  <c:v>20056.850000000006</c:v>
                </c:pt>
                <c:pt idx="3">
                  <c:v>27736.63</c:v>
                </c:pt>
                <c:pt idx="4">
                  <c:v>26728.44000000001</c:v>
                </c:pt>
                <c:pt idx="5">
                  <c:v>12790</c:v>
                </c:pt>
                <c:pt idx="6">
                  <c:v>9751</c:v>
                </c:pt>
                <c:pt idx="7">
                  <c:v>18755</c:v>
                </c:pt>
                <c:pt idx="8">
                  <c:v>6612.5800000000017</c:v>
                </c:pt>
                <c:pt idx="9">
                  <c:v>-12607.899999999985</c:v>
                </c:pt>
                <c:pt idx="10">
                  <c:v>15365.240000000007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2-4711-9038-3615A379CCAA}"/>
            </c:ext>
          </c:extLst>
        </c:ser>
        <c:ser>
          <c:idx val="1"/>
          <c:order val="1"/>
          <c:tx>
            <c:strRef>
              <c:f>'Variances by Entity'!$B$23</c:f>
              <c:strCache>
                <c:ptCount val="1"/>
                <c:pt idx="0">
                  <c:v>OT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Entity'!$F$21:$Q$21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Entity'!$F$23:$Q$23</c:f>
              <c:numCache>
                <c:formatCode>_(* #,##0_);_(* \(#,##0\);_(* "-"??_);_(@_)</c:formatCode>
                <c:ptCount val="12"/>
                <c:pt idx="0">
                  <c:v>-21991.459999999992</c:v>
                </c:pt>
                <c:pt idx="1">
                  <c:v>-21264.139999999985</c:v>
                </c:pt>
                <c:pt idx="2">
                  <c:v>-30628.510000000009</c:v>
                </c:pt>
                <c:pt idx="3">
                  <c:v>-22498.269999999997</c:v>
                </c:pt>
                <c:pt idx="4">
                  <c:v>-4803.7400000000016</c:v>
                </c:pt>
                <c:pt idx="5">
                  <c:v>-14645.950000000003</c:v>
                </c:pt>
                <c:pt idx="6">
                  <c:v>802</c:v>
                </c:pt>
                <c:pt idx="7">
                  <c:v>-8470</c:v>
                </c:pt>
                <c:pt idx="8">
                  <c:v>6910</c:v>
                </c:pt>
                <c:pt idx="9">
                  <c:v>-29589.870000000003</c:v>
                </c:pt>
                <c:pt idx="10">
                  <c:v>-49708.94000000001</c:v>
                </c:pt>
                <c:pt idx="11">
                  <c:v>-30403.500000000015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E2-4711-9038-3615A379CCAA}"/>
            </c:ext>
          </c:extLst>
        </c:ser>
        <c:ser>
          <c:idx val="2"/>
          <c:order val="2"/>
          <c:tx>
            <c:strRef>
              <c:f>'Variances by Entity'!$B$24</c:f>
              <c:strCache>
                <c:ptCount val="1"/>
                <c:pt idx="0">
                  <c:v>Agency 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Entity'!$F$21:$Q$21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Entity'!$F$24:$Q$24</c:f>
              <c:numCache>
                <c:formatCode>_(* #,##0_);_(* \(#,##0\);_(* "-"??_);_(@_)</c:formatCode>
                <c:ptCount val="12"/>
                <c:pt idx="0">
                  <c:v>46048.31</c:v>
                </c:pt>
                <c:pt idx="1">
                  <c:v>107646.21999999996</c:v>
                </c:pt>
                <c:pt idx="2">
                  <c:v>225674.91999999998</c:v>
                </c:pt>
                <c:pt idx="3">
                  <c:v>-51024.450000000157</c:v>
                </c:pt>
                <c:pt idx="4">
                  <c:v>85226.689999999988</c:v>
                </c:pt>
                <c:pt idx="5">
                  <c:v>112214.15000000002</c:v>
                </c:pt>
                <c:pt idx="6">
                  <c:v>110522</c:v>
                </c:pt>
                <c:pt idx="7">
                  <c:v>198237.69</c:v>
                </c:pt>
                <c:pt idx="8">
                  <c:v>-90728</c:v>
                </c:pt>
                <c:pt idx="9">
                  <c:v>27878.390000000029</c:v>
                </c:pt>
                <c:pt idx="10">
                  <c:v>79031.030000000028</c:v>
                </c:pt>
                <c:pt idx="11">
                  <c:v>-16043.610000000011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E2-4711-9038-3615A379CCAA}"/>
            </c:ext>
          </c:extLst>
        </c:ser>
        <c:ser>
          <c:idx val="3"/>
          <c:order val="3"/>
          <c:tx>
            <c:strRef>
              <c:f>'Variances by Entity'!$B$25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Entity'!$F$21:$Q$21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Entity'!$F$25:$Q$25</c:f>
              <c:numCache>
                <c:formatCode>_(* #,##0_);_(* \(#,##0\);_(* "-"??_);_(@_)</c:formatCode>
                <c:ptCount val="12"/>
                <c:pt idx="0">
                  <c:v>29933.749999999996</c:v>
                </c:pt>
                <c:pt idx="1">
                  <c:v>28930.42</c:v>
                </c:pt>
                <c:pt idx="2">
                  <c:v>39047.22</c:v>
                </c:pt>
                <c:pt idx="3">
                  <c:v>22199.749999999996</c:v>
                </c:pt>
                <c:pt idx="4">
                  <c:v>18284.809999999998</c:v>
                </c:pt>
                <c:pt idx="5">
                  <c:v>16024.299999999994</c:v>
                </c:pt>
                <c:pt idx="6">
                  <c:v>25908</c:v>
                </c:pt>
                <c:pt idx="7">
                  <c:v>-1737</c:v>
                </c:pt>
                <c:pt idx="8">
                  <c:v>911</c:v>
                </c:pt>
                <c:pt idx="9">
                  <c:v>1638.7999999999993</c:v>
                </c:pt>
                <c:pt idx="10">
                  <c:v>784.55000000000018</c:v>
                </c:pt>
                <c:pt idx="11">
                  <c:v>4644.0700000000015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E2-4711-9038-3615A379CCAA}"/>
            </c:ext>
          </c:extLst>
        </c:ser>
        <c:ser>
          <c:idx val="4"/>
          <c:order val="4"/>
          <c:tx>
            <c:strRef>
              <c:f>'Variances by Entity'!$B$26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99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Entity'!$F$21:$Q$21</c:f>
              <c:strCache>
                <c:ptCount val="12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Entity'!$F$26:$Q$26</c:f>
              <c:numCache>
                <c:formatCode>_(* #,##0_);_(* \(#,##0\);_(* "-"??_);_(@_)</c:formatCode>
                <c:ptCount val="12"/>
                <c:pt idx="0">
                  <c:v>71618.73000000001</c:v>
                </c:pt>
                <c:pt idx="1">
                  <c:v>129846.54999999997</c:v>
                </c:pt>
                <c:pt idx="2">
                  <c:v>253755.65999999997</c:v>
                </c:pt>
                <c:pt idx="3">
                  <c:v>-31266.120000000152</c:v>
                </c:pt>
                <c:pt idx="4">
                  <c:v>126444.38999999998</c:v>
                </c:pt>
                <c:pt idx="5">
                  <c:v>140320.94000000003</c:v>
                </c:pt>
                <c:pt idx="6">
                  <c:v>150022</c:v>
                </c:pt>
                <c:pt idx="7">
                  <c:v>197781.69</c:v>
                </c:pt>
                <c:pt idx="8">
                  <c:v>-64152</c:v>
                </c:pt>
                <c:pt idx="9">
                  <c:v>6539.9000000000269</c:v>
                </c:pt>
                <c:pt idx="10">
                  <c:v>17498.740000000031</c:v>
                </c:pt>
                <c:pt idx="11">
                  <c:v>-26437.800000000017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E2-4711-9038-3615A379C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633823"/>
        <c:axId val="1543634303"/>
      </c:lineChart>
      <c:catAx>
        <c:axId val="15436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4303"/>
        <c:crosses val="autoZero"/>
        <c:auto val="1"/>
        <c:lblAlgn val="ctr"/>
        <c:lblOffset val="100"/>
        <c:noMultiLvlLbl val="0"/>
      </c:catAx>
      <c:valAx>
        <c:axId val="154363430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382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 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'Variances by Entity'!$B$39</c:f>
              <c:strCache>
                <c:ptCount val="1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Entity'!$F$38:$Q$38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Entity'!$F$39:$Q$39</c:f>
              <c:numCache>
                <c:formatCode>_(* #,##0_);_(* \(#,##0\);_(* "-"??_);_(@_)</c:formatCode>
                <c:ptCount val="12"/>
                <c:pt idx="0">
                  <c:v>-9734.8200000000179</c:v>
                </c:pt>
                <c:pt idx="1">
                  <c:v>-57259.809999999969</c:v>
                </c:pt>
                <c:pt idx="2">
                  <c:v>-28297.229999999996</c:v>
                </c:pt>
                <c:pt idx="3">
                  <c:v>7977.1399999999685</c:v>
                </c:pt>
                <c:pt idx="4">
                  <c:v>-10336.180000000002</c:v>
                </c:pt>
                <c:pt idx="5">
                  <c:v>-4047.8300000000199</c:v>
                </c:pt>
                <c:pt idx="6">
                  <c:v>-59480</c:v>
                </c:pt>
                <c:pt idx="7">
                  <c:v>-69150</c:v>
                </c:pt>
                <c:pt idx="8">
                  <c:v>45451</c:v>
                </c:pt>
                <c:pt idx="9">
                  <c:v>24729.670000000031</c:v>
                </c:pt>
                <c:pt idx="10">
                  <c:v>-48025.620000000032</c:v>
                </c:pt>
                <c:pt idx="11">
                  <c:v>26878.839999999997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B-40C5-95C3-447BF141CACD}"/>
            </c:ext>
          </c:extLst>
        </c:ser>
        <c:ser>
          <c:idx val="1"/>
          <c:order val="1"/>
          <c:tx>
            <c:strRef>
              <c:f>'Variances by Entity'!$B$40</c:f>
              <c:strCache>
                <c:ptCount val="1"/>
                <c:pt idx="0">
                  <c:v>OT</c:v>
                </c:pt>
              </c:strCache>
            </c:strRef>
          </c:tx>
          <c:spPr>
            <a:ln w="28575" cap="rnd">
              <a:solidFill>
                <a:srgbClr val="FFC2BD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Entity'!$F$38:$Q$38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Entity'!$F$40:$Q$40</c:f>
              <c:numCache>
                <c:formatCode>_(* #,##0_);_(* \(#,##0\);_(* "-"??_);_(@_)</c:formatCode>
                <c:ptCount val="12"/>
                <c:pt idx="0">
                  <c:v>-42355.380000000005</c:v>
                </c:pt>
                <c:pt idx="1">
                  <c:v>-51747.139999999992</c:v>
                </c:pt>
                <c:pt idx="2">
                  <c:v>-40721.19</c:v>
                </c:pt>
                <c:pt idx="3">
                  <c:v>-31655.07</c:v>
                </c:pt>
                <c:pt idx="4">
                  <c:v>-17474.960000000003</c:v>
                </c:pt>
                <c:pt idx="5">
                  <c:v>-12616.14</c:v>
                </c:pt>
                <c:pt idx="6">
                  <c:v>-18101</c:v>
                </c:pt>
                <c:pt idx="7">
                  <c:v>-37237</c:v>
                </c:pt>
                <c:pt idx="8">
                  <c:v>-43009</c:v>
                </c:pt>
                <c:pt idx="9">
                  <c:v>-12453.170000000002</c:v>
                </c:pt>
                <c:pt idx="10">
                  <c:v>-19685.95</c:v>
                </c:pt>
                <c:pt idx="11">
                  <c:v>-27378.17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B-40C5-95C3-447BF141CACD}"/>
            </c:ext>
          </c:extLst>
        </c:ser>
        <c:ser>
          <c:idx val="2"/>
          <c:order val="2"/>
          <c:tx>
            <c:strRef>
              <c:f>'Variances by Entity'!$B$41</c:f>
              <c:strCache>
                <c:ptCount val="1"/>
                <c:pt idx="0">
                  <c:v>Agency 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Entity'!$F$38:$Q$38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Entity'!$F$41:$Q$41</c:f>
              <c:numCache>
                <c:formatCode>_(* #,##0_);_(* \(#,##0\);_(* "-"??_);_(@_)</c:formatCode>
                <c:ptCount val="12"/>
                <c:pt idx="0">
                  <c:v>-5083.32</c:v>
                </c:pt>
                <c:pt idx="1">
                  <c:v>-15467.84</c:v>
                </c:pt>
                <c:pt idx="2">
                  <c:v>-35306.270000000004</c:v>
                </c:pt>
                <c:pt idx="3">
                  <c:v>-40734.370000000003</c:v>
                </c:pt>
                <c:pt idx="4">
                  <c:v>-16460.399999999998</c:v>
                </c:pt>
                <c:pt idx="5">
                  <c:v>-9371.77</c:v>
                </c:pt>
                <c:pt idx="6">
                  <c:v>-8597</c:v>
                </c:pt>
                <c:pt idx="7">
                  <c:v>-35327.419999999991</c:v>
                </c:pt>
                <c:pt idx="8">
                  <c:v>-13616</c:v>
                </c:pt>
                <c:pt idx="9">
                  <c:v>-6237.1200000000008</c:v>
                </c:pt>
                <c:pt idx="10">
                  <c:v>-2012.8100000000004</c:v>
                </c:pt>
                <c:pt idx="11">
                  <c:v>-16621.810000000001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6B-40C5-95C3-447BF141CACD}"/>
            </c:ext>
          </c:extLst>
        </c:ser>
        <c:ser>
          <c:idx val="3"/>
          <c:order val="3"/>
          <c:tx>
            <c:strRef>
              <c:f>'Variances by Entity'!$B$42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tx2">
                  <a:lumMod val="10000"/>
                  <a:lumOff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Entity'!$F$38:$Q$38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Entity'!$F$42:$Q$42</c:f>
              <c:numCache>
                <c:formatCode>_(* #,##0_);_(* \(#,##0\);_(* "-"??_);_(@_)</c:formatCode>
                <c:ptCount val="12"/>
                <c:pt idx="0">
                  <c:v>-13419.93</c:v>
                </c:pt>
                <c:pt idx="1">
                  <c:v>27143.460000000003</c:v>
                </c:pt>
                <c:pt idx="2">
                  <c:v>-52187.790000000008</c:v>
                </c:pt>
                <c:pt idx="3">
                  <c:v>-15483.68</c:v>
                </c:pt>
                <c:pt idx="4">
                  <c:v>4503.5100000000093</c:v>
                </c:pt>
                <c:pt idx="5">
                  <c:v>11279.30999999999</c:v>
                </c:pt>
                <c:pt idx="6">
                  <c:v>1054</c:v>
                </c:pt>
                <c:pt idx="7">
                  <c:v>-12049</c:v>
                </c:pt>
                <c:pt idx="8">
                  <c:v>8800</c:v>
                </c:pt>
                <c:pt idx="9">
                  <c:v>-12844.350000000008</c:v>
                </c:pt>
                <c:pt idx="10">
                  <c:v>15026.530000000008</c:v>
                </c:pt>
                <c:pt idx="11">
                  <c:v>-17789.00999999998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6B-40C5-95C3-447BF141CACD}"/>
            </c:ext>
          </c:extLst>
        </c:ser>
        <c:ser>
          <c:idx val="4"/>
          <c:order val="4"/>
          <c:tx>
            <c:strRef>
              <c:f>'Variances by Entity'!$B$43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99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Entity'!$F$38:$Q$38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Entity'!$F$43:$Q$43</c:f>
              <c:numCache>
                <c:formatCode>_(* #,##0_);_(* \(#,##0\);_(* "-"??_);_(@_)</c:formatCode>
                <c:ptCount val="12"/>
                <c:pt idx="0">
                  <c:v>-70593.450000000026</c:v>
                </c:pt>
                <c:pt idx="1">
                  <c:v>-97331.329999999944</c:v>
                </c:pt>
                <c:pt idx="2">
                  <c:v>-156512.48000000001</c:v>
                </c:pt>
                <c:pt idx="3">
                  <c:v>-79895.98000000004</c:v>
                </c:pt>
                <c:pt idx="4">
                  <c:v>-39768.03</c:v>
                </c:pt>
                <c:pt idx="5">
                  <c:v>-14756.430000000029</c:v>
                </c:pt>
                <c:pt idx="6">
                  <c:v>-85124</c:v>
                </c:pt>
                <c:pt idx="7">
                  <c:v>-153763.41999999998</c:v>
                </c:pt>
                <c:pt idx="8">
                  <c:v>-2374</c:v>
                </c:pt>
                <c:pt idx="9">
                  <c:v>-6804.9699999999793</c:v>
                </c:pt>
                <c:pt idx="10">
                  <c:v>-54697.850000000028</c:v>
                </c:pt>
                <c:pt idx="11">
                  <c:v>-34910.14999999998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6B-40C5-95C3-447BF141C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633823"/>
        <c:axId val="1543634303"/>
      </c:lineChart>
      <c:catAx>
        <c:axId val="15436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4303"/>
        <c:crosses val="autoZero"/>
        <c:auto val="1"/>
        <c:lblAlgn val="ctr"/>
        <c:lblOffset val="100"/>
        <c:noMultiLvlLbl val="0"/>
      </c:catAx>
      <c:valAx>
        <c:axId val="154363430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382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 Bloom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65078137023681E-2"/>
          <c:y val="0.14049242424242425"/>
          <c:w val="0.90141748921638365"/>
          <c:h val="0.73119273443092336"/>
        </c:manualLayout>
      </c:layout>
      <c:lineChart>
        <c:grouping val="standard"/>
        <c:varyColors val="0"/>
        <c:ser>
          <c:idx val="0"/>
          <c:order val="0"/>
          <c:tx>
            <c:strRef>
              <c:f>'Variances by Entity'!$B$30</c:f>
              <c:strCache>
                <c:ptCount val="1"/>
                <c:pt idx="0">
                  <c:v>Sick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Entity'!$F$29:$Q$29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Entity'!$F$30:$Q$30</c:f>
              <c:numCache>
                <c:formatCode>_(* #,##0_);_(* \(#,##0\);_(* "-"??_);_(@_)</c:formatCode>
                <c:ptCount val="12"/>
                <c:pt idx="0">
                  <c:v>-63944.12</c:v>
                </c:pt>
                <c:pt idx="1">
                  <c:v>-67478.729999999981</c:v>
                </c:pt>
                <c:pt idx="2">
                  <c:v>-60856.6</c:v>
                </c:pt>
                <c:pt idx="3">
                  <c:v>-82416.140000000014</c:v>
                </c:pt>
                <c:pt idx="4">
                  <c:v>-97396.530000000013</c:v>
                </c:pt>
                <c:pt idx="5">
                  <c:v>-88420.69</c:v>
                </c:pt>
                <c:pt idx="6">
                  <c:v>-66108</c:v>
                </c:pt>
                <c:pt idx="7">
                  <c:v>-77491</c:v>
                </c:pt>
                <c:pt idx="8">
                  <c:v>-101201.72000000002</c:v>
                </c:pt>
                <c:pt idx="9">
                  <c:v>-58392</c:v>
                </c:pt>
                <c:pt idx="10">
                  <c:v>-62800.89999999998</c:v>
                </c:pt>
                <c:pt idx="11">
                  <c:v>-52674.090000000011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C-4632-8ED0-CE60D0DB62CE}"/>
            </c:ext>
          </c:extLst>
        </c:ser>
        <c:ser>
          <c:idx val="1"/>
          <c:order val="1"/>
          <c:tx>
            <c:strRef>
              <c:f>'Variances by Entity'!$B$31</c:f>
              <c:strCache>
                <c:ptCount val="1"/>
                <c:pt idx="0">
                  <c:v>OT</c:v>
                </c:pt>
              </c:strCache>
            </c:strRef>
          </c:tx>
          <c:spPr>
            <a:ln w="28575" cap="rnd">
              <a:solidFill>
                <a:srgbClr val="F7F5CB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Entity'!$F$29:$Q$29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Entity'!$F$31:$Q$31</c:f>
              <c:numCache>
                <c:formatCode>_(* #,##0_);_(* \(#,##0\);_(* "-"??_);_(@_)</c:formatCode>
                <c:ptCount val="12"/>
                <c:pt idx="0">
                  <c:v>-100227.92000000001</c:v>
                </c:pt>
                <c:pt idx="1">
                  <c:v>-14308.269999999968</c:v>
                </c:pt>
                <c:pt idx="2">
                  <c:v>204.81000000001313</c:v>
                </c:pt>
                <c:pt idx="3">
                  <c:v>-59539.459999999963</c:v>
                </c:pt>
                <c:pt idx="4">
                  <c:v>37866.979999999989</c:v>
                </c:pt>
                <c:pt idx="5">
                  <c:v>46308.18</c:v>
                </c:pt>
                <c:pt idx="6">
                  <c:v>74625</c:v>
                </c:pt>
                <c:pt idx="7">
                  <c:v>89269</c:v>
                </c:pt>
                <c:pt idx="8">
                  <c:v>-57767.699999999983</c:v>
                </c:pt>
                <c:pt idx="9">
                  <c:v>-8723</c:v>
                </c:pt>
                <c:pt idx="10">
                  <c:v>-41435.81</c:v>
                </c:pt>
                <c:pt idx="11">
                  <c:v>-1659.5800000000108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C-4632-8ED0-CE60D0DB62CE}"/>
            </c:ext>
          </c:extLst>
        </c:ser>
        <c:ser>
          <c:idx val="2"/>
          <c:order val="2"/>
          <c:tx>
            <c:strRef>
              <c:f>'Variances by Entity'!$B$32</c:f>
              <c:strCache>
                <c:ptCount val="1"/>
                <c:pt idx="0">
                  <c:v>Agency 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Entity'!$F$29:$Q$29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Entity'!$F$32:$Q$32</c:f>
              <c:numCache>
                <c:formatCode>_(* #,##0_);_(* \(#,##0\);_(* "-"??_);_(@_)</c:formatCode>
                <c:ptCount val="12"/>
                <c:pt idx="0">
                  <c:v>122474.9699999998</c:v>
                </c:pt>
                <c:pt idx="1">
                  <c:v>49262.409999999763</c:v>
                </c:pt>
                <c:pt idx="2">
                  <c:v>-41200.560000000172</c:v>
                </c:pt>
                <c:pt idx="3">
                  <c:v>4074.9800000001705</c:v>
                </c:pt>
                <c:pt idx="4">
                  <c:v>-9773.8699999998789</c:v>
                </c:pt>
                <c:pt idx="5">
                  <c:v>-75219.970000000263</c:v>
                </c:pt>
                <c:pt idx="6">
                  <c:v>487305</c:v>
                </c:pt>
                <c:pt idx="7">
                  <c:v>-70813</c:v>
                </c:pt>
                <c:pt idx="8">
                  <c:v>144097.2599999996</c:v>
                </c:pt>
                <c:pt idx="9">
                  <c:v>138736</c:v>
                </c:pt>
                <c:pt idx="10">
                  <c:v>-12917.390000000189</c:v>
                </c:pt>
                <c:pt idx="11">
                  <c:v>231978.13000000012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3C-4632-8ED0-CE60D0DB62CE}"/>
            </c:ext>
          </c:extLst>
        </c:ser>
        <c:ser>
          <c:idx val="3"/>
          <c:order val="3"/>
          <c:tx>
            <c:strRef>
              <c:f>'Variances by Entity'!$B$33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Entity'!$F$29:$Q$29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Entity'!$F$33:$Q$33</c:f>
              <c:numCache>
                <c:formatCode>_(* #,##0_);_(* \(#,##0\);_(* "-"??_);_(@_)</c:formatCode>
                <c:ptCount val="12"/>
                <c:pt idx="0">
                  <c:v>-21044.020000000004</c:v>
                </c:pt>
                <c:pt idx="1">
                  <c:v>24217.300000000007</c:v>
                </c:pt>
                <c:pt idx="2">
                  <c:v>-21965.03</c:v>
                </c:pt>
                <c:pt idx="3">
                  <c:v>-5960.5399999999972</c:v>
                </c:pt>
                <c:pt idx="4">
                  <c:v>463.73000000000411</c:v>
                </c:pt>
                <c:pt idx="5">
                  <c:v>-17995.149999999998</c:v>
                </c:pt>
                <c:pt idx="6">
                  <c:v>6348</c:v>
                </c:pt>
                <c:pt idx="7">
                  <c:v>-101809</c:v>
                </c:pt>
                <c:pt idx="8">
                  <c:v>17612.330000000002</c:v>
                </c:pt>
                <c:pt idx="9">
                  <c:v>50839</c:v>
                </c:pt>
                <c:pt idx="10">
                  <c:v>-17715.310000000001</c:v>
                </c:pt>
                <c:pt idx="11">
                  <c:v>24146.440000000002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3C-4632-8ED0-CE60D0DB62CE}"/>
            </c:ext>
          </c:extLst>
        </c:ser>
        <c:ser>
          <c:idx val="4"/>
          <c:order val="4"/>
          <c:tx>
            <c:strRef>
              <c:f>'Variances by Entity'!$B$34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99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Entity'!$F$29:$Q$29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Entity'!$F$34:$Q$34</c:f>
              <c:numCache>
                <c:formatCode>_(* #,##0_);_(* \(#,##0\);_(* "-"??_);_(@_)</c:formatCode>
                <c:ptCount val="12"/>
                <c:pt idx="0">
                  <c:v>-62741.090000000215</c:v>
                </c:pt>
                <c:pt idx="1">
                  <c:v>-8307.2900000001719</c:v>
                </c:pt>
                <c:pt idx="2">
                  <c:v>-123817.38000000015</c:v>
                </c:pt>
                <c:pt idx="3">
                  <c:v>-143841.15999999983</c:v>
                </c:pt>
                <c:pt idx="4">
                  <c:v>-68839.689999999886</c:v>
                </c:pt>
                <c:pt idx="5">
                  <c:v>-135327.63000000027</c:v>
                </c:pt>
                <c:pt idx="6">
                  <c:v>502170</c:v>
                </c:pt>
                <c:pt idx="7">
                  <c:v>-160844</c:v>
                </c:pt>
                <c:pt idx="8">
                  <c:v>2740.1699999996199</c:v>
                </c:pt>
                <c:pt idx="9">
                  <c:v>122460</c:v>
                </c:pt>
                <c:pt idx="10">
                  <c:v>-134869.41000000018</c:v>
                </c:pt>
                <c:pt idx="11">
                  <c:v>201790.90000000011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3C-4632-8ED0-CE60D0DB6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633823"/>
        <c:axId val="1543634303"/>
      </c:lineChart>
      <c:catAx>
        <c:axId val="15436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4303"/>
        <c:crosses val="autoZero"/>
        <c:auto val="1"/>
        <c:lblAlgn val="ctr"/>
        <c:lblOffset val="100"/>
        <c:noMultiLvlLbl val="0"/>
      </c:catAx>
      <c:valAx>
        <c:axId val="154363430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382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 Bloom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467241279382664E-2"/>
          <c:y val="0.26206504870647651"/>
          <c:w val="0.90188396797403481"/>
          <c:h val="0.71595022068250835"/>
        </c:manualLayout>
      </c:layout>
      <c:lineChart>
        <c:grouping val="standard"/>
        <c:varyColors val="0"/>
        <c:ser>
          <c:idx val="0"/>
          <c:order val="0"/>
          <c:tx>
            <c:strRef>
              <c:f>'Variances by Entity'!$B$47</c:f>
              <c:strCache>
                <c:ptCount val="1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Entity'!$F$46:$Q$46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 Nov 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Entity'!$F$47:$Q$47</c:f>
              <c:numCache>
                <c:formatCode>_(* #,##0_);_(* \(#,##0\);_(* "-"??_);_(@_)</c:formatCode>
                <c:ptCount val="12"/>
                <c:pt idx="0">
                  <c:v>-43383.38</c:v>
                </c:pt>
                <c:pt idx="1">
                  <c:v>-44426.710000000006</c:v>
                </c:pt>
                <c:pt idx="2">
                  <c:v>-42765.069999999992</c:v>
                </c:pt>
                <c:pt idx="3">
                  <c:v>-102969.81999999999</c:v>
                </c:pt>
                <c:pt idx="4">
                  <c:v>-71045.900000000009</c:v>
                </c:pt>
                <c:pt idx="5">
                  <c:v>-65843.760000000024</c:v>
                </c:pt>
                <c:pt idx="6">
                  <c:v>-52405</c:v>
                </c:pt>
                <c:pt idx="7">
                  <c:v>-80046</c:v>
                </c:pt>
                <c:pt idx="8">
                  <c:v>-108721.95</c:v>
                </c:pt>
                <c:pt idx="9">
                  <c:v>-53997</c:v>
                </c:pt>
                <c:pt idx="10">
                  <c:v>-31355.860000000008</c:v>
                </c:pt>
                <c:pt idx="11">
                  <c:v>-25493.629999999997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4-444C-89EF-6FE81112BD1C}"/>
            </c:ext>
          </c:extLst>
        </c:ser>
        <c:ser>
          <c:idx val="1"/>
          <c:order val="1"/>
          <c:tx>
            <c:strRef>
              <c:f>'Variances by Entity'!$B$48</c:f>
              <c:strCache>
                <c:ptCount val="1"/>
                <c:pt idx="0">
                  <c:v>OT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Entity'!$F$46:$Q$46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 Nov 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Entity'!$F$48:$Q$48</c:f>
              <c:numCache>
                <c:formatCode>_(* #,##0_);_(* \(#,##0\);_(* "-"??_);_(@_)</c:formatCode>
                <c:ptCount val="12"/>
                <c:pt idx="0">
                  <c:v>-70870.45</c:v>
                </c:pt>
                <c:pt idx="1">
                  <c:v>-36451.439999999995</c:v>
                </c:pt>
                <c:pt idx="2">
                  <c:v>-48531.090000000004</c:v>
                </c:pt>
                <c:pt idx="3">
                  <c:v>-80390.89</c:v>
                </c:pt>
                <c:pt idx="4">
                  <c:v>-47205.439999999995</c:v>
                </c:pt>
                <c:pt idx="5">
                  <c:v>-43374.479999999996</c:v>
                </c:pt>
                <c:pt idx="6">
                  <c:v>-20842</c:v>
                </c:pt>
                <c:pt idx="7">
                  <c:v>-29910</c:v>
                </c:pt>
                <c:pt idx="8">
                  <c:v>-51145.600000000006</c:v>
                </c:pt>
                <c:pt idx="9">
                  <c:v>-26401</c:v>
                </c:pt>
                <c:pt idx="10">
                  <c:v>-27818.730000000003</c:v>
                </c:pt>
                <c:pt idx="11">
                  <c:v>-13330.020000000002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4-444C-89EF-6FE81112BD1C}"/>
            </c:ext>
          </c:extLst>
        </c:ser>
        <c:ser>
          <c:idx val="2"/>
          <c:order val="2"/>
          <c:tx>
            <c:strRef>
              <c:f>'Variances by Entity'!$B$49</c:f>
              <c:strCache>
                <c:ptCount val="1"/>
                <c:pt idx="0">
                  <c:v>Agency 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Entity'!$F$46:$Q$46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 Nov 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Entity'!$F$49:$Q$49</c:f>
              <c:numCache>
                <c:formatCode>_(* #,##0_);_(* \(#,##0\);_(* "-"??_);_(@_)</c:formatCode>
                <c:ptCount val="12"/>
                <c:pt idx="0">
                  <c:v>-23852.639999999999</c:v>
                </c:pt>
                <c:pt idx="1">
                  <c:v>-39094.65</c:v>
                </c:pt>
                <c:pt idx="2">
                  <c:v>-19169.78</c:v>
                </c:pt>
                <c:pt idx="3">
                  <c:v>-40510.199999999997</c:v>
                </c:pt>
                <c:pt idx="4">
                  <c:v>-66666.8</c:v>
                </c:pt>
                <c:pt idx="5">
                  <c:v>6262.0100000000011</c:v>
                </c:pt>
                <c:pt idx="6">
                  <c:v>2148</c:v>
                </c:pt>
                <c:pt idx="7">
                  <c:v>523</c:v>
                </c:pt>
                <c:pt idx="8">
                  <c:v>-4576.67</c:v>
                </c:pt>
                <c:pt idx="9">
                  <c:v>-4611</c:v>
                </c:pt>
                <c:pt idx="10">
                  <c:v>5401.45</c:v>
                </c:pt>
                <c:pt idx="11">
                  <c:v>-740.72999999999956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4-444C-89EF-6FE81112BD1C}"/>
            </c:ext>
          </c:extLst>
        </c:ser>
        <c:ser>
          <c:idx val="3"/>
          <c:order val="3"/>
          <c:tx>
            <c:strRef>
              <c:f>'Variances by Entity'!$B$50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Entity'!$F$46:$Q$46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 Nov 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Entity'!$F$50:$Q$50</c:f>
              <c:numCache>
                <c:formatCode>_(* #,##0_);_(* \(#,##0\);_(* "-"??_);_(@_)</c:formatCode>
                <c:ptCount val="12"/>
                <c:pt idx="0">
                  <c:v>21218.030000000002</c:v>
                </c:pt>
                <c:pt idx="1">
                  <c:v>30518.84</c:v>
                </c:pt>
                <c:pt idx="2">
                  <c:v>18698.47</c:v>
                </c:pt>
                <c:pt idx="3">
                  <c:v>22024.859999999997</c:v>
                </c:pt>
                <c:pt idx="4">
                  <c:v>13046.809999999987</c:v>
                </c:pt>
                <c:pt idx="5">
                  <c:v>29107.639999999992</c:v>
                </c:pt>
                <c:pt idx="6">
                  <c:v>18954</c:v>
                </c:pt>
                <c:pt idx="7">
                  <c:v>-11536</c:v>
                </c:pt>
                <c:pt idx="8">
                  <c:v>28915.78999999999</c:v>
                </c:pt>
                <c:pt idx="9">
                  <c:v>2316</c:v>
                </c:pt>
                <c:pt idx="10">
                  <c:v>8589.889999999994</c:v>
                </c:pt>
                <c:pt idx="11">
                  <c:v>12214.299999999994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A4-444C-89EF-6FE81112BD1C}"/>
            </c:ext>
          </c:extLst>
        </c:ser>
        <c:ser>
          <c:idx val="4"/>
          <c:order val="4"/>
          <c:tx>
            <c:strRef>
              <c:f>'Variances by Entity'!$B$51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99"/>
              </a:solidFill>
              <a:round/>
            </a:ln>
            <a:effectLst/>
          </c:spPr>
          <c:marker>
            <c:symbol val="none"/>
          </c:marker>
          <c:cat>
            <c:strRef>
              <c:f>'Variances by Entity'!$F$46:$Q$46</c:f>
              <c:strCache>
                <c:ptCount val="12"/>
                <c:pt idx="0">
                  <c:v> May </c:v>
                </c:pt>
                <c:pt idx="1">
                  <c:v> June </c:v>
                </c:pt>
                <c:pt idx="2">
                  <c:v> July </c:v>
                </c:pt>
                <c:pt idx="3">
                  <c:v> Aug </c:v>
                </c:pt>
                <c:pt idx="4">
                  <c:v> Sep </c:v>
                </c:pt>
                <c:pt idx="5">
                  <c:v>Oct</c:v>
                </c:pt>
                <c:pt idx="6">
                  <c:v> Nov 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'Variances by Entity'!$F$51:$Q$51</c:f>
              <c:numCache>
                <c:formatCode>_(* #,##0_);_(* \(#,##0\);_(* "-"??_);_(@_)</c:formatCode>
                <c:ptCount val="12"/>
                <c:pt idx="0">
                  <c:v>-116888.43999999997</c:v>
                </c:pt>
                <c:pt idx="1">
                  <c:v>-89453.959999999992</c:v>
                </c:pt>
                <c:pt idx="2">
                  <c:v>-91767.47</c:v>
                </c:pt>
                <c:pt idx="3">
                  <c:v>-201846.05</c:v>
                </c:pt>
                <c:pt idx="4">
                  <c:v>-171871.33000000002</c:v>
                </c:pt>
                <c:pt idx="5">
                  <c:v>-73848.590000000026</c:v>
                </c:pt>
                <c:pt idx="6">
                  <c:v>-52145</c:v>
                </c:pt>
                <c:pt idx="7">
                  <c:v>-120969</c:v>
                </c:pt>
                <c:pt idx="8">
                  <c:v>-135528.43000000002</c:v>
                </c:pt>
                <c:pt idx="9">
                  <c:v>-82693</c:v>
                </c:pt>
                <c:pt idx="10">
                  <c:v>-45183.250000000022</c:v>
                </c:pt>
                <c:pt idx="11">
                  <c:v>-27350.080000000009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A4-444C-89EF-6FE81112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633823"/>
        <c:axId val="1543634303"/>
      </c:lineChart>
      <c:catAx>
        <c:axId val="15436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4303"/>
        <c:crosses val="autoZero"/>
        <c:auto val="1"/>
        <c:lblAlgn val="ctr"/>
        <c:lblOffset val="100"/>
        <c:noMultiLvlLbl val="0"/>
      </c:catAx>
      <c:valAx>
        <c:axId val="154363430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3382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'ON Variances'!$C$5:$D$5</c:f>
              <c:strCache>
                <c:ptCount val="2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'ON Variances'!$F$4:$Q$4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Variances'!$F$5:$Q$5</c:f>
              <c:numCache>
                <c:formatCode>_(* #,##0_);_(* \(#,##0\);_(* "-"??_);_(@_)</c:formatCode>
                <c:ptCount val="12"/>
                <c:pt idx="0">
                  <c:v>111614.55000000002</c:v>
                </c:pt>
                <c:pt idx="1">
                  <c:v>125747.93999999999</c:v>
                </c:pt>
                <c:pt idx="2">
                  <c:v>106587.07</c:v>
                </c:pt>
                <c:pt idx="3">
                  <c:v>131618.74</c:v>
                </c:pt>
                <c:pt idx="4">
                  <c:v>137087.01</c:v>
                </c:pt>
                <c:pt idx="5">
                  <c:v>132500</c:v>
                </c:pt>
                <c:pt idx="6">
                  <c:v>154572</c:v>
                </c:pt>
                <c:pt idx="7">
                  <c:v>155823</c:v>
                </c:pt>
                <c:pt idx="8">
                  <c:v>129179.18</c:v>
                </c:pt>
                <c:pt idx="9">
                  <c:v>118356</c:v>
                </c:pt>
                <c:pt idx="10">
                  <c:v>103972.39000000001</c:v>
                </c:pt>
                <c:pt idx="11">
                  <c:v>117854.08000000002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6-4A15-896F-1428334143D9}"/>
            </c:ext>
          </c:extLst>
        </c:ser>
        <c:ser>
          <c:idx val="1"/>
          <c:order val="1"/>
          <c:tx>
            <c:strRef>
              <c:f>'ON Variances'!$C$6:$D$6</c:f>
              <c:strCache>
                <c:ptCount val="2"/>
                <c:pt idx="0">
                  <c:v>Overtime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Variances'!$F$4:$Q$4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Variances'!$F$6:$Q$6</c:f>
              <c:numCache>
                <c:formatCode>_(* #,##0_);_(* \(#,##0\);_(* "-"??_);_(@_)</c:formatCode>
                <c:ptCount val="12"/>
                <c:pt idx="0">
                  <c:v>508657.21000000008</c:v>
                </c:pt>
                <c:pt idx="1">
                  <c:v>475707.81999999995</c:v>
                </c:pt>
                <c:pt idx="2">
                  <c:v>476312.27</c:v>
                </c:pt>
                <c:pt idx="3">
                  <c:v>439203.28000000009</c:v>
                </c:pt>
                <c:pt idx="4">
                  <c:v>352087.03999999998</c:v>
                </c:pt>
                <c:pt idx="5">
                  <c:v>319651</c:v>
                </c:pt>
                <c:pt idx="6">
                  <c:v>384196</c:v>
                </c:pt>
                <c:pt idx="7">
                  <c:v>394393</c:v>
                </c:pt>
                <c:pt idx="8">
                  <c:v>393152.62</c:v>
                </c:pt>
                <c:pt idx="9">
                  <c:v>317704</c:v>
                </c:pt>
                <c:pt idx="10">
                  <c:v>309994.75</c:v>
                </c:pt>
                <c:pt idx="11">
                  <c:v>388302.58999999997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6-4A15-896F-1428334143D9}"/>
            </c:ext>
          </c:extLst>
        </c:ser>
        <c:ser>
          <c:idx val="2"/>
          <c:order val="2"/>
          <c:tx>
            <c:strRef>
              <c:f>'ON Variances'!$C$7:$D$7</c:f>
              <c:strCache>
                <c:ptCount val="2"/>
                <c:pt idx="0">
                  <c:v>Purchased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Variances'!$F$4:$Q$4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Variances'!$F$7:$Q$7</c:f>
              <c:numCache>
                <c:formatCode>_(* #,##0_);_(* \(#,##0\);_(* "-"??_);_(@_)</c:formatCode>
                <c:ptCount val="12"/>
                <c:pt idx="0">
                  <c:v>884534.58</c:v>
                </c:pt>
                <c:pt idx="1">
                  <c:v>725309.34</c:v>
                </c:pt>
                <c:pt idx="2">
                  <c:v>874903.89999999991</c:v>
                </c:pt>
                <c:pt idx="3">
                  <c:v>705903.60000000009</c:v>
                </c:pt>
                <c:pt idx="4">
                  <c:v>524689.39999999991</c:v>
                </c:pt>
                <c:pt idx="5">
                  <c:v>676714</c:v>
                </c:pt>
                <c:pt idx="6">
                  <c:v>755396</c:v>
                </c:pt>
                <c:pt idx="7">
                  <c:v>788188</c:v>
                </c:pt>
                <c:pt idx="8">
                  <c:v>588813.75</c:v>
                </c:pt>
                <c:pt idx="9">
                  <c:v>557966</c:v>
                </c:pt>
                <c:pt idx="10">
                  <c:v>603390.71999999997</c:v>
                </c:pt>
                <c:pt idx="11">
                  <c:v>675220.45000000007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26-4A15-896F-1428334143D9}"/>
            </c:ext>
          </c:extLst>
        </c:ser>
        <c:ser>
          <c:idx val="3"/>
          <c:order val="3"/>
          <c:tx>
            <c:strRef>
              <c:f>'ON Variances'!$C$8:$D$8</c:f>
              <c:strCache>
                <c:ptCount val="2"/>
                <c:pt idx="0">
                  <c:v>Clinical Supplies</c:v>
                </c:pt>
              </c:strCache>
            </c:strRef>
          </c:tx>
          <c:spPr>
            <a:ln w="28575" cap="rnd">
              <a:solidFill>
                <a:srgbClr val="3FB5B5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Variances'!$F$4:$Q$4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Variances'!$F$8:$Q$8</c:f>
              <c:numCache>
                <c:formatCode>_(* #,##0_);_(* \(#,##0\);_(* "-"??_);_(@_)</c:formatCode>
                <c:ptCount val="12"/>
                <c:pt idx="0">
                  <c:v>120673.56</c:v>
                </c:pt>
                <c:pt idx="1">
                  <c:v>125080.44</c:v>
                </c:pt>
                <c:pt idx="2">
                  <c:v>68787.790000000008</c:v>
                </c:pt>
                <c:pt idx="3">
                  <c:v>75850.850000000006</c:v>
                </c:pt>
                <c:pt idx="4">
                  <c:v>85529.99</c:v>
                </c:pt>
                <c:pt idx="5">
                  <c:v>96311</c:v>
                </c:pt>
                <c:pt idx="6">
                  <c:v>449806</c:v>
                </c:pt>
                <c:pt idx="7">
                  <c:v>662431</c:v>
                </c:pt>
                <c:pt idx="8">
                  <c:v>152281.06</c:v>
                </c:pt>
                <c:pt idx="9">
                  <c:v>114688</c:v>
                </c:pt>
                <c:pt idx="10">
                  <c:v>152208.68</c:v>
                </c:pt>
                <c:pt idx="11">
                  <c:v>148246.68999999997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26-4A15-896F-1428334143D9}"/>
            </c:ext>
          </c:extLst>
        </c:ser>
        <c:ser>
          <c:idx val="4"/>
          <c:order val="4"/>
          <c:tx>
            <c:strRef>
              <c:f>'ON Variances'!$C$9:$D$9</c:f>
              <c:strCache>
                <c:ptCount val="2"/>
                <c:pt idx="0">
                  <c:v>OA Supplies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'ON Variances'!$F$4:$Q$4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Variances'!$F$9:$Q$9</c:f>
              <c:numCache>
                <c:formatCode>_(* #,##0_);_(* \(#,##0\);_(* "-"??_);_(@_)</c:formatCode>
                <c:ptCount val="12"/>
                <c:pt idx="0">
                  <c:v>86700.73000000001</c:v>
                </c:pt>
                <c:pt idx="1">
                  <c:v>94936.59</c:v>
                </c:pt>
                <c:pt idx="2">
                  <c:v>75673.7</c:v>
                </c:pt>
                <c:pt idx="3">
                  <c:v>78493.710000000006</c:v>
                </c:pt>
                <c:pt idx="4">
                  <c:v>63233.930000000008</c:v>
                </c:pt>
                <c:pt idx="5">
                  <c:v>75800</c:v>
                </c:pt>
                <c:pt idx="6">
                  <c:v>63130</c:v>
                </c:pt>
                <c:pt idx="7">
                  <c:v>82271</c:v>
                </c:pt>
                <c:pt idx="8">
                  <c:v>53613.63</c:v>
                </c:pt>
                <c:pt idx="9">
                  <c:v>76187</c:v>
                </c:pt>
                <c:pt idx="10">
                  <c:v>69372.81</c:v>
                </c:pt>
                <c:pt idx="11">
                  <c:v>60563.229999999989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26-4A15-896F-142833414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666736"/>
        <c:axId val="590667216"/>
      </c:lineChart>
      <c:catAx>
        <c:axId val="59066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67216"/>
        <c:crosses val="autoZero"/>
        <c:auto val="1"/>
        <c:lblAlgn val="ctr"/>
        <c:lblOffset val="100"/>
        <c:noMultiLvlLbl val="0"/>
      </c:catAx>
      <c:valAx>
        <c:axId val="59066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66736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'ON Variances'!$C$13:$D$13</c:f>
              <c:strCache>
                <c:ptCount val="2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'ON Variances'!$F$12:$Q$12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Variances'!$F$13:$Q$13</c:f>
              <c:numCache>
                <c:formatCode>_(* #,##0_);_(* \(#,##0\);_(* "-"??_);_(@_)</c:formatCode>
                <c:ptCount val="12"/>
                <c:pt idx="0">
                  <c:v>183753.8</c:v>
                </c:pt>
                <c:pt idx="1">
                  <c:v>180755.05</c:v>
                </c:pt>
                <c:pt idx="2">
                  <c:v>153748.25</c:v>
                </c:pt>
                <c:pt idx="3">
                  <c:v>205641.45999999996</c:v>
                </c:pt>
                <c:pt idx="4">
                  <c:v>208489.62</c:v>
                </c:pt>
                <c:pt idx="5">
                  <c:v>180417</c:v>
                </c:pt>
                <c:pt idx="6">
                  <c:v>230375</c:v>
                </c:pt>
                <c:pt idx="7">
                  <c:v>247902</c:v>
                </c:pt>
                <c:pt idx="8">
                  <c:v>233009.81</c:v>
                </c:pt>
                <c:pt idx="9">
                  <c:v>182316</c:v>
                </c:pt>
                <c:pt idx="10">
                  <c:v>238110.20999999996</c:v>
                </c:pt>
                <c:pt idx="11">
                  <c:v>184602.98000000004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7-45C9-BFEB-6E377E0288FE}"/>
            </c:ext>
          </c:extLst>
        </c:ser>
        <c:ser>
          <c:idx val="1"/>
          <c:order val="1"/>
          <c:tx>
            <c:strRef>
              <c:f>'ON Variances'!$C$14:$D$14</c:f>
              <c:strCache>
                <c:ptCount val="2"/>
                <c:pt idx="0">
                  <c:v>Overtime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Variances'!$F$12:$Q$12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Variances'!$F$14:$Q$14</c:f>
              <c:numCache>
                <c:formatCode>_(* #,##0_);_(* \(#,##0\);_(* "-"??_);_(@_)</c:formatCode>
                <c:ptCount val="12"/>
                <c:pt idx="0">
                  <c:v>714016.54999999993</c:v>
                </c:pt>
                <c:pt idx="1">
                  <c:v>589308.07999999996</c:v>
                </c:pt>
                <c:pt idx="2">
                  <c:v>697597.23</c:v>
                </c:pt>
                <c:pt idx="3">
                  <c:v>718216.87999999989</c:v>
                </c:pt>
                <c:pt idx="4">
                  <c:v>719099.12000000011</c:v>
                </c:pt>
                <c:pt idx="5">
                  <c:v>549051</c:v>
                </c:pt>
                <c:pt idx="6">
                  <c:v>600661</c:v>
                </c:pt>
                <c:pt idx="7">
                  <c:v>570807</c:v>
                </c:pt>
                <c:pt idx="8">
                  <c:v>629049.53</c:v>
                </c:pt>
                <c:pt idx="9">
                  <c:v>527214</c:v>
                </c:pt>
                <c:pt idx="10">
                  <c:v>610512.06000000006</c:v>
                </c:pt>
                <c:pt idx="11">
                  <c:v>414774.67999999993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7-45C9-BFEB-6E377E0288FE}"/>
            </c:ext>
          </c:extLst>
        </c:ser>
        <c:ser>
          <c:idx val="2"/>
          <c:order val="2"/>
          <c:tx>
            <c:strRef>
              <c:f>'ON Variances'!$C$15:$D$15</c:f>
              <c:strCache>
                <c:ptCount val="2"/>
                <c:pt idx="0">
                  <c:v>Purchased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Variances'!$F$12:$Q$12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Variances'!$F$15:$Q$15</c:f>
              <c:numCache>
                <c:formatCode>_(* #,##0_);_(* \(#,##0\);_(* "-"??_);_(@_)</c:formatCode>
                <c:ptCount val="12"/>
                <c:pt idx="0">
                  <c:v>1049415.2200000002</c:v>
                </c:pt>
                <c:pt idx="1">
                  <c:v>799303.27999999991</c:v>
                </c:pt>
                <c:pt idx="2">
                  <c:v>711124.03000000014</c:v>
                </c:pt>
                <c:pt idx="3">
                  <c:v>893782.51000000013</c:v>
                </c:pt>
                <c:pt idx="4">
                  <c:v>703118.87</c:v>
                </c:pt>
                <c:pt idx="5">
                  <c:v>809930</c:v>
                </c:pt>
                <c:pt idx="6">
                  <c:v>890503</c:v>
                </c:pt>
                <c:pt idx="7">
                  <c:v>1257955</c:v>
                </c:pt>
                <c:pt idx="8">
                  <c:v>769801.97</c:v>
                </c:pt>
                <c:pt idx="9">
                  <c:v>829075</c:v>
                </c:pt>
                <c:pt idx="10">
                  <c:v>574531.10000000009</c:v>
                </c:pt>
                <c:pt idx="11">
                  <c:v>741833.74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67-45C9-BFEB-6E377E0288FE}"/>
            </c:ext>
          </c:extLst>
        </c:ser>
        <c:ser>
          <c:idx val="3"/>
          <c:order val="3"/>
          <c:tx>
            <c:strRef>
              <c:f>'ON Variances'!$C$16:$D$16</c:f>
              <c:strCache>
                <c:ptCount val="2"/>
                <c:pt idx="0">
                  <c:v>Clinical Supplies</c:v>
                </c:pt>
              </c:strCache>
            </c:strRef>
          </c:tx>
          <c:spPr>
            <a:ln w="28575" cap="rnd">
              <a:solidFill>
                <a:srgbClr val="3FB5B5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Variances'!$F$12:$Q$12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Variances'!$F$16:$Q$16</c:f>
              <c:numCache>
                <c:formatCode>_(* #,##0_);_(* \(#,##0\);_(* "-"??_);_(@_)</c:formatCode>
                <c:ptCount val="12"/>
                <c:pt idx="0">
                  <c:v>169276.31</c:v>
                </c:pt>
                <c:pt idx="1">
                  <c:v>111977.58000000002</c:v>
                </c:pt>
                <c:pt idx="2">
                  <c:v>169249.68</c:v>
                </c:pt>
                <c:pt idx="3">
                  <c:v>114841.43</c:v>
                </c:pt>
                <c:pt idx="4">
                  <c:v>160526.71000000002</c:v>
                </c:pt>
                <c:pt idx="5">
                  <c:v>142890</c:v>
                </c:pt>
                <c:pt idx="6">
                  <c:v>664489</c:v>
                </c:pt>
                <c:pt idx="7">
                  <c:v>686395</c:v>
                </c:pt>
                <c:pt idx="8">
                  <c:v>175844.7</c:v>
                </c:pt>
                <c:pt idx="9">
                  <c:v>133802</c:v>
                </c:pt>
                <c:pt idx="10">
                  <c:v>238857.82000000004</c:v>
                </c:pt>
                <c:pt idx="11">
                  <c:v>253845.50999999998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67-45C9-BFEB-6E377E0288FE}"/>
            </c:ext>
          </c:extLst>
        </c:ser>
        <c:ser>
          <c:idx val="4"/>
          <c:order val="4"/>
          <c:tx>
            <c:strRef>
              <c:f>'ON Variances'!$C$17:$D$17</c:f>
              <c:strCache>
                <c:ptCount val="2"/>
                <c:pt idx="0">
                  <c:v>OA Supplies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'ON Variances'!$F$12:$Q$12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Variances'!$F$17:$Q$17</c:f>
              <c:numCache>
                <c:formatCode>_(* #,##0_);_(* \(#,##0\);_(* "-"??_);_(@_)</c:formatCode>
                <c:ptCount val="12"/>
                <c:pt idx="0">
                  <c:v>84459.86</c:v>
                </c:pt>
                <c:pt idx="1">
                  <c:v>101622.18000000001</c:v>
                </c:pt>
                <c:pt idx="2">
                  <c:v>65715.349999999991</c:v>
                </c:pt>
                <c:pt idx="3">
                  <c:v>61376.299999999996</c:v>
                </c:pt>
                <c:pt idx="4">
                  <c:v>78222.449999999983</c:v>
                </c:pt>
                <c:pt idx="5">
                  <c:v>54297</c:v>
                </c:pt>
                <c:pt idx="6">
                  <c:v>54442</c:v>
                </c:pt>
                <c:pt idx="7">
                  <c:v>60054</c:v>
                </c:pt>
                <c:pt idx="8">
                  <c:v>60122.509999999995</c:v>
                </c:pt>
                <c:pt idx="9">
                  <c:v>112541</c:v>
                </c:pt>
                <c:pt idx="10">
                  <c:v>61412.079999999994</c:v>
                </c:pt>
                <c:pt idx="11">
                  <c:v>66323.08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67-45C9-BFEB-6E377E02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754560"/>
        <c:axId val="529755040"/>
      </c:lineChart>
      <c:catAx>
        <c:axId val="52975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55040"/>
        <c:crosses val="autoZero"/>
        <c:auto val="1"/>
        <c:lblAlgn val="ctr"/>
        <c:lblOffset val="100"/>
        <c:noMultiLvlLbl val="0"/>
      </c:catAx>
      <c:valAx>
        <c:axId val="5297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54560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Managed Homes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'ON Variances'!$C$21:$D$21</c:f>
              <c:strCache>
                <c:ptCount val="2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'ON Variances'!$F$20:$Q$20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Variances'!$F$21:$Q$21</c:f>
              <c:numCache>
                <c:formatCode>_(* #,##0_);_(* \(#,##0\);_(* "-"??_);_(@_)</c:formatCode>
                <c:ptCount val="12"/>
                <c:pt idx="0">
                  <c:v>121820.55</c:v>
                </c:pt>
                <c:pt idx="1">
                  <c:v>139256.21</c:v>
                </c:pt>
                <c:pt idx="2">
                  <c:v>114783.94999999998</c:v>
                </c:pt>
                <c:pt idx="3">
                  <c:v>134312.57</c:v>
                </c:pt>
                <c:pt idx="4">
                  <c:v>135986.18</c:v>
                </c:pt>
                <c:pt idx="5">
                  <c:v>90241</c:v>
                </c:pt>
                <c:pt idx="6">
                  <c:v>121046</c:v>
                </c:pt>
                <c:pt idx="7">
                  <c:v>141837</c:v>
                </c:pt>
                <c:pt idx="8">
                  <c:v>125041.87</c:v>
                </c:pt>
                <c:pt idx="9">
                  <c:v>99903</c:v>
                </c:pt>
                <c:pt idx="10">
                  <c:v>131446.65</c:v>
                </c:pt>
                <c:pt idx="11">
                  <c:v>124127.35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D-447A-8B4E-E41FF9176B54}"/>
            </c:ext>
          </c:extLst>
        </c:ser>
        <c:ser>
          <c:idx val="1"/>
          <c:order val="1"/>
          <c:tx>
            <c:strRef>
              <c:f>'ON Variances'!$C$22:$D$22</c:f>
              <c:strCache>
                <c:ptCount val="2"/>
                <c:pt idx="0">
                  <c:v>Overtime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Variances'!$F$20:$Q$20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Variances'!$F$22:$Q$22</c:f>
              <c:numCache>
                <c:formatCode>_(* #,##0_);_(* \(#,##0\);_(* "-"??_);_(@_)</c:formatCode>
                <c:ptCount val="12"/>
                <c:pt idx="0">
                  <c:v>263989.94</c:v>
                </c:pt>
                <c:pt idx="1">
                  <c:v>234720.97999999998</c:v>
                </c:pt>
                <c:pt idx="2">
                  <c:v>271008.88</c:v>
                </c:pt>
                <c:pt idx="3">
                  <c:v>359797.14</c:v>
                </c:pt>
                <c:pt idx="4">
                  <c:v>434961.16999999993</c:v>
                </c:pt>
                <c:pt idx="5">
                  <c:v>432618</c:v>
                </c:pt>
                <c:pt idx="6">
                  <c:v>487535</c:v>
                </c:pt>
                <c:pt idx="7">
                  <c:v>375991</c:v>
                </c:pt>
                <c:pt idx="8">
                  <c:v>499995.12</c:v>
                </c:pt>
                <c:pt idx="9">
                  <c:v>344069</c:v>
                </c:pt>
                <c:pt idx="10">
                  <c:v>354540.73000000004</c:v>
                </c:pt>
                <c:pt idx="11">
                  <c:v>253780.31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D-447A-8B4E-E41FF9176B54}"/>
            </c:ext>
          </c:extLst>
        </c:ser>
        <c:ser>
          <c:idx val="2"/>
          <c:order val="2"/>
          <c:tx>
            <c:strRef>
              <c:f>'ON Variances'!$C$23:$D$23</c:f>
              <c:strCache>
                <c:ptCount val="2"/>
                <c:pt idx="0">
                  <c:v>Purchased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Variances'!$F$20:$Q$20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Variances'!$F$23:$Q$23</c:f>
              <c:numCache>
                <c:formatCode>_(* #,##0_);_(* \(#,##0\);_(* "-"??_);_(@_)</c:formatCode>
                <c:ptCount val="12"/>
                <c:pt idx="0">
                  <c:v>826782.15999999992</c:v>
                </c:pt>
                <c:pt idx="1">
                  <c:v>675433.49</c:v>
                </c:pt>
                <c:pt idx="2">
                  <c:v>747472.92999999993</c:v>
                </c:pt>
                <c:pt idx="3">
                  <c:v>845112.53</c:v>
                </c:pt>
                <c:pt idx="4">
                  <c:v>556958.61</c:v>
                </c:pt>
                <c:pt idx="5">
                  <c:v>521729</c:v>
                </c:pt>
                <c:pt idx="6">
                  <c:v>355329</c:v>
                </c:pt>
                <c:pt idx="7">
                  <c:v>993389</c:v>
                </c:pt>
                <c:pt idx="8">
                  <c:v>542335.06999999995</c:v>
                </c:pt>
                <c:pt idx="9">
                  <c:v>720064</c:v>
                </c:pt>
                <c:pt idx="10">
                  <c:v>436185.29999999993</c:v>
                </c:pt>
                <c:pt idx="11">
                  <c:v>414079.16000000003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D-447A-8B4E-E41FF9176B54}"/>
            </c:ext>
          </c:extLst>
        </c:ser>
        <c:ser>
          <c:idx val="3"/>
          <c:order val="3"/>
          <c:tx>
            <c:strRef>
              <c:f>'ON Variances'!$C$24:$D$24</c:f>
              <c:strCache>
                <c:ptCount val="2"/>
                <c:pt idx="0">
                  <c:v>Clinical Supplies</c:v>
                </c:pt>
              </c:strCache>
            </c:strRef>
          </c:tx>
          <c:spPr>
            <a:ln w="28575" cap="rnd">
              <a:solidFill>
                <a:srgbClr val="3FB5B5"/>
              </a:solidFill>
              <a:round/>
            </a:ln>
            <a:effectLst/>
          </c:spPr>
          <c:marker>
            <c:symbol val="none"/>
          </c:marker>
          <c:cat>
            <c:strRef>
              <c:f>'ON Variances'!$F$20:$Q$20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Variances'!$F$24:$Q$24</c:f>
              <c:numCache>
                <c:formatCode>_(* #,##0_);_(* \(#,##0\);_(* "-"??_);_(@_)</c:formatCode>
                <c:ptCount val="12"/>
                <c:pt idx="0">
                  <c:v>112343.67000000001</c:v>
                </c:pt>
                <c:pt idx="1">
                  <c:v>128773.20999999999</c:v>
                </c:pt>
                <c:pt idx="2">
                  <c:v>81985.539999999994</c:v>
                </c:pt>
                <c:pt idx="3">
                  <c:v>172502.57</c:v>
                </c:pt>
                <c:pt idx="4">
                  <c:v>114545.29999999999</c:v>
                </c:pt>
                <c:pt idx="5">
                  <c:v>74733</c:v>
                </c:pt>
                <c:pt idx="6">
                  <c:v>163044</c:v>
                </c:pt>
                <c:pt idx="7">
                  <c:v>351442</c:v>
                </c:pt>
                <c:pt idx="8">
                  <c:v>167130.46999999997</c:v>
                </c:pt>
                <c:pt idx="9">
                  <c:v>144113</c:v>
                </c:pt>
                <c:pt idx="10">
                  <c:v>181287.24</c:v>
                </c:pt>
                <c:pt idx="11">
                  <c:v>185009.2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D-447A-8B4E-E41FF9176B54}"/>
            </c:ext>
          </c:extLst>
        </c:ser>
        <c:ser>
          <c:idx val="4"/>
          <c:order val="4"/>
          <c:tx>
            <c:strRef>
              <c:f>'ON Variances'!$C$25:$D$25</c:f>
              <c:strCache>
                <c:ptCount val="2"/>
                <c:pt idx="0">
                  <c:v>OA Supplies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'ON Variances'!$F$20:$Q$20</c:f>
              <c:strCache>
                <c:ptCount val="12"/>
                <c:pt idx="0">
                  <c:v>May</c:v>
                </c:pt>
                <c:pt idx="1">
                  <c:v>Jun </c:v>
                </c:pt>
                <c:pt idx="2">
                  <c:v>July </c:v>
                </c:pt>
                <c:pt idx="3">
                  <c:v>Aug</c:v>
                </c:pt>
                <c:pt idx="4">
                  <c:v>Sept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</c:strCache>
            </c:strRef>
          </c:cat>
          <c:val>
            <c:numRef>
              <c:f>'ON Variances'!$F$25:$Q$25</c:f>
              <c:numCache>
                <c:formatCode>_(* #,##0_);_(* \(#,##0\);_(* "-"??_);_(@_)</c:formatCode>
                <c:ptCount val="12"/>
                <c:pt idx="0">
                  <c:v>72952.26999999999</c:v>
                </c:pt>
                <c:pt idx="1">
                  <c:v>69052.33</c:v>
                </c:pt>
                <c:pt idx="2">
                  <c:v>58012.289999999994</c:v>
                </c:pt>
                <c:pt idx="3">
                  <c:v>75247.86</c:v>
                </c:pt>
                <c:pt idx="4">
                  <c:v>57386.479999999996</c:v>
                </c:pt>
                <c:pt idx="5">
                  <c:v>61660</c:v>
                </c:pt>
                <c:pt idx="6">
                  <c:v>46656</c:v>
                </c:pt>
                <c:pt idx="7">
                  <c:v>57363</c:v>
                </c:pt>
                <c:pt idx="8">
                  <c:v>50281.81</c:v>
                </c:pt>
                <c:pt idx="9">
                  <c:v>49564</c:v>
                </c:pt>
                <c:pt idx="10">
                  <c:v>46095.25</c:v>
                </c:pt>
                <c:pt idx="11">
                  <c:v>47368.01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D-447A-8B4E-E41FF9176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815968"/>
        <c:axId val="600820288"/>
      </c:lineChart>
      <c:catAx>
        <c:axId val="6008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20288"/>
        <c:crosses val="autoZero"/>
        <c:auto val="1"/>
        <c:lblAlgn val="ctr"/>
        <c:lblOffset val="100"/>
        <c:noMultiLvlLbl val="0"/>
      </c:catAx>
      <c:valAx>
        <c:axId val="6008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88901</xdr:colOff>
      <xdr:row>1</xdr:row>
      <xdr:rowOff>21696</xdr:rowOff>
    </xdr:from>
    <xdr:to>
      <xdr:col>29</xdr:col>
      <xdr:colOff>608543</xdr:colOff>
      <xdr:row>16</xdr:row>
      <xdr:rowOff>67734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0DF830-7331-326E-259B-636BF8B88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69850</xdr:colOff>
      <xdr:row>1</xdr:row>
      <xdr:rowOff>20109</xdr:rowOff>
    </xdr:from>
    <xdr:to>
      <xdr:col>39</xdr:col>
      <xdr:colOff>564092</xdr:colOff>
      <xdr:row>16</xdr:row>
      <xdr:rowOff>66147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8DEB41-7504-4CE6-8930-EE6E8605E940}"/>
            </a:ext>
            <a:ext uri="{147F2762-F138-4A5C-976F-8EAC2B608ADB}">
              <a16:predDERef xmlns:a16="http://schemas.microsoft.com/office/drawing/2014/main" pred="{A80DF830-7331-326E-259B-636BF8B88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61384</xdr:colOff>
      <xdr:row>17</xdr:row>
      <xdr:rowOff>19051</xdr:rowOff>
    </xdr:from>
    <xdr:to>
      <xdr:col>39</xdr:col>
      <xdr:colOff>555626</xdr:colOff>
      <xdr:row>34</xdr:row>
      <xdr:rowOff>8997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09EE52-B381-4525-8819-7E3FE8FAF1B3}"/>
            </a:ext>
            <a:ext uri="{147F2762-F138-4A5C-976F-8EAC2B608ADB}">
              <a16:predDERef xmlns:a16="http://schemas.microsoft.com/office/drawing/2014/main" pred="{1F8DEB41-7504-4CE6-8930-EE6E8605E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92076</xdr:colOff>
      <xdr:row>16</xdr:row>
      <xdr:rowOff>172509</xdr:rowOff>
    </xdr:from>
    <xdr:to>
      <xdr:col>29</xdr:col>
      <xdr:colOff>607484</xdr:colOff>
      <xdr:row>34</xdr:row>
      <xdr:rowOff>96309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C3613A-8C8F-4C22-9B5D-E9D188F8E12A}"/>
            </a:ext>
            <a:ext uri="{147F2762-F138-4A5C-976F-8EAC2B608ADB}">
              <a16:predDERef xmlns:a16="http://schemas.microsoft.com/office/drawing/2014/main" pred="{7C09EE52-B381-4525-8819-7E3FE8FAF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137583</xdr:colOff>
      <xdr:row>35</xdr:row>
      <xdr:rowOff>10585</xdr:rowOff>
    </xdr:from>
    <xdr:to>
      <xdr:col>40</xdr:col>
      <xdr:colOff>13758</xdr:colOff>
      <xdr:row>52</xdr:row>
      <xdr:rowOff>114301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B1F17E-6B01-44BA-A3A4-D71B8A1A4A42}"/>
            </a:ext>
            <a:ext uri="{147F2762-F138-4A5C-976F-8EAC2B608ADB}">
              <a16:predDERef xmlns:a16="http://schemas.microsoft.com/office/drawing/2014/main" pred="{B5C3613A-8C8F-4C22-9B5D-E9D188F8E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610659</xdr:colOff>
      <xdr:row>35</xdr:row>
      <xdr:rowOff>67734</xdr:rowOff>
    </xdr:from>
    <xdr:to>
      <xdr:col>29</xdr:col>
      <xdr:colOff>508001</xdr:colOff>
      <xdr:row>53</xdr:row>
      <xdr:rowOff>2118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2D5EAA2-C048-4CF3-9310-E4B1F4AAA56D}"/>
            </a:ext>
            <a:ext uri="{147F2762-F138-4A5C-976F-8EAC2B608ADB}">
              <a16:predDERef xmlns:a16="http://schemas.microsoft.com/office/drawing/2014/main" pred="{6AB1F17E-6B01-44BA-A3A4-D71B8A1A4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32680</xdr:colOff>
      <xdr:row>2</xdr:row>
      <xdr:rowOff>18557</xdr:rowOff>
    </xdr:from>
    <xdr:to>
      <xdr:col>31</xdr:col>
      <xdr:colOff>504168</xdr:colOff>
      <xdr:row>15</xdr:row>
      <xdr:rowOff>4270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4CA5D-59B9-6A83-A2BE-5C9895465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71436</xdr:colOff>
      <xdr:row>15</xdr:row>
      <xdr:rowOff>52387</xdr:rowOff>
    </xdr:from>
    <xdr:to>
      <xdr:col>31</xdr:col>
      <xdr:colOff>590550</xdr:colOff>
      <xdr:row>28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CAC245-58CA-59E3-1DA5-6F126B58D69D}"/>
            </a:ext>
            <a:ext uri="{147F2762-F138-4A5C-976F-8EAC2B608ADB}">
              <a16:predDERef xmlns:a16="http://schemas.microsoft.com/office/drawing/2014/main" pred="{8FC4CA5D-59B9-6A83-A2BE-5C9895465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80961</xdr:colOff>
      <xdr:row>29</xdr:row>
      <xdr:rowOff>42862</xdr:rowOff>
    </xdr:from>
    <xdr:to>
      <xdr:col>32</xdr:col>
      <xdr:colOff>47624</xdr:colOff>
      <xdr:row>43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0B383-1648-3EDE-898E-ED0A6351E092}"/>
            </a:ext>
            <a:ext uri="{147F2762-F138-4A5C-976F-8EAC2B608ADB}">
              <a16:predDERef xmlns:a16="http://schemas.microsoft.com/office/drawing/2014/main" pred="{A3CAC245-58CA-59E3-1DA5-6F126B58D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Users/fariddamji/Library/Containers/com.microsoft.Excel/Data/Documents/D:/Bud2003/pw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tendicarecanada-my.sharepoint.com/My%20Documents/Real%20World/Templates/Pricing%20Example%20from%20Bra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Users/fariddamji/Library/Containers/com.microsoft.Excel/Data/Documents/D:/Industrials/Calvin%20Chan/panaria/Backup%20and%20other%20files/Indexed%20price%20performan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Users/fariddamji/Library/Containers/com.microsoft.Excel/Data/Documents/D:/B-BP/Clients/Light-End%20BP/Headwaters/Board%20presentations/2007-11-2/Book/Excel/HW%202%202007-11-2%20V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Users/fariddamji/Library/Containers/com.microsoft.Excel/Data/Documents/D:/Industrials/Landerfelt/ABC%20Supply/September%202007/ABC%20Supply%209-2007%20V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Users/fariddamji/Library/Containers/com.microsoft.Excel/Data/Documents/D:/Industrials/Nimesh/HB-BP/BP%20Update/BP%20Update%20Comprehensive%20Backu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dbg.ads.db.com/nyc-corpfin-g/B-BP/Clients/Traditional%20HB/PULTE/September%202007/Pulte%20Homes%20V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Users/fariddamji/Library/Containers/com.microsoft.Excel/Data/Documents/H:/My%20Documents/Mag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Diversified/2002/Private%20Equity%20Groups/derlan%20inf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Diversified/2001/Vector/Index%20Charts%20and%20Graph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clients/P/Pivotal/Presentations/March%202001/Presentation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clients/X/XILLIX/April%202001/Healthcare%20Presentation%20Backup%20Data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Diversified/2001/CHC%20Helicopter/Graph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M&amp;A/CLIENTS/Hollinger/Relative%20Performanc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clients/S/Stressgen/Presentations/September%202001/SSB%20Presentation%20Backup%20Dat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Equity%20Capital%20Markets/Interest%20Rate%20Chart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nbnotoib1/ibworkgroups/WINNT/Profiles/mcaiger/Desktop/Book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Comm&amp;Tech/Media&amp;Telecom/2002/Clients/Cogeco/Sept%202002/CGO%20Chart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Forest/2001/Atlantic%20Packaging/presentation%20graph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clients/S/Stressgen/Presentations/February%202003/Pvol-srtess%20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nbnotoib1/ibworkgroups/Capital%20Market%20Share/Income%20Trust%20Comp%20-%20Non%20Trad'l%20AssetsNEWFORMA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NBNOTORES1/RESDATA/r-estate/l123/realind/Sector/Meeting%20Oct-26-01%20YTD%20PricingT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Diversified/2001/Spar/pegrap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Diversified/2002/Generic%20graphs%20and%20tables/Charts%20and%20Graphs-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Diversified/2002/Private%20Equity%20Groups/Borealis%20Capital/smtc%20info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R-Estate/General%20Charts%20&amp;%20Graphs/Company%20Overview%20templat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M&amp;A/CLIENTS/Clublink/Takeover%20Response%20(Sep_02)/61-501%20Analysis/ClubLink/Models/ClubLink%20Deb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M&amp;A/CLIENTS/AltaGas/PNG%20Turn%20of%20Floa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M&amp;A/Value%20Screen/summary%20info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Report%20Cards/Canfor%20Da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Report%20Cards/360%20Data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https://optimaliving.sharepoint.com/Users/fariddamji/Library/Containers/com.microsoft.Excel/Data/Documents/C:/OLK1C/Documents%20and%20Settings/bobw/Local%20Settings/Temporary%20Internet%20Files/OLKA/1065-C25%20with%20Lisa's%20changes%20from%20wk%20of%206_30.xls?C9641BB4" TargetMode="External"/><Relationship Id="rId1" Type="http://schemas.openxmlformats.org/officeDocument/2006/relationships/externalLinkPath" Target="file:///\\C9641BB4\1065-C25%20with%20Lisa's%20changes%20from%20wk%20of%206_3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Users/fariddamji/Library/Containers/com.microsoft.Excel/Data/Documents/H:/317%20Return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M&amp;A/CLIENTS/AimGlobal%20Technologies/chart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b/beshara/M%20&amp;%20A/Wheel/model_v53j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_Data\04_Research_&amp;_Data\Research%20Database\Database\AGM%20April%20201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ocartwright\AppData\Local\Microsoft\Windows\Temporary%20Internet%20Files\Content.Outlook\KKDGFMSQ\Brookfield%20Asset%20Management%20Inc%20%20%20-%20684536%20-%20AGM%20Dates%20-%20CIQ%20(3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hared_Data\02_Staff_Folders\Cartwright,%20Owen\Capital%20Markets%20Presentations\H&amp;R%20REIT%2022nd%20Feb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timaliving.sharepoint.com/axiuminfra.com/dfs/Business%20Plan/6%20Cities%20Updates/Sensitivities/Canadian%20Region_V1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A"/>
      <sheetName val="Cashflow"/>
      <sheetName val="Valuation"/>
      <sheetName val="Rent Roll"/>
      <sheetName val="toc"/>
      <sheetName val="exp"/>
      <sheetName val="FLCO"/>
      <sheetName val="Tax Estimates"/>
      <sheetName val="Expenses"/>
      <sheetName val="NOI"/>
      <sheetName val="hist&amp;proj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t sentiment"/>
      <sheetName val="Cement and aggregates"/>
      <sheetName val="Lumber"/>
      <sheetName val="HVAC"/>
      <sheetName val="Electrical"/>
      <sheetName val="Metal Prices"/>
      <sheetName val="Housing forecasts"/>
      <sheetName val="Distributor equity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ITDA Graph"/>
      <sheetName val="CC Graph 3"/>
      <sheetName val="PE Graph"/>
      <sheetName val="CC Graph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"/>
      <sheetName val="27"/>
      <sheetName val="34"/>
      <sheetName val="13"/>
      <sheetName val="33"/>
      <sheetName val="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 equity performance"/>
      <sheetName val="Family Housing Starts Breakdown"/>
      <sheetName val="Charts"/>
      <sheetName val="Housing forecas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Large cap HB"/>
      <sheetName val="SUMMARY OUTPU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lan"/>
      <sheetName val="Shareholders"/>
      <sheetName val="BofD"/>
      <sheetName val="Financials"/>
      <sheetName val="Capitalization"/>
      <sheetName val="PV"/>
      <sheetName val="PatV"/>
      <sheetName val="BB Data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Mkt"/>
      <sheetName val="Industry Data"/>
      <sheetName val="TSE IG"/>
      <sheetName val="TSE 300 Groups (sorted)"/>
      <sheetName val="Sheet1 (2)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dices - 2000"/>
      <sheetName val="Indices - 1999"/>
      <sheetName val="Selected Indices"/>
      <sheetName val="Comps"/>
      <sheetName val="Pvol"/>
      <sheetName val="  "/>
      <sheetName val="Common Equity"/>
      <sheetName val="IPO"/>
      <sheetName val="League Tables"/>
      <sheetName val="   "/>
      <sheetName val="Share Structure"/>
      <sheetName val="One Pager"/>
      <sheetName val="X-Border Trading"/>
      <sheetName val="X-Border Data"/>
      <sheetName val="Financing"/>
      <sheetName val="Market Makers"/>
      <sheetName val="Research Reports"/>
      <sheetName val="Overview"/>
      <sheetName val="Research"/>
      <sheetName val="M&amp;A"/>
      <sheetName val="2001 Financings"/>
      <sheetName val="       "/>
      <sheetName val="Canada"/>
      <sheetName val="US"/>
      <sheetName val="Int. Rate Data"/>
      <sheetName val="   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               "/>
      <sheetName val="Dealers"/>
      <sheetName val="AOM"/>
      <sheetName val="BVF"/>
      <sheetName val="IDB"/>
      <sheetName val="NX"/>
      <sheetName val="QLT"/>
      <sheetName val="SSB"/>
      <sheetName val="AOM Chart"/>
      <sheetName val="BVF Chart"/>
      <sheetName val="IDB Chart"/>
      <sheetName val="NX Chart"/>
      <sheetName val="QLT Chart"/>
      <sheetName val="SSB Chart"/>
      <sheetName val=" "/>
      <sheetName val="Common Equity"/>
      <sheetName val="IPO"/>
      <sheetName val="League Tables"/>
      <sheetName val="Biotech Table"/>
      <sheetName val="Biotech Data"/>
      <sheetName val="           "/>
      <sheetName val="Block Trading Chart"/>
      <sheetName val="Block Trading"/>
      <sheetName val="Financings"/>
      <sheetName val="Share Structure"/>
      <sheetName val="One Pager"/>
      <sheetName val="                "/>
      <sheetName val="Data"/>
      <sheetName val="Table"/>
      <sheetName val="Pvol - Since 1996"/>
      <sheetName val="Price- Since 1996 "/>
      <sheetName val="Pvol - 2000"/>
      <sheetName val="Pvol - 1999"/>
      <sheetName val="NASDAQ TSE - 1999"/>
      <sheetName val="Index - 1999"/>
      <sheetName val="Index - 2000"/>
      <sheetName val="Biotech- 2000"/>
      <sheetName val="Biotech - 1999"/>
      <sheetName val="Biotech Rel. - 2000"/>
      <sheetName val="Biotech Rel. - 1999"/>
      <sheetName val="Total Rel. - 2000"/>
      <sheetName val="Total Rel. - 1999"/>
      <sheetName val="             "/>
      <sheetName val="Comp Data"/>
      <sheetName val="Comps - 2000"/>
      <sheetName val="Comps - 1999"/>
      <sheetName val="  "/>
      <sheetName val="Overview"/>
      <sheetName val="            "/>
      <sheetName val="Cdn Healthcare"/>
      <sheetName val="Research"/>
      <sheetName val="Team Coverage"/>
      <sheetName val="       "/>
      <sheetName val="X-Border Trading"/>
      <sheetName val="X-Border Data"/>
      <sheetName val="      "/>
      <sheetName val="Healthcare Issues"/>
      <sheetName val="Healthcare Data"/>
      <sheetName val="Equity Offerings"/>
      <sheetName val="Total Healthcare"/>
      <sheetName val="Deals"/>
      <sheetName val="     "/>
      <sheetName val="Market Cap."/>
      <sheetName val="Alphabetical"/>
      <sheetName val="Ranking"/>
      <sheetName val="Top 10"/>
      <sheetName val="NASDAQ Listed"/>
      <sheetName val="    "/>
      <sheetName val="US Comps - Ranked"/>
      <sheetName val="US Comps - Alphabetical"/>
      <sheetName val="NASDAQ Comps"/>
      <sheetName val="All Listed"/>
      <sheetName val="NASDAQ"/>
      <sheetName val="         "/>
      <sheetName val="Canada"/>
      <sheetName val="US"/>
      <sheetName val="Int. Rate Data"/>
      <sheetName val="          "/>
      <sheetName val="Financing"/>
      <sheetName val="Financing Data"/>
      <sheetName val="   "/>
      <sheetName val="Float Data"/>
      <sheetName val="Pivot"/>
      <sheetName val="Cum Float"/>
      <sheetName val="Non-Cum Float"/>
      <sheetName val="        "/>
      <sheetName val="Coverage"/>
      <sheetName val="Market Makers"/>
      <sheetName val="Events"/>
      <sheetName val="Comp. Cash"/>
      <sheetName val="Deb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Mkt"/>
      <sheetName val="Sheet1"/>
      <sheetName val="PV"/>
      <sheetName val="Indiv"/>
      <sheetName val="Chart2"/>
      <sheetName val="Sheet14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2"/>
      <sheetName val="Sheet3"/>
      <sheetName val="graphs"/>
      <sheetName val="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ve Perf"/>
      <sheetName val="Relative Perf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               "/>
      <sheetName val="MBI Table"/>
      <sheetName val="MBI Net Chart"/>
      <sheetName val="MBI"/>
      <sheetName val="AOM Table"/>
      <sheetName val="AOM"/>
      <sheetName val="BVF"/>
      <sheetName val="IEX"/>
      <sheetName val="QLT"/>
      <sheetName val="AOM Chart"/>
      <sheetName val="BVF Chart"/>
      <sheetName val="IEX Chart"/>
      <sheetName val="QLT Chart"/>
      <sheetName val="QLT Chart (US)"/>
      <sheetName val=" "/>
      <sheetName val="IPO"/>
      <sheetName val="Common Equity"/>
      <sheetName val="95 Com"/>
      <sheetName val="95 IPOS"/>
      <sheetName val="Biotech Data"/>
      <sheetName val="Biotech Table"/>
      <sheetName val="           "/>
      <sheetName val="Block Trading"/>
      <sheetName val="Block Trading Chart"/>
      <sheetName val="Financings"/>
      <sheetName val="Overview"/>
      <sheetName val="Overview - Credentials"/>
      <sheetName val="Cdn Healthcare"/>
      <sheetName val="Research"/>
      <sheetName val="Market Makers"/>
      <sheetName val="2001 YTD - Corp. Issues"/>
      <sheetName val="2000 - Corp. Issues"/>
      <sheetName val="Debt"/>
      <sheetName val="                   "/>
      <sheetName val="One Pager"/>
      <sheetName val="Share Structure"/>
      <sheetName val="X-Border Trading"/>
      <sheetName val="X-Border Data"/>
      <sheetName val="Financing"/>
      <sheetName val="Float Data"/>
      <sheetName val="Pivot"/>
      <sheetName val="Float Chart - Cum."/>
      <sheetName val="Float Chart - Non-Cum."/>
      <sheetName val="Block Trades"/>
      <sheetName val="Coverage"/>
      <sheetName val="Mgmt &amp; Board"/>
      <sheetName val="Pipeline"/>
      <sheetName val="      "/>
      <sheetName val="Data"/>
      <sheetName val="Table"/>
      <sheetName val="Indices Table"/>
      <sheetName val="Pvol"/>
      <sheetName val="Broad Indices - 2000"/>
      <sheetName val="Broad Indices - 2001"/>
      <sheetName val="TSE &amp; Nasdaq - 2001"/>
      <sheetName val="Broad Indices - Relative"/>
      <sheetName val="Indices Comp - 2000"/>
      <sheetName val="Indices Comp - 2001"/>
      <sheetName val="Biotech Indices - 2000"/>
      <sheetName val="Biotech Indices - 2001"/>
      <sheetName val="Biotech - Relative"/>
      <sheetName val="Biotech - Relative Revised"/>
      <sheetName val="             "/>
      <sheetName val="Comp Data"/>
      <sheetName val="Comps - LTM"/>
      <sheetName val="            "/>
      <sheetName val="Biotech Issuance Data"/>
      <sheetName val="Biotech Issues - Public"/>
      <sheetName val="Biotech Issues - Private"/>
      <sheetName val="     "/>
      <sheetName val="Market Caps"/>
      <sheetName val="Rankings"/>
      <sheetName val="Top 10"/>
      <sheetName val="Dual Listing"/>
      <sheetName val="Nasdaq Listed"/>
      <sheetName val="    "/>
      <sheetName val="US Listed Comps - Ranked"/>
      <sheetName val="US Listed Comps - Alphabetical"/>
      <sheetName val="US Pharmas"/>
      <sheetName val="Nasdaq Comps"/>
      <sheetName val="All Listed"/>
      <sheetName val="All Listed Hist. Mkt Caps"/>
      <sheetName val="Nasdaq"/>
      <sheetName val="Pharmas"/>
      <sheetName val="         "/>
      <sheetName val="Int. Rate Data"/>
      <sheetName val="Canada"/>
      <sheetName val="US"/>
      <sheetName val="Float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. Rate Data"/>
      <sheetName val="Canada"/>
      <sheetName val="U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"/>
      <sheetName val="Model"/>
      <sheetName val="Summary"/>
      <sheetName val="Summary Table 3"/>
      <sheetName val="Exercise"/>
      <sheetName val="su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ol Data"/>
      <sheetName val="Pvol 01"/>
      <sheetName val="Pvol 01 (2)"/>
      <sheetName val="  "/>
      <sheetName val="  RP Cable Data "/>
      <sheetName val=" RP Cable"/>
      <sheetName val=" RP Cable (2)"/>
      <sheetName val="Debt Data"/>
      <sheetName val="Debt RP"/>
      <sheetName val="Spreads"/>
      <sheetName val="    "/>
      <sheetName val="Debt-Rev Data"/>
      <sheetName val="Debt-Rev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markets graph"/>
      <sheetName val="cap markets data"/>
      <sheetName val="interest rate graph"/>
      <sheetName val="interest rate data"/>
      <sheetName val="TSE IG"/>
      <sheetName val="TSE 300 Groups (sorted)"/>
      <sheetName val="relative performance graph"/>
      <sheetName val="old ECM"/>
      <sheetName val="old"/>
      <sheetName val="Sheet1"/>
      <sheetName val="Sheet1 (2)"/>
      <sheetName val="small cap graph"/>
      <sheetName val="small cap data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vol - Annotated"/>
      <sheetName val="Pvol -  (2)"/>
      <sheetName val="Recent Developmen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Table (2)"/>
      <sheetName val="summary"/>
      <sheetName val="Raw Data and Ratios"/>
      <sheetName val="Comp Table"/>
      <sheetName val="BofC Comp"/>
      <sheetName val="BofC Comp - Ken"/>
      <sheetName val="BofC Comp - For BFI"/>
      <sheetName val="New Flyer"/>
      <sheetName val="Bloomberg Update"/>
      <sheetName val="Yields Only 2 Tables(Ampac)"/>
      <sheetName val="Yields Only 2 Tables(Heico)"/>
      <sheetName val="Yields Only"/>
      <sheetName val="size at IPO"/>
      <sheetName val="RestRoyalty"/>
      <sheetName val="AtIPOMultiples"/>
      <sheetName val="QtrylySumm"/>
      <sheetName val="Commodity"/>
      <sheetName val="Sheet2"/>
      <sheetName val="AT IPO"/>
      <sheetName val="Status"/>
      <sheetName val="Sheet1"/>
      <sheetName val="Summary (2)"/>
      <sheetName val="Chart1"/>
      <sheetName val="yields"/>
      <sheetName val="5yr"/>
      <sheetName val="10yr"/>
      <sheetName val="3mth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1 return USCORPS"/>
      <sheetName val="YTD return TZH&amp;BPO US CORPS"/>
      <sheetName val="9-11 return TZH&amp;BPO"/>
      <sheetName val="YTD return TZH&amp;BPO"/>
      <sheetName val="Company Description"/>
      <sheetName val="Data"/>
      <sheetName val="yield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ivData"/>
      <sheetName val="Sheet3"/>
      <sheetName val="PE"/>
      <sheetName val="Both"/>
      <sheetName val="DividendYield"/>
      <sheetName val="DivYIe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mmon Equity"/>
      <sheetName val="Rankingsb"/>
      <sheetName val="Rankings"/>
      <sheetName val="cap markets data"/>
      <sheetName val="TSE info"/>
      <sheetName val="TSE 300 Groups (sorted)"/>
      <sheetName val="TSE 300 Groups YTD"/>
      <sheetName val="TYD"/>
      <sheetName val="Deal List 2001"/>
      <sheetName val="Currentb"/>
      <sheetName val="interest rate data"/>
      <sheetName val="IPO's"/>
      <sheetName val="cap markets graph"/>
      <sheetName val="TSE IG"/>
      <sheetName val="2001"/>
      <sheetName val="YTD"/>
      <sheetName val="interest rate graph"/>
      <sheetName val="IPO"/>
      <sheetName val="TSE IG (2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TC"/>
      <sheetName val="Analyst Estimates"/>
      <sheetName val="Shareholders"/>
      <sheetName val="BofD"/>
      <sheetName val="Financials"/>
      <sheetName val="Capitalization"/>
      <sheetName val="Chart1"/>
      <sheetName val="Sheet2"/>
      <sheetName val="PUblic Float data"/>
      <sheetName val="Officers and Directors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sel Corp"/>
      <sheetName val="Shareholders"/>
      <sheetName val="BofD"/>
      <sheetName val="Financials"/>
      <sheetName val="Capitalization"/>
      <sheetName val="PV"/>
      <sheetName val="PatV"/>
      <sheetName val="BB Info"/>
      <sheetName val="Sheet1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Structure"/>
      <sheetName val="Summary"/>
      <sheetName val="Trading Stats"/>
      <sheetName val="Ratio Analysis"/>
      <sheetName val="Terms"/>
      <sheetName val="Comparison"/>
      <sheetName val="Capitalization"/>
      <sheetName val="PV Chart"/>
      <sheetName val="Debt 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P (Cumulative)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 Fin"/>
      <sheetName val="Shareholder 2"/>
      <sheetName val="opportunity"/>
      <sheetName val="Shareholder"/>
      <sheetName val="TWH"/>
      <sheetName val="IMX"/>
      <sheetName val="COC"/>
      <sheetName val="IMN"/>
      <sheetName val="Drug"/>
      <sheetName val="PPK"/>
      <sheetName val="SKD"/>
      <sheetName val="Sun"/>
      <sheetName val="viceroy"/>
      <sheetName val="ANS"/>
      <sheetName val="RUS"/>
      <sheetName val="CEI"/>
      <sheetName val="transat"/>
      <sheetName val="DOC"/>
      <sheetName val="brampton"/>
      <sheetName val="MLX"/>
      <sheetName val="repadr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Pager"/>
      <sheetName val="Data"/>
      <sheetName val="Pvol"/>
      <sheetName val="Share Structure"/>
      <sheetName val="Trades"/>
      <sheetName val="Trading Chart"/>
      <sheetName val="Research"/>
      <sheetName val="Financings Data"/>
      <sheetName val="Financings Table"/>
      <sheetName val="Debt &amp; Credit"/>
      <sheetName val="M&amp;A"/>
      <sheetName val="Mandates &amp; Pipeline"/>
      <sheetName val="B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Pager"/>
      <sheetName val="Data"/>
      <sheetName val="Pvol"/>
      <sheetName val="Share Structure"/>
      <sheetName val="Trading Data"/>
      <sheetName val="Trading Chart"/>
      <sheetName val="Research"/>
      <sheetName val="Financings Data"/>
      <sheetName val="Financings Table"/>
      <sheetName val="Debt &amp; Credit"/>
      <sheetName val="M&amp;A"/>
      <sheetName val="Mandates &amp; Pipeline"/>
      <sheetName val="Trades"/>
      <sheetName val="B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T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ngston 1st Amort Tabl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Tpv"/>
      <sheetName val="AGTpv (2)"/>
      <sheetName val="AGTpv (3)"/>
      <sheetName val="CVAP"/>
      <sheetName val="Pivot"/>
      <sheetName val="Relative Price"/>
      <sheetName val="Sheet1"/>
      <sheetName val="Trading Valuation"/>
      <sheetName val="Holdings"/>
      <sheetName val="Financial"/>
      <sheetName val="Sheet2"/>
      <sheetName val="Rese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 STATS"/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Event Comps"/>
      <sheetName val="Event Comps_Dead Links"/>
    </sheetNames>
    <sheetDataSet>
      <sheetData sheetId="0" refreshError="1"/>
      <sheetData sheetId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Event Comps"/>
      <sheetName val="Event Comps_Dead Links"/>
    </sheetNames>
    <sheetDataSet>
      <sheetData sheetId="0" refreshError="1"/>
      <sheetData sheetId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eps"/>
      <sheetName val="Coverpage"/>
      <sheetName val="Tearsheet"/>
      <sheetName val="&lt;&lt;&lt;Trading&gt;&gt;&gt;"/>
      <sheetName val="Trading Data"/>
      <sheetName val="Comps"/>
      <sheetName val="Research"/>
      <sheetName val="Capital Markets Activity"/>
      <sheetName val="_CIQHiddenCacheSheet"/>
      <sheetName val="Historical Ownership"/>
      <sheetName val="Management"/>
      <sheetName val="&lt;&lt;&lt;Financials&gt;&gt;&gt;"/>
      <sheetName val="Income Statement"/>
      <sheetName val="Financials"/>
      <sheetName val="NOI Breakout"/>
      <sheetName val="Acquisitions"/>
      <sheetName val="Debt Profile"/>
      <sheetName val="DebtM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"/>
      <sheetName val="Income Statement"/>
      <sheetName val="Capex"/>
      <sheetName val="2005-2009 forecast"/>
      <sheetName val="Financial Statements"/>
      <sheetName val="Market Share"/>
      <sheetName val="Allocated Expenses"/>
      <sheetName val="Corporate Overhead"/>
      <sheetName val="Sales - Executive"/>
      <sheetName val="Sales - Carrier"/>
      <sheetName val="Sales - Enterprise"/>
      <sheetName val="HR-IS Expenses"/>
      <sheetName val="Regulatory Expenses"/>
      <sheetName val="Marketing Expenses"/>
      <sheetName val="Executive Expenses"/>
      <sheetName val="Finance Expenses"/>
      <sheetName val="Engineering Executive Expenses"/>
      <sheetName val="Product Marketing Expense"/>
      <sheetName val="Long Haul facilities"/>
      <sheetName val="InternetFacilities"/>
      <sheetName val="Customer Care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027D-7689-4ADD-BF35-AB1A80CFE104}">
  <dimension ref="B3:BC76"/>
  <sheetViews>
    <sheetView zoomScale="70" zoomScaleNormal="70" workbookViewId="0">
      <selection activeCell="P39" sqref="P39"/>
    </sheetView>
  </sheetViews>
  <sheetFormatPr defaultRowHeight="15" x14ac:dyDescent="0.25"/>
  <cols>
    <col min="2" max="2" width="32" bestFit="1" customWidth="1"/>
    <col min="3" max="4" width="14.85546875" bestFit="1" customWidth="1"/>
    <col min="5" max="5" width="17.28515625" bestFit="1" customWidth="1"/>
    <col min="6" max="6" width="16.140625" bestFit="1" customWidth="1"/>
    <col min="7" max="7" width="10.28515625" bestFit="1" customWidth="1"/>
    <col min="8" max="9" width="11.5703125" bestFit="1" customWidth="1"/>
    <col min="10" max="10" width="11.28515625" bestFit="1" customWidth="1"/>
    <col min="11" max="12" width="15.5703125" bestFit="1" customWidth="1"/>
    <col min="13" max="13" width="11.28515625" bestFit="1" customWidth="1"/>
    <col min="14" max="18" width="12.42578125" bestFit="1" customWidth="1"/>
    <col min="19" max="20" width="11.5703125" bestFit="1" customWidth="1"/>
    <col min="21" max="21" width="12.28515625" bestFit="1" customWidth="1"/>
    <col min="22" max="22" width="11.5703125" bestFit="1" customWidth="1"/>
    <col min="23" max="23" width="11.28515625" bestFit="1" customWidth="1"/>
    <col min="24" max="24" width="11.5703125" bestFit="1" customWidth="1"/>
    <col min="25" max="25" width="11.28515625" bestFit="1" customWidth="1"/>
    <col min="26" max="26" width="12.5703125" bestFit="1" customWidth="1"/>
    <col min="27" max="27" width="12.42578125" bestFit="1" customWidth="1"/>
    <col min="28" max="28" width="12.5703125" customWidth="1"/>
    <col min="29" max="29" width="12.42578125" bestFit="1" customWidth="1"/>
    <col min="30" max="30" width="11.5703125" bestFit="1" customWidth="1"/>
    <col min="31" max="31" width="11.28515625" bestFit="1" customWidth="1"/>
    <col min="32" max="34" width="12.42578125" bestFit="1" customWidth="1"/>
    <col min="35" max="35" width="11.85546875" bestFit="1" customWidth="1"/>
    <col min="36" max="36" width="12.42578125" bestFit="1" customWidth="1"/>
    <col min="37" max="40" width="11.5703125" bestFit="1" customWidth="1"/>
    <col min="41" max="41" width="12.42578125" bestFit="1" customWidth="1"/>
    <col min="42" max="42" width="11.5703125" bestFit="1" customWidth="1"/>
    <col min="43" max="47" width="12.42578125" bestFit="1" customWidth="1"/>
    <col min="48" max="49" width="11.28515625" bestFit="1" customWidth="1"/>
    <col min="50" max="50" width="12.42578125" bestFit="1" customWidth="1"/>
    <col min="51" max="51" width="12.28515625" bestFit="1" customWidth="1"/>
    <col min="52" max="52" width="12.42578125" bestFit="1" customWidth="1"/>
    <col min="53" max="53" width="11.5703125" bestFit="1" customWidth="1"/>
    <col min="54" max="55" width="12.42578125" bestFit="1" customWidth="1"/>
  </cols>
  <sheetData>
    <row r="3" spans="2:55" x14ac:dyDescent="0.25">
      <c r="I3" t="s">
        <v>0</v>
      </c>
      <c r="S3" t="s">
        <v>1</v>
      </c>
    </row>
    <row r="4" spans="2:55" s="11" customFormat="1" x14ac:dyDescent="0.25"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  <c r="X4" s="11" t="s">
        <v>23</v>
      </c>
      <c r="Y4" s="11" t="s">
        <v>24</v>
      </c>
      <c r="Z4" s="11" t="s">
        <v>25</v>
      </c>
      <c r="AA4" s="11" t="s">
        <v>26</v>
      </c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  <c r="AG4" s="11" t="s">
        <v>32</v>
      </c>
      <c r="AH4" s="11" t="s">
        <v>33</v>
      </c>
      <c r="AI4" s="11" t="s">
        <v>34</v>
      </c>
      <c r="AJ4" s="11" t="s">
        <v>35</v>
      </c>
      <c r="AK4" s="11" t="s">
        <v>36</v>
      </c>
      <c r="AL4" s="11" t="s">
        <v>37</v>
      </c>
      <c r="AM4" s="11" t="s">
        <v>38</v>
      </c>
      <c r="AN4" s="11" t="s">
        <v>39</v>
      </c>
      <c r="AO4" s="11" t="s">
        <v>40</v>
      </c>
      <c r="AP4" s="11" t="s">
        <v>41</v>
      </c>
      <c r="AQ4" s="11" t="s">
        <v>42</v>
      </c>
      <c r="AR4" s="11" t="s">
        <v>43</v>
      </c>
      <c r="AS4" s="11" t="s">
        <v>44</v>
      </c>
      <c r="AT4" s="11" t="s">
        <v>45</v>
      </c>
      <c r="AU4" s="11" t="s">
        <v>46</v>
      </c>
      <c r="AV4" s="11" t="s">
        <v>47</v>
      </c>
      <c r="AW4" s="11" t="s">
        <v>48</v>
      </c>
      <c r="AX4" s="11" t="s">
        <v>49</v>
      </c>
      <c r="AY4" s="11" t="s">
        <v>50</v>
      </c>
      <c r="AZ4" s="11" t="s">
        <v>51</v>
      </c>
      <c r="BA4" s="11" t="s">
        <v>52</v>
      </c>
      <c r="BB4" s="11" t="s">
        <v>53</v>
      </c>
      <c r="BC4" s="11" t="s">
        <v>54</v>
      </c>
    </row>
    <row r="5" spans="2:55" x14ac:dyDescent="0.25">
      <c r="B5" t="s">
        <v>55</v>
      </c>
      <c r="C5" s="12">
        <v>2907.44</v>
      </c>
      <c r="D5" s="12">
        <v>34664.04</v>
      </c>
      <c r="E5" s="12">
        <v>33569.68</v>
      </c>
      <c r="F5" s="12">
        <v>3433.25</v>
      </c>
      <c r="G5" s="12">
        <v>8713.8199999999979</v>
      </c>
      <c r="H5" s="12">
        <v>1931.23</v>
      </c>
      <c r="I5" s="12">
        <v>23220.9</v>
      </c>
      <c r="J5" s="12">
        <v>40361.919999999998</v>
      </c>
      <c r="K5" s="12">
        <v>58959.040000000001</v>
      </c>
      <c r="L5" s="12">
        <v>13957.490000000002</v>
      </c>
      <c r="M5" s="12">
        <v>42770.65</v>
      </c>
      <c r="N5" s="12">
        <v>17695.07</v>
      </c>
      <c r="O5" s="12">
        <v>3773.7800000000007</v>
      </c>
      <c r="P5" s="12">
        <v>2623.02</v>
      </c>
      <c r="Q5" s="12">
        <v>10375.570000000002</v>
      </c>
      <c r="R5" s="12">
        <v>65.47999999999999</v>
      </c>
      <c r="S5" s="12">
        <v>24266.649999999994</v>
      </c>
      <c r="T5" s="12">
        <v>25841.18</v>
      </c>
      <c r="U5" s="12">
        <v>15642.77</v>
      </c>
      <c r="V5" s="12">
        <v>36678.550000000003</v>
      </c>
      <c r="W5" s="12">
        <v>13795.470000000003</v>
      </c>
      <c r="X5" s="12">
        <v>13634.46</v>
      </c>
      <c r="Y5" s="12">
        <v>18758.000000000004</v>
      </c>
      <c r="Z5" s="12">
        <v>28390.679999999997</v>
      </c>
      <c r="AA5" s="12">
        <v>24680.550000000007</v>
      </c>
      <c r="AB5" s="12">
        <v>17388.66</v>
      </c>
      <c r="AC5" s="12">
        <v>24198.600000000002</v>
      </c>
      <c r="AD5" s="12">
        <v>33751.010000000009</v>
      </c>
      <c r="AE5" s="12">
        <v>3963.18</v>
      </c>
      <c r="AF5" s="12">
        <v>1388.24</v>
      </c>
      <c r="AG5" s="12">
        <v>89.09</v>
      </c>
      <c r="AH5" s="12">
        <v>21774.87</v>
      </c>
      <c r="AI5" s="12">
        <v>7701.27</v>
      </c>
      <c r="AJ5" s="12">
        <v>27358.94</v>
      </c>
      <c r="AK5" s="12">
        <v>14284.619999999999</v>
      </c>
      <c r="AL5" s="12">
        <v>1940.3200000000002</v>
      </c>
      <c r="AM5" s="12">
        <v>12039.02</v>
      </c>
      <c r="AN5" s="12">
        <v>5327.869999999999</v>
      </c>
      <c r="AO5" s="12">
        <v>14658.130000000001</v>
      </c>
      <c r="AP5" s="12">
        <v>22512.14</v>
      </c>
      <c r="AQ5" s="12">
        <v>20935</v>
      </c>
      <c r="AR5" s="12">
        <v>17517.840000000004</v>
      </c>
      <c r="AS5" s="12">
        <v>30564.07</v>
      </c>
      <c r="AT5" s="12">
        <v>17411.27</v>
      </c>
      <c r="AU5" s="12">
        <v>12436.119999999999</v>
      </c>
      <c r="AV5" s="12">
        <v>14901.119999999999</v>
      </c>
      <c r="AW5" s="12">
        <v>15911.24</v>
      </c>
      <c r="AX5" s="12">
        <v>26265.940000000002</v>
      </c>
      <c r="AY5" s="12">
        <v>12223.18</v>
      </c>
      <c r="AZ5" s="12">
        <v>17944.830000000002</v>
      </c>
      <c r="BA5" s="12">
        <v>19810.34</v>
      </c>
      <c r="BB5" s="12">
        <v>11066.73</v>
      </c>
      <c r="BC5" s="12">
        <v>15080.250000000002</v>
      </c>
    </row>
    <row r="6" spans="2:55" x14ac:dyDescent="0.25">
      <c r="B6" t="s">
        <v>56</v>
      </c>
      <c r="C6" s="12">
        <v>425.86</v>
      </c>
      <c r="D6" s="12">
        <v>16631.41</v>
      </c>
      <c r="E6" s="12">
        <v>16765.86</v>
      </c>
      <c r="F6" s="12">
        <v>1441.01</v>
      </c>
      <c r="G6" s="12">
        <v>9459.5600000000013</v>
      </c>
      <c r="H6" s="12">
        <v>17.690000000000001</v>
      </c>
      <c r="I6" s="12">
        <v>13031.58</v>
      </c>
      <c r="J6" s="12">
        <v>2369.5</v>
      </c>
      <c r="K6" s="12">
        <v>21956.2</v>
      </c>
      <c r="L6" s="12">
        <v>21069.27</v>
      </c>
      <c r="M6" s="12">
        <v>9610.57</v>
      </c>
      <c r="N6" s="12">
        <v>46473.979999999996</v>
      </c>
      <c r="O6" s="12">
        <v>8929.0399999999991</v>
      </c>
      <c r="P6" s="12">
        <v>6063.77</v>
      </c>
      <c r="Q6" s="12">
        <v>16729.670000000002</v>
      </c>
      <c r="R6" s="12">
        <v>0</v>
      </c>
      <c r="S6" s="12">
        <v>14933.3</v>
      </c>
      <c r="T6" s="12">
        <v>8016.08</v>
      </c>
      <c r="U6" s="12">
        <v>3671.71</v>
      </c>
      <c r="V6" s="12">
        <v>10527.52</v>
      </c>
      <c r="W6" s="12">
        <v>3898.0799999999995</v>
      </c>
      <c r="X6" s="12">
        <v>20240.43</v>
      </c>
      <c r="Y6" s="12">
        <v>7181.2999999999993</v>
      </c>
      <c r="Z6" s="12">
        <v>131707.66999999998</v>
      </c>
      <c r="AA6" s="12">
        <v>72545.099999999991</v>
      </c>
      <c r="AB6" s="12">
        <v>36927.53</v>
      </c>
      <c r="AC6" s="12">
        <v>50832.9</v>
      </c>
      <c r="AD6" s="12">
        <v>40389.159999999996</v>
      </c>
      <c r="AE6" s="12">
        <v>13487.369999999999</v>
      </c>
      <c r="AF6" s="12">
        <v>0</v>
      </c>
      <c r="AG6" s="12">
        <v>0</v>
      </c>
      <c r="AH6" s="12">
        <v>80403.28</v>
      </c>
      <c r="AI6" s="12">
        <v>10432.810000000001</v>
      </c>
      <c r="AJ6" s="12">
        <v>105165.54</v>
      </c>
      <c r="AK6" s="12">
        <v>14132.099999999999</v>
      </c>
      <c r="AL6" s="12">
        <v>40921.82</v>
      </c>
      <c r="AM6" s="12">
        <v>27496.800000000003</v>
      </c>
      <c r="AN6" s="12">
        <v>31843.589999999997</v>
      </c>
      <c r="AO6" s="12">
        <v>88130.65</v>
      </c>
      <c r="AP6" s="12">
        <v>65228.869999999995</v>
      </c>
      <c r="AQ6" s="12">
        <v>147194.63999999998</v>
      </c>
      <c r="AR6" s="12">
        <v>88654.87999999999</v>
      </c>
      <c r="AS6" s="12">
        <v>55308.02</v>
      </c>
      <c r="AT6" s="12">
        <v>47431.29</v>
      </c>
      <c r="AU6" s="12">
        <v>136503.58999999997</v>
      </c>
      <c r="AV6" s="12">
        <v>77296.160000000018</v>
      </c>
      <c r="AW6" s="12">
        <v>68396.829999999987</v>
      </c>
      <c r="AX6" s="12">
        <v>44658.740000000005</v>
      </c>
      <c r="AY6" s="12">
        <v>29807.78</v>
      </c>
      <c r="AZ6" s="12">
        <v>11332.16</v>
      </c>
      <c r="BA6" s="12">
        <v>30386.400000000001</v>
      </c>
      <c r="BB6" s="12">
        <v>43046.400000000001</v>
      </c>
      <c r="BC6" s="12">
        <v>68104.27</v>
      </c>
    </row>
    <row r="7" spans="2:55" x14ac:dyDescent="0.25">
      <c r="B7" t="s">
        <v>57</v>
      </c>
      <c r="C7" s="12">
        <v>38.18</v>
      </c>
      <c r="D7" s="12">
        <v>25900.87</v>
      </c>
      <c r="E7" s="12">
        <v>14411.53</v>
      </c>
      <c r="F7" s="12">
        <v>38.18</v>
      </c>
      <c r="G7" s="12">
        <v>-1356.7499999999995</v>
      </c>
      <c r="H7" s="12">
        <v>423108.47</v>
      </c>
      <c r="I7" s="12">
        <v>38.18</v>
      </c>
      <c r="J7" s="12">
        <v>192.18</v>
      </c>
      <c r="K7" s="12">
        <v>10786.300000000001</v>
      </c>
      <c r="L7" s="12">
        <v>38.18</v>
      </c>
      <c r="M7" s="12">
        <v>489.56</v>
      </c>
      <c r="N7" s="12">
        <v>128313.61</v>
      </c>
      <c r="O7" s="12">
        <v>144999.10999999999</v>
      </c>
      <c r="P7" s="12">
        <v>130598</v>
      </c>
      <c r="Q7" s="12">
        <v>192960.77000000002</v>
      </c>
      <c r="R7" s="12">
        <v>529241.41</v>
      </c>
      <c r="S7" s="12">
        <v>42</v>
      </c>
      <c r="T7" s="12">
        <v>2307.9</v>
      </c>
      <c r="U7" s="12">
        <v>22144.94</v>
      </c>
      <c r="V7" s="12">
        <v>38.18</v>
      </c>
      <c r="W7" s="12">
        <v>38.18</v>
      </c>
      <c r="X7" s="12">
        <v>2400</v>
      </c>
      <c r="Y7" s="12">
        <v>375.9</v>
      </c>
      <c r="Z7" s="12">
        <v>291937.3</v>
      </c>
      <c r="AA7" s="12">
        <v>190497.19</v>
      </c>
      <c r="AB7" s="12">
        <v>333411.53000000003</v>
      </c>
      <c r="AC7" s="12">
        <v>286396.99</v>
      </c>
      <c r="AD7" s="12">
        <v>92885.18</v>
      </c>
      <c r="AE7" s="12">
        <v>83497.81</v>
      </c>
      <c r="AF7" s="12">
        <v>876512.88000000012</v>
      </c>
      <c r="AG7" s="12">
        <v>908788.74000000011</v>
      </c>
      <c r="AH7" s="12">
        <v>174592.13</v>
      </c>
      <c r="AI7" s="12">
        <v>29125.869999999995</v>
      </c>
      <c r="AJ7" s="12">
        <v>172029.02000000002</v>
      </c>
      <c r="AK7" s="12">
        <v>1294.8400000000001</v>
      </c>
      <c r="AL7" s="12">
        <v>48674.619999999995</v>
      </c>
      <c r="AM7" s="12">
        <v>43941.11</v>
      </c>
      <c r="AN7" s="12">
        <v>57206.25</v>
      </c>
      <c r="AO7" s="12">
        <v>147032.95000000001</v>
      </c>
      <c r="AP7" s="12">
        <v>98347.849999999991</v>
      </c>
      <c r="AQ7" s="12">
        <v>86371.020000000019</v>
      </c>
      <c r="AR7" s="12">
        <v>184127.84000000003</v>
      </c>
      <c r="AS7" s="12">
        <v>125795.41</v>
      </c>
      <c r="AT7" s="12">
        <v>237686.33</v>
      </c>
      <c r="AU7" s="12">
        <v>143621.38999999998</v>
      </c>
      <c r="AV7" s="12">
        <v>18830.829999999998</v>
      </c>
      <c r="AW7" s="12">
        <v>10675.57</v>
      </c>
      <c r="AX7" s="12">
        <v>279696.94999999995</v>
      </c>
      <c r="AY7" s="12">
        <v>80309.660000000018</v>
      </c>
      <c r="AZ7" s="12">
        <v>172370.87</v>
      </c>
      <c r="BA7" s="12">
        <v>86086.11</v>
      </c>
      <c r="BB7" s="12">
        <v>263024.39</v>
      </c>
      <c r="BC7" s="12">
        <v>156201.35999999999</v>
      </c>
    </row>
    <row r="8" spans="2:55" x14ac:dyDescent="0.25">
      <c r="B8" t="s">
        <v>58</v>
      </c>
      <c r="C8" s="12">
        <v>659.90000000000009</v>
      </c>
      <c r="D8" s="12">
        <v>50413.65</v>
      </c>
      <c r="E8" s="12">
        <v>60313.68</v>
      </c>
      <c r="F8" s="12">
        <v>1483.49</v>
      </c>
      <c r="G8" s="12">
        <v>7891.96</v>
      </c>
      <c r="H8" s="12">
        <v>12485.28</v>
      </c>
      <c r="I8" s="12">
        <v>39206.129999999997</v>
      </c>
      <c r="J8" s="12">
        <v>42273.210000000006</v>
      </c>
      <c r="K8" s="12">
        <v>64643.08</v>
      </c>
      <c r="L8" s="12">
        <v>782.26</v>
      </c>
      <c r="M8" s="12">
        <v>40762.740000000005</v>
      </c>
      <c r="N8" s="12">
        <v>12783.08</v>
      </c>
      <c r="O8" s="12">
        <v>12977.59</v>
      </c>
      <c r="P8" s="12">
        <v>12673.310000000001</v>
      </c>
      <c r="Q8" s="12">
        <v>20630.599999999999</v>
      </c>
      <c r="R8" s="12">
        <v>10586.18</v>
      </c>
      <c r="S8" s="12">
        <v>33641.53</v>
      </c>
      <c r="T8" s="12">
        <v>23659.489999999998</v>
      </c>
      <c r="U8" s="12">
        <v>30071.29</v>
      </c>
      <c r="V8" s="12">
        <v>47655.41</v>
      </c>
      <c r="W8" s="12">
        <v>17201.12</v>
      </c>
      <c r="X8" s="12">
        <v>18296.629999999997</v>
      </c>
      <c r="Y8" s="12">
        <v>28610.93</v>
      </c>
      <c r="Z8" s="12">
        <v>14186.27</v>
      </c>
      <c r="AA8" s="12">
        <v>17986.11</v>
      </c>
      <c r="AB8" s="12">
        <v>21384.69</v>
      </c>
      <c r="AC8" s="12">
        <v>25452.739999999998</v>
      </c>
      <c r="AD8" s="12">
        <v>26860.3</v>
      </c>
      <c r="AE8" s="12">
        <v>5880.2300000000005</v>
      </c>
      <c r="AF8" s="12">
        <v>28054.99</v>
      </c>
      <c r="AG8" s="12">
        <v>25401.9</v>
      </c>
      <c r="AH8" s="208">
        <v>19953.310000000001</v>
      </c>
      <c r="AI8" s="208">
        <v>1517.53</v>
      </c>
      <c r="AJ8" s="208">
        <v>23765.99</v>
      </c>
      <c r="AK8" s="208">
        <v>5657.13</v>
      </c>
      <c r="AL8" s="208">
        <v>16756.36</v>
      </c>
      <c r="AM8" s="208">
        <v>14242.58</v>
      </c>
      <c r="AN8" s="208">
        <v>6342.71</v>
      </c>
      <c r="AO8" s="208">
        <v>24382.07</v>
      </c>
      <c r="AP8" s="208">
        <v>24086.71</v>
      </c>
      <c r="AQ8" s="208">
        <v>15468.57</v>
      </c>
      <c r="AR8" s="208">
        <v>20285.62</v>
      </c>
      <c r="AS8" s="208">
        <v>55867.33</v>
      </c>
      <c r="AT8" s="208">
        <v>23379.96</v>
      </c>
      <c r="AU8" s="208">
        <v>20438.3</v>
      </c>
      <c r="AV8" s="208">
        <v>22051.09</v>
      </c>
      <c r="AW8" s="208">
        <v>18588.46</v>
      </c>
      <c r="AX8" s="208">
        <v>42982.85</v>
      </c>
      <c r="AY8" s="208">
        <v>15885.15</v>
      </c>
      <c r="AZ8" s="208">
        <v>27399.93</v>
      </c>
      <c r="BA8" s="208">
        <v>19252.939999999999</v>
      </c>
      <c r="BB8" s="208">
        <v>15407.93</v>
      </c>
      <c r="BC8" s="208">
        <v>11046.05</v>
      </c>
    </row>
    <row r="9" spans="2:55" x14ac:dyDescent="0.25">
      <c r="B9" t="s">
        <v>59</v>
      </c>
      <c r="E9" s="12">
        <v>8908.2000000000007</v>
      </c>
      <c r="I9" s="12">
        <v>17387.849999999999</v>
      </c>
      <c r="J9" s="12">
        <v>0</v>
      </c>
      <c r="K9" s="12">
        <v>22089.32</v>
      </c>
      <c r="L9" s="12">
        <v>6000.23</v>
      </c>
      <c r="M9" s="12">
        <v>58066.57</v>
      </c>
      <c r="N9" s="12">
        <v>116.63</v>
      </c>
      <c r="O9" s="12">
        <v>0</v>
      </c>
      <c r="P9" s="12">
        <v>0</v>
      </c>
      <c r="Q9" s="12">
        <v>2008.75</v>
      </c>
      <c r="R9" s="12">
        <v>0</v>
      </c>
      <c r="S9" s="12">
        <v>30048.03</v>
      </c>
      <c r="T9" s="12">
        <v>15513.8</v>
      </c>
      <c r="U9" s="12">
        <v>26695.43</v>
      </c>
      <c r="V9" s="12">
        <v>14074.36</v>
      </c>
      <c r="W9" s="12">
        <v>6139</v>
      </c>
      <c r="X9" s="12">
        <v>29394.75</v>
      </c>
      <c r="Y9" s="12">
        <v>0</v>
      </c>
      <c r="Z9" s="12">
        <v>55012.62</v>
      </c>
      <c r="AA9" s="12">
        <v>37798.949999999997</v>
      </c>
      <c r="AB9" s="12">
        <v>31748.81</v>
      </c>
      <c r="AC9" s="12">
        <v>5652.02</v>
      </c>
      <c r="AD9" s="12">
        <v>51975</v>
      </c>
      <c r="AE9" s="12">
        <v>0</v>
      </c>
      <c r="AF9" s="12">
        <v>2098.73</v>
      </c>
      <c r="AG9" s="12">
        <v>6666.24</v>
      </c>
      <c r="AH9" s="12">
        <v>51120.46</v>
      </c>
      <c r="AI9" s="12">
        <v>-15142</v>
      </c>
      <c r="AJ9" s="12">
        <v>9699.36</v>
      </c>
      <c r="AK9" s="12">
        <v>5294.25</v>
      </c>
      <c r="AL9" s="12">
        <v>18306</v>
      </c>
      <c r="AM9" s="12">
        <v>5040.6899999999996</v>
      </c>
      <c r="AN9" s="12">
        <v>0</v>
      </c>
      <c r="AO9" s="12">
        <v>82809.350000000006</v>
      </c>
      <c r="AP9" s="12">
        <v>13272.48</v>
      </c>
      <c r="AQ9" s="12">
        <v>4586.76</v>
      </c>
      <c r="AR9" s="12">
        <v>2378.91</v>
      </c>
      <c r="AS9" s="12">
        <v>0</v>
      </c>
      <c r="AT9" s="12">
        <v>7472.31</v>
      </c>
      <c r="AU9" s="12">
        <v>9040.17</v>
      </c>
      <c r="AV9" s="12">
        <v>24935.27</v>
      </c>
      <c r="AW9" s="12">
        <v>43710.34</v>
      </c>
      <c r="AX9" s="12"/>
      <c r="AY9" s="12"/>
      <c r="AZ9" s="12"/>
      <c r="BA9" s="12"/>
      <c r="BB9" s="12"/>
      <c r="BC9" s="12"/>
    </row>
    <row r="10" spans="2:55" x14ac:dyDescent="0.25">
      <c r="AG10" t="s">
        <v>60</v>
      </c>
      <c r="AH10" s="12">
        <v>26967.32</v>
      </c>
      <c r="AI10" s="12">
        <v>31942.22</v>
      </c>
      <c r="AJ10" s="12">
        <v>96014.32</v>
      </c>
      <c r="AK10" s="12">
        <v>2385.3500000000004</v>
      </c>
      <c r="AL10" s="12">
        <v>41533.360000000001</v>
      </c>
      <c r="AM10" s="12">
        <v>34417.949999999997</v>
      </c>
      <c r="AN10" s="12">
        <v>90754.169999999984</v>
      </c>
      <c r="AO10" s="12">
        <v>8932.02</v>
      </c>
      <c r="AP10" s="12">
        <v>72680.549999999988</v>
      </c>
      <c r="AQ10" s="12">
        <v>21624.57</v>
      </c>
      <c r="AR10" s="12">
        <v>18234.060000000001</v>
      </c>
      <c r="AS10" s="12">
        <v>54570.74</v>
      </c>
      <c r="AT10" s="12">
        <v>17420.900000000001</v>
      </c>
      <c r="AU10" s="12">
        <v>57049.67</v>
      </c>
      <c r="AV10" s="12">
        <v>9031.19</v>
      </c>
      <c r="AW10" s="12">
        <v>41629.839999999997</v>
      </c>
      <c r="AX10" s="12">
        <v>31597.879999999997</v>
      </c>
      <c r="AY10" s="12">
        <v>81825.459999999992</v>
      </c>
      <c r="AZ10" s="12">
        <v>23140.3</v>
      </c>
      <c r="BA10" s="12">
        <v>94515.329999999987</v>
      </c>
      <c r="BB10" s="12">
        <v>28474.36</v>
      </c>
      <c r="BC10" s="12">
        <v>38689.829999999987</v>
      </c>
    </row>
    <row r="11" spans="2:55" x14ac:dyDescent="0.25"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8"/>
      <c r="AU11" s="208"/>
      <c r="AV11" s="208"/>
      <c r="AW11" s="208"/>
      <c r="AX11" s="208"/>
      <c r="AY11" s="208"/>
      <c r="AZ11" s="208"/>
      <c r="BA11" s="208"/>
      <c r="BB11" s="208"/>
      <c r="BC11" s="208"/>
    </row>
    <row r="12" spans="2:55" x14ac:dyDescent="0.25">
      <c r="B12" s="11" t="s">
        <v>61</v>
      </c>
      <c r="C12" s="11"/>
      <c r="D12" s="11"/>
      <c r="E12" s="11"/>
      <c r="F12" s="11"/>
      <c r="G12" s="11"/>
      <c r="H12" s="11"/>
      <c r="I12" s="11" t="s">
        <v>8</v>
      </c>
      <c r="J12" s="11" t="s">
        <v>9</v>
      </c>
      <c r="K12" s="11" t="s">
        <v>10</v>
      </c>
      <c r="L12" s="11" t="s">
        <v>11</v>
      </c>
      <c r="M12" s="11" t="s">
        <v>12</v>
      </c>
      <c r="N12" s="11" t="s">
        <v>13</v>
      </c>
      <c r="O12" s="11" t="s">
        <v>14</v>
      </c>
      <c r="P12" s="11" t="s">
        <v>15</v>
      </c>
      <c r="Q12" s="11" t="s">
        <v>16</v>
      </c>
      <c r="R12" s="11" t="s">
        <v>17</v>
      </c>
      <c r="S12" s="15" t="s">
        <v>18</v>
      </c>
      <c r="T12" s="15" t="s">
        <v>19</v>
      </c>
      <c r="U12" s="15" t="s">
        <v>20</v>
      </c>
      <c r="V12" s="15" t="s">
        <v>21</v>
      </c>
      <c r="W12" s="15" t="s">
        <v>22</v>
      </c>
      <c r="X12" s="15" t="s">
        <v>23</v>
      </c>
      <c r="Y12" s="15" t="s">
        <v>24</v>
      </c>
      <c r="Z12" s="15" t="s">
        <v>25</v>
      </c>
      <c r="AA12" s="15" t="s">
        <v>26</v>
      </c>
      <c r="AB12" s="15" t="s">
        <v>27</v>
      </c>
      <c r="AC12" s="15" t="s">
        <v>28</v>
      </c>
      <c r="AD12" s="15" t="s">
        <v>29</v>
      </c>
      <c r="AE12" s="15" t="s">
        <v>30</v>
      </c>
      <c r="AF12" s="15" t="s">
        <v>31</v>
      </c>
      <c r="AG12" s="15" t="s">
        <v>32</v>
      </c>
      <c r="AH12" s="16" t="s">
        <v>33</v>
      </c>
      <c r="AI12" s="16" t="s">
        <v>34</v>
      </c>
      <c r="AJ12" s="16" t="s">
        <v>35</v>
      </c>
      <c r="AK12" s="16" t="s">
        <v>36</v>
      </c>
      <c r="AL12" s="16" t="s">
        <v>37</v>
      </c>
      <c r="AM12" s="16" t="s">
        <v>38</v>
      </c>
      <c r="AN12" s="16" t="s">
        <v>39</v>
      </c>
      <c r="AO12" s="16" t="s">
        <v>40</v>
      </c>
      <c r="AP12" s="16" t="s">
        <v>41</v>
      </c>
      <c r="AQ12" s="16" t="s">
        <v>42</v>
      </c>
      <c r="AR12" s="16" t="s">
        <v>43</v>
      </c>
      <c r="AS12" s="16" t="s">
        <v>44</v>
      </c>
      <c r="AT12" s="16" t="s">
        <v>45</v>
      </c>
      <c r="AU12" s="16" t="s">
        <v>46</v>
      </c>
      <c r="AV12" s="16" t="s">
        <v>47</v>
      </c>
      <c r="AW12" s="16" t="s">
        <v>48</v>
      </c>
      <c r="AX12" s="16" t="s">
        <v>49</v>
      </c>
      <c r="AY12" s="16" t="s">
        <v>50</v>
      </c>
      <c r="AZ12" s="16" t="s">
        <v>51</v>
      </c>
      <c r="BA12" s="16" t="s">
        <v>52</v>
      </c>
      <c r="BB12" s="16" t="s">
        <v>53</v>
      </c>
      <c r="BC12" s="16" t="s">
        <v>54</v>
      </c>
    </row>
    <row r="13" spans="2:55" x14ac:dyDescent="0.25">
      <c r="B13" s="13" t="s">
        <v>62</v>
      </c>
      <c r="C13" s="13"/>
      <c r="D13" s="13"/>
      <c r="E13" s="13"/>
      <c r="F13" s="13"/>
      <c r="G13" s="13"/>
      <c r="H13" s="13"/>
      <c r="I13" s="12">
        <v>21021.859999999997</v>
      </c>
      <c r="J13" s="12">
        <v>40448.179999999993</v>
      </c>
      <c r="K13" s="12">
        <v>65337.05</v>
      </c>
      <c r="L13" s="12">
        <v>10511.57</v>
      </c>
      <c r="M13" s="12">
        <v>38810.429999999993</v>
      </c>
      <c r="N13" s="12">
        <v>16707.57</v>
      </c>
      <c r="O13" s="12">
        <v>9379.74</v>
      </c>
      <c r="P13" s="12">
        <v>7748.6600000000008</v>
      </c>
      <c r="Q13" s="12">
        <v>18825.580000000002</v>
      </c>
      <c r="R13" s="12">
        <v>254.44</v>
      </c>
      <c r="S13" s="12">
        <v>11310.16</v>
      </c>
      <c r="T13" s="12">
        <v>9586.6500000000015</v>
      </c>
      <c r="U13" s="12">
        <v>14113.169999999998</v>
      </c>
      <c r="V13" s="12">
        <v>14721.61</v>
      </c>
      <c r="W13" s="12">
        <v>8606.77</v>
      </c>
      <c r="X13" s="12">
        <v>10127.770000000002</v>
      </c>
      <c r="Y13" s="12">
        <v>12218.689999999999</v>
      </c>
      <c r="Z13" s="12">
        <v>9765.52</v>
      </c>
      <c r="AA13" s="12">
        <v>10089.299999999999</v>
      </c>
      <c r="AB13" s="12">
        <v>8808.86</v>
      </c>
      <c r="AC13" s="12">
        <v>15054.47</v>
      </c>
      <c r="AD13" s="12">
        <v>16466.089999999997</v>
      </c>
      <c r="AE13" s="12">
        <v>3488.11</v>
      </c>
      <c r="AF13" s="12">
        <v>0</v>
      </c>
      <c r="AG13" s="12">
        <v>396.88</v>
      </c>
      <c r="AH13" s="12">
        <v>17526.419999999998</v>
      </c>
      <c r="AI13" s="12">
        <v>5444.33</v>
      </c>
      <c r="AJ13" s="12">
        <v>21775.42</v>
      </c>
      <c r="AK13" s="12">
        <v>4159.0200000000004</v>
      </c>
      <c r="AL13" s="12">
        <v>10999.34</v>
      </c>
      <c r="AM13" s="12">
        <v>11199.91</v>
      </c>
      <c r="AN13" s="12">
        <v>7037.05</v>
      </c>
      <c r="AO13" s="12">
        <v>19284.59</v>
      </c>
      <c r="AP13" s="12">
        <v>18562.96</v>
      </c>
      <c r="AQ13" s="12">
        <v>19375.830000000002</v>
      </c>
      <c r="AR13" s="12">
        <v>19815.580000000002</v>
      </c>
      <c r="AS13" s="12">
        <v>21395.58</v>
      </c>
      <c r="AT13" s="12">
        <v>18993.64</v>
      </c>
      <c r="AU13" s="12">
        <v>19762.510000000002</v>
      </c>
      <c r="AV13" s="12">
        <v>17364.79</v>
      </c>
      <c r="AW13" s="12">
        <v>17258.060000000001</v>
      </c>
      <c r="AX13" s="12">
        <v>17381.559999999998</v>
      </c>
      <c r="AY13" s="12">
        <v>10742.43</v>
      </c>
      <c r="AZ13" s="12">
        <v>18566.870000000003</v>
      </c>
      <c r="BA13" s="12">
        <v>14524.42</v>
      </c>
      <c r="BB13" s="12">
        <v>16159.210000000001</v>
      </c>
      <c r="BC13" s="12">
        <v>18529.23</v>
      </c>
    </row>
    <row r="14" spans="2:55" x14ac:dyDescent="0.25">
      <c r="B14" s="13" t="s">
        <v>63</v>
      </c>
      <c r="C14" s="13"/>
      <c r="D14" s="13"/>
      <c r="E14" s="13"/>
      <c r="F14" s="13"/>
      <c r="G14" s="13"/>
      <c r="H14" s="13"/>
      <c r="I14" s="12">
        <v>4245.7000000000007</v>
      </c>
      <c r="J14" s="12">
        <v>2169.3000000000002</v>
      </c>
      <c r="K14" s="12">
        <v>6839.54</v>
      </c>
      <c r="L14" s="12">
        <v>3191.28</v>
      </c>
      <c r="M14" s="12">
        <v>4191.4799999999996</v>
      </c>
      <c r="N14" s="12">
        <v>31844.780000000002</v>
      </c>
      <c r="O14" s="12">
        <v>5222.5200000000004</v>
      </c>
      <c r="P14" s="12">
        <v>7603.66</v>
      </c>
      <c r="Q14" s="12">
        <v>31531.23</v>
      </c>
      <c r="R14" s="12">
        <v>0</v>
      </c>
      <c r="S14" s="12">
        <v>3633.07</v>
      </c>
      <c r="T14" s="12">
        <v>6938.04</v>
      </c>
      <c r="U14" s="12">
        <v>1990.48</v>
      </c>
      <c r="V14" s="12">
        <v>2317.3000000000002</v>
      </c>
      <c r="W14" s="12">
        <v>2845.05</v>
      </c>
      <c r="X14" s="12">
        <v>3575.5600000000004</v>
      </c>
      <c r="Y14" s="12">
        <v>2270.6</v>
      </c>
      <c r="Z14" s="12">
        <v>67233.77</v>
      </c>
      <c r="AA14" s="12">
        <v>57108.840000000004</v>
      </c>
      <c r="AB14" s="12">
        <v>26030.81</v>
      </c>
      <c r="AC14" s="12">
        <v>38745.96</v>
      </c>
      <c r="AD14" s="12">
        <v>49773.42</v>
      </c>
      <c r="AE14" s="12">
        <v>8191.55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</row>
    <row r="15" spans="2:55" x14ac:dyDescent="0.25">
      <c r="B15" s="13" t="s">
        <v>64</v>
      </c>
      <c r="C15" s="13"/>
      <c r="D15" s="13"/>
      <c r="E15" s="13"/>
      <c r="F15" s="13"/>
      <c r="G15" s="13"/>
      <c r="H15" s="13"/>
      <c r="I15" s="12">
        <v>0</v>
      </c>
      <c r="J15" s="12">
        <v>1600</v>
      </c>
      <c r="K15" s="12">
        <v>2695</v>
      </c>
      <c r="L15" s="12">
        <v>1600</v>
      </c>
      <c r="M15" s="12">
        <v>1666.63</v>
      </c>
      <c r="N15" s="12">
        <v>92379.839999999997</v>
      </c>
      <c r="O15" s="12">
        <v>136332.82</v>
      </c>
      <c r="P15" s="12">
        <v>83029.69</v>
      </c>
      <c r="Q15" s="12">
        <v>240875.00999999998</v>
      </c>
      <c r="R15" s="12">
        <v>510385.96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4800</v>
      </c>
      <c r="Y15" s="12">
        <v>0</v>
      </c>
      <c r="Z15" s="12">
        <v>87858.8</v>
      </c>
      <c r="AA15" s="12">
        <v>135815.15999999997</v>
      </c>
      <c r="AB15" s="12">
        <v>188960.27999999997</v>
      </c>
      <c r="AC15" s="12">
        <v>229853.24</v>
      </c>
      <c r="AD15" s="12">
        <v>60703.7</v>
      </c>
      <c r="AE15" s="12">
        <v>75019.820000000007</v>
      </c>
      <c r="AF15" s="12">
        <v>792281.5</v>
      </c>
      <c r="AG15" s="12">
        <v>901623.09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</row>
    <row r="16" spans="2:55" x14ac:dyDescent="0.25">
      <c r="B16" s="14" t="s">
        <v>65</v>
      </c>
      <c r="C16" s="14"/>
      <c r="D16" s="14"/>
      <c r="E16" s="14"/>
      <c r="F16" s="14"/>
      <c r="G16" s="14"/>
      <c r="H16" s="14"/>
      <c r="I16" s="12">
        <v>24869.91</v>
      </c>
      <c r="J16" s="12">
        <v>33563.83</v>
      </c>
      <c r="K16" s="12">
        <v>61725.96</v>
      </c>
      <c r="L16" s="12">
        <v>3825.33</v>
      </c>
      <c r="M16" s="12">
        <v>37726.699999999997</v>
      </c>
      <c r="N16" s="12">
        <v>19171.099999999999</v>
      </c>
      <c r="O16" s="12">
        <v>13282.14</v>
      </c>
      <c r="P16" s="12">
        <v>8871.6299999999992</v>
      </c>
      <c r="Q16" s="12">
        <v>24761.1</v>
      </c>
      <c r="R16" s="12">
        <v>18209.52</v>
      </c>
      <c r="S16" s="12">
        <v>34578.26</v>
      </c>
      <c r="T16" s="12">
        <v>27391.97</v>
      </c>
      <c r="U16" s="12">
        <v>38576.51</v>
      </c>
      <c r="V16" s="12">
        <v>43429.81</v>
      </c>
      <c r="W16" s="12">
        <v>18769.68</v>
      </c>
      <c r="X16" s="12">
        <v>19708.079999999998</v>
      </c>
      <c r="Y16" s="12">
        <v>30371.19</v>
      </c>
      <c r="Z16" s="12">
        <v>17085.62</v>
      </c>
      <c r="AA16" s="12">
        <v>21612.030000000002</v>
      </c>
      <c r="AB16" s="12">
        <v>19504.32</v>
      </c>
      <c r="AC16" s="12">
        <v>26990.32</v>
      </c>
      <c r="AD16" s="12">
        <v>25936.29</v>
      </c>
      <c r="AE16" s="12">
        <v>7140.83</v>
      </c>
      <c r="AF16" s="12">
        <v>18125.34</v>
      </c>
      <c r="AG16" s="12">
        <v>25456.18</v>
      </c>
      <c r="AH16" s="12">
        <v>15314.050000000001</v>
      </c>
      <c r="AI16" s="12">
        <v>18418.3</v>
      </c>
      <c r="AJ16" s="12">
        <v>73673.22</v>
      </c>
      <c r="AK16" s="12">
        <v>6140.88</v>
      </c>
      <c r="AL16" s="12">
        <v>24563.510000000002</v>
      </c>
      <c r="AM16" s="12">
        <v>11525.32</v>
      </c>
      <c r="AN16" s="12">
        <v>57692.100000000006</v>
      </c>
      <c r="AO16" s="12">
        <v>1835.48</v>
      </c>
      <c r="AP16" s="12">
        <v>61256.21</v>
      </c>
      <c r="AQ16" s="12">
        <v>9177.39</v>
      </c>
      <c r="AR16" s="12">
        <v>9716.9500000000007</v>
      </c>
      <c r="AS16" s="12">
        <v>38867.799999999996</v>
      </c>
      <c r="AT16" s="12">
        <v>9124.32</v>
      </c>
      <c r="AU16" s="12">
        <v>36497.270000000004</v>
      </c>
      <c r="AV16" s="12">
        <v>8326.26</v>
      </c>
      <c r="AW16" s="12">
        <v>33305.009999999995</v>
      </c>
      <c r="AX16" s="12">
        <v>26057.68</v>
      </c>
      <c r="AY16" s="12">
        <v>104230.73</v>
      </c>
      <c r="AZ16" s="12">
        <v>18584.489999999998</v>
      </c>
      <c r="BA16" s="12">
        <v>74337.95</v>
      </c>
      <c r="BB16" s="12">
        <v>13518.64</v>
      </c>
      <c r="BC16" s="12">
        <v>54074.53</v>
      </c>
    </row>
    <row r="17" spans="2:55" x14ac:dyDescent="0.25">
      <c r="I17" s="12">
        <v>36241.57</v>
      </c>
      <c r="J17" s="12">
        <v>20072.88</v>
      </c>
      <c r="K17" s="12">
        <v>31398.09</v>
      </c>
      <c r="L17" s="12">
        <v>73688.67</v>
      </c>
      <c r="M17" s="12">
        <v>60839.199999999997</v>
      </c>
      <c r="N17" s="12">
        <v>0</v>
      </c>
      <c r="O17" s="12">
        <v>0</v>
      </c>
      <c r="P17" s="12">
        <v>0</v>
      </c>
      <c r="Q17" s="12">
        <v>71366.259999999995</v>
      </c>
      <c r="R17" s="12">
        <v>8321.8799999999992</v>
      </c>
      <c r="S17" s="12">
        <v>44739.4</v>
      </c>
      <c r="T17" s="12">
        <v>24536.799999999999</v>
      </c>
      <c r="U17" s="12">
        <v>167467.04</v>
      </c>
      <c r="V17" s="12">
        <v>63581.11</v>
      </c>
      <c r="W17" s="12">
        <v>24742.2</v>
      </c>
      <c r="X17" s="12">
        <v>33710.58</v>
      </c>
      <c r="Y17" s="12">
        <v>24973.49</v>
      </c>
      <c r="Z17" s="12">
        <v>9185.84</v>
      </c>
      <c r="AA17" s="12">
        <v>39911.61</v>
      </c>
      <c r="AB17" s="12">
        <v>26150</v>
      </c>
      <c r="AC17" s="12">
        <v>225384.81</v>
      </c>
      <c r="AD17" s="12">
        <v>56525</v>
      </c>
      <c r="AE17" s="12">
        <v>11990</v>
      </c>
      <c r="AF17" s="12">
        <v>0</v>
      </c>
      <c r="AG17" s="12">
        <v>0</v>
      </c>
      <c r="AH17" s="12">
        <v>67838.64</v>
      </c>
      <c r="AI17" s="12">
        <v>38750</v>
      </c>
      <c r="AJ17" s="12">
        <v>637.30999999999995</v>
      </c>
      <c r="AK17" s="12">
        <v>10074.73</v>
      </c>
      <c r="AL17" s="12">
        <v>14569.33</v>
      </c>
      <c r="AM17" s="12">
        <v>12109.98</v>
      </c>
      <c r="AN17" s="12">
        <v>6400</v>
      </c>
      <c r="AO17" s="12">
        <v>88348.65</v>
      </c>
      <c r="AP17" s="12">
        <v>1695</v>
      </c>
      <c r="AQ17" s="12">
        <v>22889.89</v>
      </c>
      <c r="AR17" s="12">
        <v>17461.04</v>
      </c>
      <c r="AS17" s="12">
        <v>50000</v>
      </c>
      <c r="AT17" s="12">
        <v>54221.35</v>
      </c>
      <c r="AU17" s="12">
        <v>46136.05</v>
      </c>
      <c r="AV17" s="12">
        <v>3281.7</v>
      </c>
      <c r="AW17" s="12">
        <v>52888.7</v>
      </c>
      <c r="AX17" s="12"/>
      <c r="AY17" s="12"/>
      <c r="AZ17" s="12"/>
      <c r="BA17" s="12"/>
      <c r="BB17" s="12"/>
      <c r="BC17" s="12"/>
    </row>
    <row r="19" spans="2:55" x14ac:dyDescent="0.25">
      <c r="C19" s="11"/>
      <c r="D19" s="11"/>
      <c r="E19" s="11"/>
      <c r="F19" s="11"/>
      <c r="G19" s="11"/>
      <c r="H19" s="11"/>
      <c r="I19" s="11" t="s">
        <v>8</v>
      </c>
      <c r="J19" s="11" t="s">
        <v>9</v>
      </c>
      <c r="K19" s="11" t="s">
        <v>10</v>
      </c>
      <c r="L19" s="11" t="s">
        <v>11</v>
      </c>
      <c r="M19" s="11" t="s">
        <v>12</v>
      </c>
      <c r="N19" s="11" t="s">
        <v>13</v>
      </c>
      <c r="O19" s="11" t="s">
        <v>14</v>
      </c>
      <c r="P19" s="11" t="s">
        <v>15</v>
      </c>
      <c r="Q19" s="11" t="s">
        <v>16</v>
      </c>
      <c r="R19" s="11" t="s">
        <v>17</v>
      </c>
      <c r="S19" s="15" t="s">
        <v>18</v>
      </c>
      <c r="T19" s="15" t="s">
        <v>19</v>
      </c>
      <c r="U19" s="15" t="s">
        <v>20</v>
      </c>
      <c r="V19" s="15" t="s">
        <v>21</v>
      </c>
      <c r="W19" s="15" t="s">
        <v>22</v>
      </c>
      <c r="X19" s="15" t="s">
        <v>23</v>
      </c>
      <c r="Y19" s="15" t="s">
        <v>24</v>
      </c>
      <c r="Z19" s="15" t="s">
        <v>25</v>
      </c>
      <c r="AA19" s="15" t="s">
        <v>26</v>
      </c>
      <c r="AB19" s="15" t="s">
        <v>27</v>
      </c>
      <c r="AC19" s="15" t="s">
        <v>28</v>
      </c>
      <c r="AD19" s="15" t="s">
        <v>29</v>
      </c>
      <c r="AE19" s="15" t="s">
        <v>30</v>
      </c>
      <c r="AF19" s="15" t="s">
        <v>31</v>
      </c>
      <c r="AG19" s="15" t="s">
        <v>32</v>
      </c>
      <c r="AH19" s="16" t="s">
        <v>33</v>
      </c>
      <c r="AI19" s="16" t="s">
        <v>34</v>
      </c>
      <c r="AJ19" s="16" t="s">
        <v>35</v>
      </c>
      <c r="AK19" s="16" t="s">
        <v>36</v>
      </c>
      <c r="AL19" s="16" t="s">
        <v>37</v>
      </c>
      <c r="AM19" s="16" t="s">
        <v>38</v>
      </c>
      <c r="AN19" s="16" t="s">
        <v>39</v>
      </c>
      <c r="AO19" s="16" t="s">
        <v>40</v>
      </c>
      <c r="AP19" s="16" t="s">
        <v>41</v>
      </c>
      <c r="AQ19" s="16" t="s">
        <v>42</v>
      </c>
      <c r="AR19" s="16" t="s">
        <v>43</v>
      </c>
      <c r="AS19" s="16" t="s">
        <v>44</v>
      </c>
      <c r="AT19" s="16" t="s">
        <v>45</v>
      </c>
      <c r="AU19" s="16" t="s">
        <v>46</v>
      </c>
      <c r="AV19" s="16" t="s">
        <v>47</v>
      </c>
      <c r="AW19" s="16" t="s">
        <v>48</v>
      </c>
      <c r="AX19" s="16" t="s">
        <v>49</v>
      </c>
      <c r="AY19" s="16" t="s">
        <v>50</v>
      </c>
      <c r="AZ19" s="16" t="s">
        <v>51</v>
      </c>
      <c r="BA19" s="16" t="s">
        <v>52</v>
      </c>
      <c r="BB19" s="16" t="s">
        <v>53</v>
      </c>
      <c r="BC19" s="16" t="s">
        <v>54</v>
      </c>
    </row>
    <row r="20" spans="2:55" x14ac:dyDescent="0.25">
      <c r="B20" t="s">
        <v>55</v>
      </c>
      <c r="I20" s="12">
        <v>-2199.0400000000045</v>
      </c>
      <c r="J20" s="12">
        <v>86.259999999994761</v>
      </c>
      <c r="K20" s="12">
        <v>6378.010000000002</v>
      </c>
      <c r="L20" s="12">
        <v>-3445.9200000000019</v>
      </c>
      <c r="M20" s="12">
        <v>-3960.2200000000084</v>
      </c>
      <c r="N20" s="12">
        <v>-987.5</v>
      </c>
      <c r="O20" s="12">
        <v>5605.9599999999991</v>
      </c>
      <c r="P20" s="12">
        <v>5125.6400000000012</v>
      </c>
      <c r="Q20" s="12">
        <v>8450.01</v>
      </c>
      <c r="R20" s="12">
        <v>188.96</v>
      </c>
      <c r="S20" s="12">
        <v>-12956.489999999994</v>
      </c>
      <c r="T20" s="12">
        <v>-16254.529999999999</v>
      </c>
      <c r="U20" s="12">
        <v>-1529.6000000000022</v>
      </c>
      <c r="V20" s="12">
        <v>-21956.940000000002</v>
      </c>
      <c r="W20" s="12">
        <v>-5188.7000000000025</v>
      </c>
      <c r="X20" s="12">
        <v>-3506.6899999999969</v>
      </c>
      <c r="Y20" s="12">
        <v>-6539.3100000000049</v>
      </c>
      <c r="Z20" s="12">
        <v>-18625.159999999996</v>
      </c>
      <c r="AA20" s="12">
        <v>-14591.250000000007</v>
      </c>
      <c r="AB20" s="12">
        <v>-8579.7999999999993</v>
      </c>
      <c r="AC20" s="12">
        <v>-9144.1300000000028</v>
      </c>
      <c r="AD20" s="12">
        <v>-17284.920000000013</v>
      </c>
      <c r="AE20" s="12">
        <v>-475.06999999999971</v>
      </c>
      <c r="AF20" s="12">
        <v>-1388.24</v>
      </c>
      <c r="AG20" s="12">
        <v>307.78999999999996</v>
      </c>
      <c r="AH20" s="12">
        <v>-4248.4500000000007</v>
      </c>
      <c r="AI20" s="12">
        <v>-2256.9400000000005</v>
      </c>
      <c r="AJ20" s="12">
        <v>-5583.52</v>
      </c>
      <c r="AK20" s="12">
        <v>-10125.599999999999</v>
      </c>
      <c r="AL20" s="12">
        <v>9059.02</v>
      </c>
      <c r="AM20" s="12">
        <v>-839.11000000000058</v>
      </c>
      <c r="AN20" s="12">
        <v>1709.1800000000012</v>
      </c>
      <c r="AO20" s="12">
        <v>4626.4599999999991</v>
      </c>
      <c r="AP20" s="12">
        <v>-3949.1800000000003</v>
      </c>
      <c r="AQ20" s="12">
        <v>-1559.1699999999983</v>
      </c>
      <c r="AR20" s="12">
        <v>2297.739999999998</v>
      </c>
      <c r="AS20" s="12">
        <v>-9168.489999999998</v>
      </c>
      <c r="AT20" s="12">
        <v>1582.369999999999</v>
      </c>
      <c r="AU20" s="12">
        <v>7326.3900000000031</v>
      </c>
      <c r="AV20" s="12">
        <v>2463.6700000000019</v>
      </c>
      <c r="AW20" s="12">
        <v>1346.8200000000015</v>
      </c>
      <c r="AX20" s="12">
        <v>-8884.3800000000047</v>
      </c>
      <c r="AY20" s="12">
        <v>-1480.75</v>
      </c>
      <c r="AZ20" s="12">
        <v>622.04000000000087</v>
      </c>
      <c r="BA20" s="12">
        <v>-5285.92</v>
      </c>
      <c r="BB20" s="12">
        <v>5092.4800000000014</v>
      </c>
      <c r="BC20" s="12">
        <v>3448.9799999999977</v>
      </c>
    </row>
    <row r="21" spans="2:55" x14ac:dyDescent="0.25">
      <c r="B21" t="s">
        <v>56</v>
      </c>
      <c r="I21" s="12">
        <v>-8785.8799999999992</v>
      </c>
      <c r="J21" s="12">
        <v>-200.19999999999982</v>
      </c>
      <c r="K21" s="12">
        <v>-15116.66</v>
      </c>
      <c r="L21" s="12">
        <v>-17877.990000000002</v>
      </c>
      <c r="M21" s="12">
        <v>-5419.09</v>
      </c>
      <c r="N21" s="12">
        <v>-14629.199999999993</v>
      </c>
      <c r="O21" s="12">
        <v>-3706.5199999999986</v>
      </c>
      <c r="P21" s="12">
        <v>1539.8899999999994</v>
      </c>
      <c r="Q21" s="12">
        <v>14801.559999999998</v>
      </c>
      <c r="R21" s="12">
        <v>0</v>
      </c>
      <c r="S21" s="12">
        <v>-11300.23</v>
      </c>
      <c r="T21" s="12">
        <v>-1078.04</v>
      </c>
      <c r="U21" s="12">
        <v>-1681.23</v>
      </c>
      <c r="V21" s="12">
        <v>-8210.2200000000012</v>
      </c>
      <c r="W21" s="12">
        <v>-1053.0299999999993</v>
      </c>
      <c r="X21" s="12">
        <v>-16664.87</v>
      </c>
      <c r="Y21" s="12">
        <v>-4910.6999999999989</v>
      </c>
      <c r="Z21" s="12">
        <v>-64473.89999999998</v>
      </c>
      <c r="AA21" s="12">
        <v>-15436.259999999987</v>
      </c>
      <c r="AB21" s="12">
        <v>-10896.719999999998</v>
      </c>
      <c r="AC21" s="12">
        <v>-12086.940000000002</v>
      </c>
      <c r="AD21" s="12">
        <v>9384.260000000002</v>
      </c>
      <c r="AE21" s="12">
        <v>-5295.8199999999988</v>
      </c>
      <c r="AF21" s="12">
        <v>0</v>
      </c>
      <c r="AG21" s="12">
        <v>0</v>
      </c>
      <c r="AH21" s="15">
        <v>-80403.28</v>
      </c>
      <c r="AI21" s="15">
        <v>-10432.810000000001</v>
      </c>
      <c r="AJ21" s="15">
        <v>-105165.54</v>
      </c>
      <c r="AK21" s="15">
        <v>-14132.099999999999</v>
      </c>
      <c r="AL21" s="15">
        <v>-40921.82</v>
      </c>
      <c r="AM21" s="15">
        <v>-27496.800000000003</v>
      </c>
      <c r="AN21" s="15">
        <v>-31843.589999999997</v>
      </c>
      <c r="AO21" s="15">
        <v>-88130.65</v>
      </c>
      <c r="AP21" s="15">
        <v>-65228.869999999995</v>
      </c>
      <c r="AQ21" s="15">
        <v>-147194.63999999998</v>
      </c>
      <c r="AR21" s="15">
        <v>-88654.87999999999</v>
      </c>
      <c r="AS21" s="15">
        <v>-55308.02</v>
      </c>
      <c r="AT21" s="15">
        <v>-47431.29</v>
      </c>
      <c r="AU21" s="15">
        <v>-136503.58999999997</v>
      </c>
      <c r="AV21" s="15">
        <v>-77296.160000000018</v>
      </c>
      <c r="AW21" s="15">
        <v>-68396.829999999987</v>
      </c>
      <c r="AX21" s="15">
        <v>-44658.740000000005</v>
      </c>
      <c r="AY21" s="15">
        <v>-29807.78</v>
      </c>
      <c r="AZ21" s="15">
        <v>-11332.16</v>
      </c>
      <c r="BA21" s="15">
        <v>-30386.400000000001</v>
      </c>
      <c r="BB21" s="15">
        <v>-43046.400000000001</v>
      </c>
      <c r="BC21" s="15">
        <v>-68104.27</v>
      </c>
    </row>
    <row r="22" spans="2:55" x14ac:dyDescent="0.25">
      <c r="B22" t="s">
        <v>57</v>
      </c>
      <c r="I22" s="15">
        <v>-38.18</v>
      </c>
      <c r="J22" s="12">
        <v>1407.82</v>
      </c>
      <c r="K22" s="12">
        <v>-8091.3000000000011</v>
      </c>
      <c r="L22" s="12">
        <v>1561.82</v>
      </c>
      <c r="M22" s="12">
        <v>1177.0700000000002</v>
      </c>
      <c r="N22" s="12">
        <v>-35933.770000000004</v>
      </c>
      <c r="O22" s="12">
        <v>-8666.289999999979</v>
      </c>
      <c r="P22" s="12">
        <v>-47568.31</v>
      </c>
      <c r="Q22" s="12">
        <v>47914.239999999962</v>
      </c>
      <c r="R22" s="12">
        <v>-18855.450000000012</v>
      </c>
      <c r="S22" s="15">
        <v>-42</v>
      </c>
      <c r="T22" s="15">
        <v>-2307.9</v>
      </c>
      <c r="U22" s="15">
        <v>-22144.94</v>
      </c>
      <c r="V22" s="15">
        <v>-38.18</v>
      </c>
      <c r="W22" s="15">
        <v>-38.18</v>
      </c>
      <c r="X22" s="12">
        <v>2400</v>
      </c>
      <c r="Y22" s="15">
        <v>-375.9</v>
      </c>
      <c r="Z22" s="12">
        <v>-204078.5</v>
      </c>
      <c r="AA22" s="12">
        <v>-54682.030000000028</v>
      </c>
      <c r="AB22" s="12">
        <v>-144451.25000000006</v>
      </c>
      <c r="AC22" s="12">
        <v>-56543.75</v>
      </c>
      <c r="AD22" s="12">
        <v>-32181.479999999996</v>
      </c>
      <c r="AE22" s="12">
        <v>-8477.9899999999907</v>
      </c>
      <c r="AF22" s="12">
        <v>-84231.380000000121</v>
      </c>
      <c r="AG22" s="12">
        <v>-7165.6500000001397</v>
      </c>
      <c r="AH22" s="15">
        <v>-174592.13</v>
      </c>
      <c r="AI22" s="15">
        <v>-29125.869999999995</v>
      </c>
      <c r="AJ22" s="15">
        <v>-172029.02000000002</v>
      </c>
      <c r="AK22" s="15">
        <v>-1294.8400000000001</v>
      </c>
      <c r="AL22" s="15">
        <v>-48674.619999999995</v>
      </c>
      <c r="AM22" s="15">
        <v>-43941.11</v>
      </c>
      <c r="AN22" s="15">
        <v>-57206.25</v>
      </c>
      <c r="AO22" s="15">
        <v>-147032.95000000001</v>
      </c>
      <c r="AP22" s="15">
        <v>-98347.849999999991</v>
      </c>
      <c r="AQ22" s="15">
        <v>-86371.020000000019</v>
      </c>
      <c r="AR22" s="15">
        <v>-184127.84000000003</v>
      </c>
      <c r="AS22" s="15">
        <v>-125795.41</v>
      </c>
      <c r="AT22" s="15">
        <v>-237686.33</v>
      </c>
      <c r="AU22" s="15">
        <v>-143621.38999999998</v>
      </c>
      <c r="AV22" s="15">
        <v>-18830.829999999998</v>
      </c>
      <c r="AW22" s="15">
        <v>-10675.57</v>
      </c>
      <c r="AX22" s="15">
        <v>-279696.94999999995</v>
      </c>
      <c r="AY22" s="15">
        <v>-80309.660000000018</v>
      </c>
      <c r="AZ22" s="15">
        <v>-172370.87</v>
      </c>
      <c r="BA22" s="15">
        <v>-86086.11</v>
      </c>
      <c r="BB22" s="15">
        <v>-263024.39</v>
      </c>
      <c r="BC22" s="15">
        <v>-156201.35999999999</v>
      </c>
    </row>
    <row r="23" spans="2:55" x14ac:dyDescent="0.25">
      <c r="B23" t="s">
        <v>58</v>
      </c>
      <c r="I23" s="12">
        <v>-14336.219999999998</v>
      </c>
      <c r="J23" s="12">
        <v>-8709.3800000000047</v>
      </c>
      <c r="K23" s="12">
        <v>-2917.1200000000026</v>
      </c>
      <c r="L23" s="12">
        <v>3043.0699999999997</v>
      </c>
      <c r="M23" s="12">
        <v>-3036.0400000000081</v>
      </c>
      <c r="N23" s="12">
        <v>6388.0199999999986</v>
      </c>
      <c r="O23" s="12">
        <v>304.54999999999927</v>
      </c>
      <c r="P23" s="12">
        <v>-3801.6800000000021</v>
      </c>
      <c r="Q23" s="12">
        <v>4130.5</v>
      </c>
      <c r="R23" s="12">
        <v>7623.34</v>
      </c>
      <c r="S23" s="12">
        <v>936.7300000000032</v>
      </c>
      <c r="T23" s="12">
        <v>3732.4800000000032</v>
      </c>
      <c r="U23" s="12">
        <v>8505.2200000000012</v>
      </c>
      <c r="V23" s="12">
        <v>-4225.6000000000058</v>
      </c>
      <c r="W23" s="12">
        <v>1568.5600000000013</v>
      </c>
      <c r="X23" s="12">
        <v>1411.4500000000007</v>
      </c>
      <c r="Y23" s="12">
        <v>1760.2599999999984</v>
      </c>
      <c r="Z23" s="12">
        <v>2899.3499999999985</v>
      </c>
      <c r="AA23" s="12">
        <v>3625.9200000000019</v>
      </c>
      <c r="AB23" s="12">
        <v>-1880.369999999999</v>
      </c>
      <c r="AC23" s="12">
        <v>1537.5800000000017</v>
      </c>
      <c r="AD23" s="12">
        <v>-924.0099999999984</v>
      </c>
      <c r="AE23" s="12">
        <v>1260.5999999999995</v>
      </c>
      <c r="AF23" s="12">
        <v>-9929.6500000000015</v>
      </c>
      <c r="AG23" s="12">
        <v>54.279999999998836</v>
      </c>
      <c r="AH23" s="12">
        <v>-4639.26</v>
      </c>
      <c r="AI23" s="12">
        <v>16900.77</v>
      </c>
      <c r="AJ23" s="12">
        <v>49907.229999999996</v>
      </c>
      <c r="AK23" s="12">
        <v>483.75</v>
      </c>
      <c r="AL23" s="12">
        <v>7807.1500000000015</v>
      </c>
      <c r="AM23" s="12">
        <v>-2717.26</v>
      </c>
      <c r="AN23" s="12">
        <v>51349.390000000007</v>
      </c>
      <c r="AO23" s="12">
        <v>-22546.59</v>
      </c>
      <c r="AP23" s="12">
        <v>37169.5</v>
      </c>
      <c r="AQ23" s="12">
        <v>-6291.18</v>
      </c>
      <c r="AR23" s="12">
        <v>-10568.669999999998</v>
      </c>
      <c r="AS23" s="12">
        <v>-16999.530000000006</v>
      </c>
      <c r="AT23" s="12">
        <v>-14255.64</v>
      </c>
      <c r="AU23" s="12">
        <v>16058.970000000005</v>
      </c>
      <c r="AV23" s="12">
        <v>-13724.83</v>
      </c>
      <c r="AW23" s="12">
        <v>14716.549999999996</v>
      </c>
      <c r="AX23" s="12">
        <v>-16925.169999999998</v>
      </c>
      <c r="AY23" s="12">
        <v>88345.58</v>
      </c>
      <c r="AZ23" s="12">
        <v>-8815.4400000000023</v>
      </c>
      <c r="BA23" s="12">
        <v>55085.009999999995</v>
      </c>
      <c r="BB23" s="12">
        <v>-1889.2900000000009</v>
      </c>
      <c r="BC23" s="12">
        <v>43028.479999999996</v>
      </c>
    </row>
    <row r="24" spans="2:55" x14ac:dyDescent="0.25">
      <c r="I24" s="12">
        <v>18853.72</v>
      </c>
      <c r="J24" s="12">
        <v>20072.88</v>
      </c>
      <c r="K24" s="12">
        <v>9308.77</v>
      </c>
      <c r="L24" s="12">
        <v>67688.44</v>
      </c>
      <c r="M24" s="12">
        <v>2772.6299999999974</v>
      </c>
      <c r="N24" s="12">
        <v>-116.63</v>
      </c>
      <c r="O24" s="12">
        <v>0</v>
      </c>
      <c r="P24" s="12">
        <v>0</v>
      </c>
      <c r="Q24" s="12">
        <v>69357.509999999995</v>
      </c>
      <c r="R24" s="12">
        <v>8321.8799999999992</v>
      </c>
      <c r="S24" s="12">
        <v>14691.370000000003</v>
      </c>
      <c r="T24" s="12">
        <v>9023</v>
      </c>
      <c r="U24" s="12">
        <v>140771.61000000002</v>
      </c>
      <c r="V24" s="12">
        <v>49506.75</v>
      </c>
      <c r="W24" s="12">
        <v>18603.2</v>
      </c>
      <c r="X24" s="12">
        <v>4315.8300000000017</v>
      </c>
      <c r="Y24" s="12">
        <v>24973.49</v>
      </c>
      <c r="Z24" s="12">
        <v>-45826.78</v>
      </c>
      <c r="AA24" s="12">
        <v>2112.6600000000035</v>
      </c>
      <c r="AB24" s="12">
        <v>-5598.8100000000013</v>
      </c>
      <c r="AC24" s="12">
        <v>219732.79</v>
      </c>
      <c r="AD24" s="12">
        <v>4550</v>
      </c>
      <c r="AE24" s="12">
        <v>11990</v>
      </c>
      <c r="AF24" s="12">
        <v>-2098.73</v>
      </c>
      <c r="AG24" s="12">
        <v>-6666.24</v>
      </c>
      <c r="AH24" s="12">
        <v>16718.18</v>
      </c>
      <c r="AI24" s="12">
        <v>53892</v>
      </c>
      <c r="AJ24" s="12">
        <v>-9062.0500000000011</v>
      </c>
      <c r="AK24" s="12">
        <v>4780.4799999999996</v>
      </c>
      <c r="AL24" s="12">
        <v>-3736.67</v>
      </c>
      <c r="AM24" s="12">
        <v>7069.29</v>
      </c>
      <c r="AN24" s="12">
        <v>6400</v>
      </c>
      <c r="AO24" s="12">
        <v>5539.2999999999884</v>
      </c>
      <c r="AP24" s="12">
        <v>-11577.48</v>
      </c>
      <c r="AQ24" s="12">
        <v>18303.129999999997</v>
      </c>
      <c r="AR24" s="12">
        <v>15082.130000000001</v>
      </c>
      <c r="AS24" s="12">
        <v>50000</v>
      </c>
      <c r="AT24" s="12">
        <v>46749.04</v>
      </c>
      <c r="AU24" s="12">
        <v>37095.880000000005</v>
      </c>
      <c r="AV24" s="12">
        <v>-21653.57</v>
      </c>
      <c r="AW24" s="12">
        <v>9178.36</v>
      </c>
    </row>
    <row r="27" spans="2:55" x14ac:dyDescent="0.25">
      <c r="AG27" t="s">
        <v>66</v>
      </c>
      <c r="AH27" s="88">
        <v>6337.7573000000002</v>
      </c>
      <c r="AI27" s="88">
        <v>2432.9191999999998</v>
      </c>
      <c r="AJ27" s="88">
        <v>7535.312899999999</v>
      </c>
      <c r="AK27" s="88">
        <v>1625.3110000000001</v>
      </c>
      <c r="AL27" s="88">
        <v>3955.1171000000004</v>
      </c>
      <c r="AM27" s="88">
        <v>3982.8306000000002</v>
      </c>
      <c r="AN27" s="88">
        <v>2561.7395000000001</v>
      </c>
      <c r="AO27" s="88">
        <v>6871.408199999998</v>
      </c>
      <c r="AP27" s="88">
        <v>7430.4527999999991</v>
      </c>
      <c r="AQ27" s="88">
        <v>6873.8416000000007</v>
      </c>
      <c r="AR27" s="88">
        <v>7005.7132000000011</v>
      </c>
      <c r="AS27" s="88">
        <v>7637.8180000000002</v>
      </c>
      <c r="AT27" s="88">
        <v>6773.2563</v>
      </c>
      <c r="AU27" s="88">
        <v>7987.8998000000001</v>
      </c>
      <c r="AV27" s="88">
        <v>6051.3248999999996</v>
      </c>
      <c r="AW27" s="88">
        <v>6842.5480000000007</v>
      </c>
      <c r="AX27" s="88">
        <v>6715.7963</v>
      </c>
      <c r="AY27" s="88">
        <v>3885.7758000000003</v>
      </c>
      <c r="AZ27" s="88">
        <v>8173.9781000000012</v>
      </c>
      <c r="BA27" s="88">
        <v>5277.1838000000016</v>
      </c>
      <c r="BB27" s="88">
        <v>5724.5162</v>
      </c>
      <c r="BC27" s="88">
        <v>6644.121000000001</v>
      </c>
    </row>
    <row r="28" spans="2:55" x14ac:dyDescent="0.25">
      <c r="AG28" t="s">
        <v>67</v>
      </c>
      <c r="AH28" s="89">
        <v>-74065.522700000001</v>
      </c>
      <c r="AI28" s="89">
        <v>-7999.890800000001</v>
      </c>
      <c r="AJ28" s="89">
        <v>-97630.227099999989</v>
      </c>
      <c r="AK28" s="89">
        <v>-12506.788999999999</v>
      </c>
      <c r="AL28" s="89">
        <v>-36966.702899999997</v>
      </c>
      <c r="AM28" s="89">
        <v>-23513.969400000002</v>
      </c>
      <c r="AN28" s="89">
        <v>-29281.850499999997</v>
      </c>
      <c r="AO28" s="89">
        <v>-81259.241799999989</v>
      </c>
      <c r="AP28" s="89">
        <v>-57798.417199999996</v>
      </c>
      <c r="AQ28" s="89">
        <v>-140320.79839999997</v>
      </c>
      <c r="AR28" s="89">
        <v>-81649.166799999992</v>
      </c>
      <c r="AS28" s="89">
        <v>-47670.201999999997</v>
      </c>
      <c r="AT28" s="89">
        <v>-40658.0337</v>
      </c>
      <c r="AU28" s="89">
        <v>-128515.69019999997</v>
      </c>
      <c r="AV28" s="89">
        <v>-71244.835100000026</v>
      </c>
      <c r="AW28" s="89">
        <v>-61554.281999999985</v>
      </c>
      <c r="AX28" s="89">
        <v>-37942.943700000003</v>
      </c>
      <c r="AY28" s="89">
        <v>-25922.004199999999</v>
      </c>
      <c r="AZ28" s="89">
        <v>-3158.1818999999987</v>
      </c>
      <c r="BA28" s="89">
        <v>-25109.216199999999</v>
      </c>
      <c r="BB28" s="89">
        <v>-37321.883800000003</v>
      </c>
      <c r="BC28" s="89">
        <v>-61460.149000000005</v>
      </c>
    </row>
    <row r="30" spans="2:55" ht="15.75" thickBot="1" x14ac:dyDescent="0.3"/>
    <row r="31" spans="2:55" ht="15.75" thickBot="1" x14ac:dyDescent="0.3">
      <c r="B31" s="17"/>
      <c r="C31" s="22" t="s">
        <v>68</v>
      </c>
      <c r="D31" s="22">
        <v>45777</v>
      </c>
      <c r="E31" t="s">
        <v>69</v>
      </c>
      <c r="F31" t="s">
        <v>70</v>
      </c>
      <c r="G31" s="22">
        <v>45778</v>
      </c>
    </row>
    <row r="32" spans="2:55" ht="15.75" thickBot="1" x14ac:dyDescent="0.3">
      <c r="B32" s="18" t="s">
        <v>0</v>
      </c>
      <c r="C32" s="23"/>
      <c r="D32" s="23">
        <v>105669.35</v>
      </c>
      <c r="E32" s="75">
        <v>301928.55</v>
      </c>
      <c r="F32" s="40">
        <v>309442.94999999995</v>
      </c>
      <c r="G32" s="23">
        <v>181292.42</v>
      </c>
      <c r="K32" s="40">
        <v>309442.94999999995</v>
      </c>
    </row>
    <row r="33" spans="2:12" ht="15.75" x14ac:dyDescent="0.25">
      <c r="B33" s="19" t="s">
        <v>71</v>
      </c>
      <c r="C33" s="24" t="s">
        <v>13</v>
      </c>
      <c r="D33" s="24">
        <v>116.63</v>
      </c>
      <c r="E33" s="73">
        <v>0</v>
      </c>
      <c r="G33" s="24">
        <v>-116.63</v>
      </c>
      <c r="K33" s="39">
        <v>847283.99</v>
      </c>
    </row>
    <row r="34" spans="2:12" ht="16.5" thickBot="1" x14ac:dyDescent="0.3">
      <c r="B34" s="20" t="s">
        <v>72</v>
      </c>
      <c r="C34" s="25" t="s">
        <v>14</v>
      </c>
      <c r="D34" s="25">
        <v>0</v>
      </c>
      <c r="E34" s="73">
        <v>0</v>
      </c>
      <c r="G34" s="25">
        <v>0</v>
      </c>
      <c r="K34" s="66">
        <v>269956.40000000002</v>
      </c>
    </row>
    <row r="35" spans="2:12" ht="15.75" x14ac:dyDescent="0.25">
      <c r="B35" s="20" t="s">
        <v>73</v>
      </c>
      <c r="C35" s="25" t="s">
        <v>15</v>
      </c>
      <c r="D35" s="25">
        <v>0</v>
      </c>
      <c r="E35" s="73">
        <v>0</v>
      </c>
      <c r="G35" s="25">
        <v>3040.3</v>
      </c>
      <c r="K35" s="67">
        <v>338692.64</v>
      </c>
    </row>
    <row r="36" spans="2:12" ht="15.75" x14ac:dyDescent="0.25">
      <c r="B36" s="20" t="s">
        <v>74</v>
      </c>
      <c r="C36" s="25" t="s">
        <v>16</v>
      </c>
      <c r="D36" s="25">
        <v>2008.75</v>
      </c>
      <c r="E36" s="76">
        <v>71366.259999999995</v>
      </c>
      <c r="G36" s="25">
        <v>31112.31</v>
      </c>
    </row>
    <row r="37" spans="2:12" ht="15.75" x14ac:dyDescent="0.25">
      <c r="B37" s="20" t="s">
        <v>75</v>
      </c>
      <c r="C37" s="25" t="s">
        <v>17</v>
      </c>
      <c r="D37" s="25">
        <v>0</v>
      </c>
      <c r="E37" s="77">
        <v>8321.8799999999992</v>
      </c>
      <c r="G37" s="25">
        <v>8321.8799999999992</v>
      </c>
    </row>
    <row r="38" spans="2:12" ht="15.75" x14ac:dyDescent="0.25">
      <c r="B38" s="20" t="s">
        <v>76</v>
      </c>
      <c r="C38" s="25" t="s">
        <v>8</v>
      </c>
      <c r="D38" s="25">
        <v>17387.849999999999</v>
      </c>
      <c r="E38" s="76">
        <v>36241.57</v>
      </c>
      <c r="G38" s="25">
        <v>33844.65</v>
      </c>
    </row>
    <row r="39" spans="2:12" ht="15.75" x14ac:dyDescent="0.25">
      <c r="B39" s="20" t="s">
        <v>77</v>
      </c>
      <c r="C39" s="25" t="s">
        <v>9</v>
      </c>
      <c r="D39" s="25">
        <v>0</v>
      </c>
      <c r="E39" s="76">
        <v>20072.88</v>
      </c>
      <c r="G39" s="25">
        <v>41904.400000000001</v>
      </c>
    </row>
    <row r="40" spans="2:12" ht="15.75" x14ac:dyDescent="0.25">
      <c r="B40" s="20" t="s">
        <v>78</v>
      </c>
      <c r="C40" s="25" t="s">
        <v>10</v>
      </c>
      <c r="D40" s="25">
        <v>22089.32</v>
      </c>
      <c r="E40" s="76">
        <v>31398.09</v>
      </c>
      <c r="G40" s="25">
        <v>15015.54</v>
      </c>
    </row>
    <row r="41" spans="2:12" ht="15.75" x14ac:dyDescent="0.25">
      <c r="B41" s="20" t="s">
        <v>79</v>
      </c>
      <c r="C41" s="25" t="s">
        <v>11</v>
      </c>
      <c r="D41" s="25">
        <v>6000.23</v>
      </c>
      <c r="E41" s="76">
        <v>73688.67</v>
      </c>
      <c r="G41" s="25">
        <v>20752.07</v>
      </c>
    </row>
    <row r="42" spans="2:12" ht="16.5" thickBot="1" x14ac:dyDescent="0.3">
      <c r="B42" s="21" t="s">
        <v>80</v>
      </c>
      <c r="C42" s="26" t="s">
        <v>12</v>
      </c>
      <c r="D42" s="26">
        <v>58066.57</v>
      </c>
      <c r="E42" s="78">
        <v>60839.199999999997</v>
      </c>
      <c r="G42" s="26">
        <v>27417.9</v>
      </c>
    </row>
    <row r="43" spans="2:12" ht="15.75" thickBot="1" x14ac:dyDescent="0.3">
      <c r="B43" s="27" t="s">
        <v>1</v>
      </c>
      <c r="C43" s="30"/>
      <c r="D43" s="30">
        <v>312817.74</v>
      </c>
      <c r="E43" s="71">
        <v>752897.88</v>
      </c>
      <c r="F43" s="39">
        <v>847283.99</v>
      </c>
      <c r="G43" s="35">
        <v>1158052.1600000001</v>
      </c>
    </row>
    <row r="44" spans="2:12" ht="15.75" x14ac:dyDescent="0.25">
      <c r="B44" s="19" t="s">
        <v>81</v>
      </c>
      <c r="C44" s="31" t="s">
        <v>18</v>
      </c>
      <c r="D44" s="31">
        <v>30048.03</v>
      </c>
      <c r="E44" s="72">
        <v>44739.4</v>
      </c>
      <c r="G44" s="36">
        <v>10809.15</v>
      </c>
    </row>
    <row r="45" spans="2:12" ht="15.75" x14ac:dyDescent="0.25">
      <c r="B45" s="20" t="s">
        <v>82</v>
      </c>
      <c r="C45" s="32" t="s">
        <v>19</v>
      </c>
      <c r="D45" s="32">
        <v>15513.8</v>
      </c>
      <c r="E45" s="72">
        <v>24536.799999999999</v>
      </c>
      <c r="G45" s="36">
        <v>12900</v>
      </c>
    </row>
    <row r="46" spans="2:12" ht="15.75" x14ac:dyDescent="0.25">
      <c r="B46" s="20" t="s">
        <v>83</v>
      </c>
      <c r="C46" s="32" t="s">
        <v>20</v>
      </c>
      <c r="D46" s="32">
        <v>26695.43</v>
      </c>
      <c r="E46" s="72">
        <v>167467.04</v>
      </c>
      <c r="G46" s="36">
        <v>303305.14</v>
      </c>
    </row>
    <row r="47" spans="2:12" ht="16.5" thickBot="1" x14ac:dyDescent="0.3">
      <c r="B47" s="20" t="s">
        <v>84</v>
      </c>
      <c r="C47" s="32" t="s">
        <v>21</v>
      </c>
      <c r="D47" s="32">
        <v>14074.36</v>
      </c>
      <c r="E47" s="72">
        <v>63581.11</v>
      </c>
      <c r="G47" s="36">
        <v>53506.75</v>
      </c>
    </row>
    <row r="48" spans="2:12" ht="16.5" thickBot="1" x14ac:dyDescent="0.3">
      <c r="B48" s="20" t="s">
        <v>85</v>
      </c>
      <c r="C48" s="32" t="s">
        <v>22</v>
      </c>
      <c r="D48" s="32">
        <v>6139</v>
      </c>
      <c r="E48" s="72">
        <v>24742.2</v>
      </c>
      <c r="G48" s="36">
        <v>22338.5</v>
      </c>
      <c r="K48" s="80">
        <v>105669.35</v>
      </c>
      <c r="L48" s="81">
        <v>301928.55</v>
      </c>
    </row>
    <row r="49" spans="2:12" ht="16.5" thickBot="1" x14ac:dyDescent="0.3">
      <c r="B49" s="20" t="s">
        <v>86</v>
      </c>
      <c r="C49" s="32" t="s">
        <v>23</v>
      </c>
      <c r="D49" s="32">
        <v>29394.75</v>
      </c>
      <c r="E49" s="72">
        <v>33710.58</v>
      </c>
      <c r="G49" s="36">
        <v>8810</v>
      </c>
      <c r="K49" s="82">
        <v>312817.74</v>
      </c>
      <c r="L49" s="83">
        <v>752897.88</v>
      </c>
    </row>
    <row r="50" spans="2:12" ht="16.5" thickBot="1" x14ac:dyDescent="0.3">
      <c r="B50" s="20" t="s">
        <v>87</v>
      </c>
      <c r="C50" s="32" t="s">
        <v>24</v>
      </c>
      <c r="D50" s="32">
        <v>0</v>
      </c>
      <c r="E50" s="72">
        <v>24973.49</v>
      </c>
      <c r="G50" s="36">
        <v>27216.37</v>
      </c>
      <c r="K50" s="84">
        <v>157128.10999999999</v>
      </c>
      <c r="L50" s="85">
        <v>238728.64</v>
      </c>
    </row>
    <row r="51" spans="2:12" ht="15.75" x14ac:dyDescent="0.25">
      <c r="B51" s="20" t="s">
        <v>88</v>
      </c>
      <c r="C51" s="32" t="s">
        <v>31</v>
      </c>
      <c r="D51" s="32">
        <v>2098.73</v>
      </c>
      <c r="E51" s="72">
        <v>0</v>
      </c>
      <c r="G51" s="36">
        <v>0</v>
      </c>
      <c r="K51" s="86">
        <v>105396.24</v>
      </c>
      <c r="L51" s="87">
        <v>248573.73</v>
      </c>
    </row>
    <row r="52" spans="2:12" ht="15.75" x14ac:dyDescent="0.25">
      <c r="B52" s="20" t="s">
        <v>89</v>
      </c>
      <c r="C52" s="32" t="s">
        <v>25</v>
      </c>
      <c r="D52" s="32">
        <v>55012.62</v>
      </c>
      <c r="E52" s="72">
        <v>9185.84</v>
      </c>
      <c r="G52" s="36">
        <v>12003.84</v>
      </c>
    </row>
    <row r="53" spans="2:12" ht="15.75" x14ac:dyDescent="0.25">
      <c r="B53" s="20" t="s">
        <v>90</v>
      </c>
      <c r="C53" s="32" t="s">
        <v>26</v>
      </c>
      <c r="D53" s="32">
        <v>37798.949999999997</v>
      </c>
      <c r="E53" s="72">
        <v>39911.61</v>
      </c>
      <c r="G53" s="36">
        <v>55509.62</v>
      </c>
    </row>
    <row r="54" spans="2:12" ht="15.75" x14ac:dyDescent="0.25">
      <c r="B54" s="20" t="s">
        <v>91</v>
      </c>
      <c r="C54" s="32" t="s">
        <v>27</v>
      </c>
      <c r="D54" s="32">
        <v>31748.81</v>
      </c>
      <c r="E54" s="72">
        <v>26150</v>
      </c>
      <c r="G54" s="36">
        <v>33678.61</v>
      </c>
    </row>
    <row r="55" spans="2:12" ht="15.75" x14ac:dyDescent="0.25">
      <c r="B55" s="20" t="s">
        <v>92</v>
      </c>
      <c r="C55" s="32" t="s">
        <v>28</v>
      </c>
      <c r="D55" s="32">
        <v>5652.02</v>
      </c>
      <c r="E55" s="72">
        <v>225384.81</v>
      </c>
      <c r="G55" s="36">
        <v>278207.26</v>
      </c>
    </row>
    <row r="56" spans="2:12" ht="15.75" x14ac:dyDescent="0.25">
      <c r="B56" s="20" t="s">
        <v>93</v>
      </c>
      <c r="C56" s="32" t="s">
        <v>32</v>
      </c>
      <c r="D56" s="32">
        <v>6666.24</v>
      </c>
      <c r="E56" s="73">
        <v>0</v>
      </c>
      <c r="G56" s="37">
        <v>0</v>
      </c>
    </row>
    <row r="57" spans="2:12" ht="15.75" x14ac:dyDescent="0.25">
      <c r="B57" s="28" t="s">
        <v>94</v>
      </c>
      <c r="C57" s="33" t="s">
        <v>29</v>
      </c>
      <c r="D57" s="33">
        <v>51975</v>
      </c>
      <c r="E57" s="73">
        <v>56525</v>
      </c>
      <c r="G57" s="37">
        <v>326920</v>
      </c>
    </row>
    <row r="58" spans="2:12" ht="16.5" thickBot="1" x14ac:dyDescent="0.3">
      <c r="B58" s="29" t="s">
        <v>95</v>
      </c>
      <c r="C58" s="34" t="s">
        <v>30</v>
      </c>
      <c r="D58" s="34">
        <v>0</v>
      </c>
      <c r="E58" s="74">
        <v>11990</v>
      </c>
      <c r="G58" s="38">
        <v>12846.92</v>
      </c>
    </row>
    <row r="59" spans="2:12" ht="15.75" thickBot="1" x14ac:dyDescent="0.3">
      <c r="B59" s="51" t="s">
        <v>96</v>
      </c>
      <c r="C59" s="41"/>
      <c r="D59" s="41">
        <v>157128.10999999999</v>
      </c>
      <c r="E59" s="59">
        <v>238728.64</v>
      </c>
      <c r="F59" s="66">
        <v>269956.40000000002</v>
      </c>
      <c r="G59" s="59">
        <v>388255.87</v>
      </c>
    </row>
    <row r="60" spans="2:12" x14ac:dyDescent="0.25">
      <c r="B60" s="52" t="s">
        <v>97</v>
      </c>
      <c r="C60" s="42" t="s">
        <v>35</v>
      </c>
      <c r="D60" s="42">
        <v>9699.36</v>
      </c>
      <c r="E60" s="43">
        <v>637.30999999999995</v>
      </c>
      <c r="G60" s="60">
        <v>29599.16</v>
      </c>
    </row>
    <row r="61" spans="2:12" x14ac:dyDescent="0.25">
      <c r="B61" s="53" t="s">
        <v>98</v>
      </c>
      <c r="C61" s="43" t="s">
        <v>34</v>
      </c>
      <c r="D61" s="43">
        <v>-15142</v>
      </c>
      <c r="E61" s="42">
        <v>38750</v>
      </c>
      <c r="G61" s="61">
        <v>48137.5</v>
      </c>
    </row>
    <row r="62" spans="2:12" x14ac:dyDescent="0.25">
      <c r="B62" s="53" t="s">
        <v>99</v>
      </c>
      <c r="C62" s="79" t="s">
        <v>36</v>
      </c>
      <c r="D62" s="44">
        <v>5294.25</v>
      </c>
      <c r="E62" s="42">
        <v>10074.73</v>
      </c>
      <c r="G62" s="61">
        <v>6780.48</v>
      </c>
    </row>
    <row r="63" spans="2:12" x14ac:dyDescent="0.25">
      <c r="B63" s="53" t="s">
        <v>100</v>
      </c>
      <c r="C63" s="43" t="s">
        <v>37</v>
      </c>
      <c r="D63" s="43">
        <v>18306</v>
      </c>
      <c r="E63" s="42">
        <v>14569.33</v>
      </c>
      <c r="G63" s="61">
        <v>5350.32</v>
      </c>
    </row>
    <row r="64" spans="2:12" x14ac:dyDescent="0.25">
      <c r="B64" s="53" t="s">
        <v>101</v>
      </c>
      <c r="C64" s="43" t="s">
        <v>39</v>
      </c>
      <c r="D64" s="43">
        <v>0</v>
      </c>
      <c r="E64" s="43">
        <v>6400</v>
      </c>
      <c r="G64" s="60">
        <v>3463.86</v>
      </c>
    </row>
    <row r="65" spans="2:7" x14ac:dyDescent="0.25">
      <c r="B65" s="53" t="s">
        <v>102</v>
      </c>
      <c r="C65" s="43" t="s">
        <v>38</v>
      </c>
      <c r="D65" s="43">
        <v>5040.6899999999996</v>
      </c>
      <c r="E65" s="42">
        <v>12109.98</v>
      </c>
      <c r="G65" s="61">
        <v>17664.27</v>
      </c>
    </row>
    <row r="66" spans="2:7" x14ac:dyDescent="0.25">
      <c r="B66" s="53" t="s">
        <v>103</v>
      </c>
      <c r="C66" s="43" t="s">
        <v>33</v>
      </c>
      <c r="D66" s="43">
        <v>51120.46</v>
      </c>
      <c r="E66" s="42">
        <v>67838.64</v>
      </c>
      <c r="G66" s="61">
        <v>202124.16</v>
      </c>
    </row>
    <row r="67" spans="2:7" ht="15.75" thickBot="1" x14ac:dyDescent="0.3">
      <c r="B67" s="53" t="s">
        <v>104</v>
      </c>
      <c r="C67" s="45" t="s">
        <v>40</v>
      </c>
      <c r="D67" s="45">
        <v>82809.350000000006</v>
      </c>
      <c r="E67" s="68">
        <v>88348.65</v>
      </c>
      <c r="G67" s="62">
        <v>75136.12</v>
      </c>
    </row>
    <row r="68" spans="2:7" ht="15.75" thickBot="1" x14ac:dyDescent="0.3">
      <c r="B68" s="54" t="s">
        <v>105</v>
      </c>
      <c r="C68" s="46"/>
      <c r="D68" s="46">
        <v>105396.24</v>
      </c>
      <c r="E68" s="69">
        <v>248573.73</v>
      </c>
      <c r="F68" s="67">
        <v>338692.64</v>
      </c>
      <c r="G68" s="63">
        <v>798355.26</v>
      </c>
    </row>
    <row r="69" spans="2:7" x14ac:dyDescent="0.25">
      <c r="B69" s="55" t="s">
        <v>106</v>
      </c>
      <c r="C69" s="47" t="s">
        <v>41</v>
      </c>
      <c r="D69" s="47">
        <v>13272.48</v>
      </c>
      <c r="E69" s="47">
        <v>1695</v>
      </c>
      <c r="G69" s="64">
        <v>196753.06</v>
      </c>
    </row>
    <row r="70" spans="2:7" x14ac:dyDescent="0.25">
      <c r="B70" s="56" t="s">
        <v>107</v>
      </c>
      <c r="C70" s="43" t="s">
        <v>42</v>
      </c>
      <c r="D70" s="43">
        <v>4586.76</v>
      </c>
      <c r="E70" s="42">
        <v>22889.89</v>
      </c>
      <c r="G70" s="61">
        <v>165952.95999999999</v>
      </c>
    </row>
    <row r="71" spans="2:7" x14ac:dyDescent="0.25">
      <c r="B71" s="56" t="s">
        <v>108</v>
      </c>
      <c r="C71" s="48" t="s">
        <v>47</v>
      </c>
      <c r="D71" s="48">
        <v>24935.27</v>
      </c>
      <c r="E71" s="42">
        <v>3281.7</v>
      </c>
      <c r="G71" s="61">
        <v>2986.08</v>
      </c>
    </row>
    <row r="72" spans="2:7" x14ac:dyDescent="0.25">
      <c r="B72" s="56" t="s">
        <v>109</v>
      </c>
      <c r="C72" s="49" t="s">
        <v>44</v>
      </c>
      <c r="D72" s="49">
        <v>0</v>
      </c>
      <c r="E72" s="43">
        <v>50000</v>
      </c>
      <c r="G72" s="60">
        <v>66055.039999999994</v>
      </c>
    </row>
    <row r="73" spans="2:7" x14ac:dyDescent="0.25">
      <c r="B73" s="56" t="s">
        <v>110</v>
      </c>
      <c r="C73" s="43" t="s">
        <v>48</v>
      </c>
      <c r="D73" s="43">
        <v>43710.34</v>
      </c>
      <c r="E73" s="42">
        <v>52888.7</v>
      </c>
      <c r="G73" s="61">
        <v>80710.37</v>
      </c>
    </row>
    <row r="74" spans="2:7" x14ac:dyDescent="0.25">
      <c r="B74" s="57" t="s">
        <v>111</v>
      </c>
      <c r="C74" s="45" t="s">
        <v>45</v>
      </c>
      <c r="D74" s="45">
        <v>7472.31</v>
      </c>
      <c r="E74" s="42">
        <v>54221.35</v>
      </c>
      <c r="G74" s="61">
        <v>186681.99</v>
      </c>
    </row>
    <row r="75" spans="2:7" x14ac:dyDescent="0.25">
      <c r="B75" s="56" t="s">
        <v>112</v>
      </c>
      <c r="C75" s="43" t="s">
        <v>46</v>
      </c>
      <c r="D75" s="43">
        <v>9040.17</v>
      </c>
      <c r="E75" s="42">
        <v>46136.05</v>
      </c>
      <c r="G75" s="61">
        <v>12289.5</v>
      </c>
    </row>
    <row r="76" spans="2:7" ht="15.75" thickBot="1" x14ac:dyDescent="0.3">
      <c r="B76" s="58" t="s">
        <v>113</v>
      </c>
      <c r="C76" s="50" t="s">
        <v>43</v>
      </c>
      <c r="D76" s="50">
        <v>2378.91</v>
      </c>
      <c r="E76" s="70">
        <v>17461.04</v>
      </c>
      <c r="G76" s="65">
        <v>86926.26</v>
      </c>
    </row>
  </sheetData>
  <conditionalFormatting sqref="AI20:BC23 I20:AH24 AI24:AW24">
    <cfRule type="containsText" dxfId="57" priority="1" operator="containsText" text="NoBudget">
      <formula>NOT(ISERROR(SEARCH("NoBudget",I20)))</formula>
    </cfRule>
    <cfRule type="cellIs" dxfId="56" priority="2" operator="lessThan">
      <formula>0</formula>
    </cfRule>
    <cfRule type="cellIs" dxfId="55" priority="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F75A-5C17-47C4-84CE-10839DB761CF}">
  <dimension ref="C2:BD76"/>
  <sheetViews>
    <sheetView workbookViewId="0"/>
  </sheetViews>
  <sheetFormatPr defaultRowHeight="15" x14ac:dyDescent="0.25"/>
  <cols>
    <col min="3" max="3" width="32" bestFit="1" customWidth="1"/>
    <col min="5" max="5" width="14.85546875" bestFit="1" customWidth="1"/>
    <col min="14" max="14" width="11.28515625" bestFit="1" customWidth="1"/>
    <col min="34" max="34" width="8" bestFit="1" customWidth="1"/>
    <col min="35" max="35" width="8.7109375" bestFit="1" customWidth="1"/>
    <col min="36" max="36" width="9.7109375" bestFit="1" customWidth="1"/>
    <col min="37" max="40" width="8.7109375" bestFit="1" customWidth="1"/>
    <col min="41" max="42" width="9.7109375" bestFit="1" customWidth="1"/>
    <col min="43" max="43" width="8.7109375" bestFit="1" customWidth="1"/>
    <col min="44" max="48" width="9.7109375" bestFit="1" customWidth="1"/>
    <col min="49" max="49" width="8.7109375" bestFit="1" customWidth="1"/>
    <col min="50" max="51" width="9.7109375" bestFit="1" customWidth="1"/>
    <col min="52" max="52" width="8.7109375" bestFit="1" customWidth="1"/>
    <col min="53" max="53" width="9.7109375" bestFit="1" customWidth="1"/>
    <col min="54" max="55" width="8.7109375" bestFit="1" customWidth="1"/>
    <col min="56" max="56" width="9.7109375" bestFit="1" customWidth="1"/>
  </cols>
  <sheetData>
    <row r="2" spans="3:56" x14ac:dyDescent="0.25"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1" t="s">
        <v>8</v>
      </c>
      <c r="K2" s="11" t="s">
        <v>9</v>
      </c>
      <c r="L2" s="11" t="s">
        <v>10</v>
      </c>
      <c r="M2" s="11" t="s">
        <v>114</v>
      </c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94" t="s">
        <v>34</v>
      </c>
      <c r="AJ2" s="94" t="s">
        <v>35</v>
      </c>
      <c r="AK2" s="94" t="s">
        <v>36</v>
      </c>
      <c r="AL2" s="94" t="s">
        <v>37</v>
      </c>
      <c r="AM2" s="94" t="s">
        <v>38</v>
      </c>
      <c r="AN2" s="94" t="s">
        <v>39</v>
      </c>
      <c r="AO2" s="94" t="s">
        <v>33</v>
      </c>
      <c r="AP2" s="94" t="s">
        <v>40</v>
      </c>
      <c r="AQ2" s="94" t="s">
        <v>41</v>
      </c>
      <c r="AR2" s="94" t="s">
        <v>42</v>
      </c>
      <c r="AS2" s="94" t="s">
        <v>43</v>
      </c>
      <c r="AT2" s="94" t="s">
        <v>44</v>
      </c>
      <c r="AU2" s="94" t="s">
        <v>45</v>
      </c>
      <c r="AV2" s="94" t="s">
        <v>46</v>
      </c>
      <c r="AW2" s="94" t="s">
        <v>47</v>
      </c>
      <c r="AX2" s="94" t="s">
        <v>48</v>
      </c>
      <c r="AY2" s="94" t="s">
        <v>49</v>
      </c>
      <c r="AZ2" s="94" t="s">
        <v>50</v>
      </c>
      <c r="BA2" s="94" t="s">
        <v>51</v>
      </c>
      <c r="BB2" s="94" t="s">
        <v>52</v>
      </c>
      <c r="BC2" s="94" t="s">
        <v>53</v>
      </c>
      <c r="BD2" s="94" t="s">
        <v>54</v>
      </c>
    </row>
    <row r="3" spans="3:56" x14ac:dyDescent="0.25">
      <c r="C3" s="90" t="s">
        <v>62</v>
      </c>
      <c r="D3" s="91">
        <v>4753.3900000000003</v>
      </c>
      <c r="E3" s="91">
        <v>51252.470000000008</v>
      </c>
      <c r="F3" s="91">
        <v>68984.460000000006</v>
      </c>
      <c r="G3" s="91">
        <v>3127.01</v>
      </c>
      <c r="H3" s="91">
        <v>11293.93</v>
      </c>
      <c r="I3" s="91">
        <v>1973.6699999999998</v>
      </c>
      <c r="J3" s="92">
        <v>19996.689999999999</v>
      </c>
      <c r="K3" s="92">
        <v>46884.149999999994</v>
      </c>
      <c r="L3" s="92">
        <v>70949.450000000012</v>
      </c>
      <c r="M3" s="92">
        <v>10863.439999999999</v>
      </c>
      <c r="N3" s="92">
        <v>37170.18</v>
      </c>
      <c r="O3" s="92">
        <v>12658.78</v>
      </c>
      <c r="P3" s="92">
        <v>4111.57</v>
      </c>
      <c r="Q3" s="92">
        <v>5024.1399999999994</v>
      </c>
      <c r="R3" s="92">
        <v>13474.310000000003</v>
      </c>
      <c r="S3" s="92">
        <v>19.060000000000002</v>
      </c>
      <c r="T3" s="12">
        <v>22005.33</v>
      </c>
      <c r="U3" s="12">
        <v>19469.620000000003</v>
      </c>
      <c r="V3" s="12">
        <v>12557.210000000001</v>
      </c>
      <c r="W3" s="12">
        <v>27165.419999999991</v>
      </c>
      <c r="X3" s="12">
        <v>10181.319999999998</v>
      </c>
      <c r="Y3" s="12">
        <v>15000.2</v>
      </c>
      <c r="Z3" s="12">
        <v>17689.100000000002</v>
      </c>
      <c r="AA3" s="12">
        <v>24336.35</v>
      </c>
      <c r="AB3" s="12">
        <v>15778.409999999998</v>
      </c>
      <c r="AC3" s="12">
        <v>12649.579999999998</v>
      </c>
      <c r="AD3" s="12">
        <v>39582.060000000005</v>
      </c>
      <c r="AE3" s="12">
        <v>27320.54</v>
      </c>
      <c r="AF3" s="12">
        <v>7344.08</v>
      </c>
      <c r="AG3" s="12">
        <v>976.45999999999992</v>
      </c>
      <c r="AH3" s="12">
        <v>25.869999999999997</v>
      </c>
      <c r="AI3" s="91">
        <v>6481.26</v>
      </c>
      <c r="AJ3" s="91">
        <v>32669.339999999997</v>
      </c>
      <c r="AK3" s="91">
        <v>12115.33</v>
      </c>
      <c r="AL3" s="91">
        <v>6236.6200000000008</v>
      </c>
      <c r="AM3" s="91">
        <v>8640.380000000001</v>
      </c>
      <c r="AN3" s="91">
        <v>3977.41</v>
      </c>
      <c r="AO3" s="91">
        <v>21934.519999999997</v>
      </c>
      <c r="AP3" s="91">
        <v>19559.689999999999</v>
      </c>
      <c r="AQ3" s="91">
        <v>21096.929999999997</v>
      </c>
      <c r="AR3" s="91">
        <v>27903.96</v>
      </c>
      <c r="AS3" s="91">
        <v>15294.09</v>
      </c>
      <c r="AT3" s="91">
        <v>37345.640000000014</v>
      </c>
      <c r="AU3" s="91">
        <v>21163.599999999995</v>
      </c>
      <c r="AV3" s="91">
        <v>22164.6</v>
      </c>
      <c r="AW3" s="91">
        <v>19800.309999999998</v>
      </c>
      <c r="AX3" s="91">
        <v>18984.669999999998</v>
      </c>
      <c r="AY3" s="91">
        <v>24458.699999999997</v>
      </c>
      <c r="AZ3" s="91">
        <v>16562.990000000002</v>
      </c>
      <c r="BA3" s="91">
        <v>17521.379999999997</v>
      </c>
      <c r="BB3" s="91">
        <v>22031.180000000004</v>
      </c>
      <c r="BC3" s="91">
        <v>15362.490000000002</v>
      </c>
      <c r="BD3" s="91">
        <v>25883.809999999994</v>
      </c>
    </row>
    <row r="4" spans="3:56" x14ac:dyDescent="0.25">
      <c r="C4" s="90" t="s">
        <v>63</v>
      </c>
      <c r="D4" s="91">
        <v>764.07999999999993</v>
      </c>
      <c r="E4" s="91">
        <v>9152.24</v>
      </c>
      <c r="F4" s="91">
        <v>13026.029999999999</v>
      </c>
      <c r="G4" s="91">
        <v>1079.57</v>
      </c>
      <c r="H4" s="91">
        <v>5308.0999999999995</v>
      </c>
      <c r="I4" s="91">
        <v>11.97</v>
      </c>
      <c r="J4" s="92">
        <v>8367.9599999999991</v>
      </c>
      <c r="K4" s="92">
        <v>3431.4700000000003</v>
      </c>
      <c r="L4" s="92">
        <v>27303.100000000002</v>
      </c>
      <c r="M4" s="92">
        <v>11757.220000000001</v>
      </c>
      <c r="N4" s="92">
        <v>12132.930000000002</v>
      </c>
      <c r="O4" s="92">
        <v>43212.549999999996</v>
      </c>
      <c r="P4" s="92">
        <v>14650.32</v>
      </c>
      <c r="Q4" s="92">
        <v>5456.53</v>
      </c>
      <c r="R4" s="92">
        <v>34874.25</v>
      </c>
      <c r="S4" s="92">
        <v>0</v>
      </c>
      <c r="T4" s="12">
        <v>32319.15</v>
      </c>
      <c r="U4" s="12">
        <v>8014.0600000000013</v>
      </c>
      <c r="V4" s="12">
        <v>4899.7</v>
      </c>
      <c r="W4" s="12">
        <v>6674.38</v>
      </c>
      <c r="X4" s="12">
        <v>4210.25</v>
      </c>
      <c r="Y4" s="12">
        <v>33441.270000000004</v>
      </c>
      <c r="Z4" s="12">
        <v>4881.74</v>
      </c>
      <c r="AA4" s="12">
        <v>117170.52000000002</v>
      </c>
      <c r="AB4" s="12">
        <v>86587.54</v>
      </c>
      <c r="AC4" s="12">
        <v>34723.75</v>
      </c>
      <c r="AD4" s="12">
        <v>64558.780000000006</v>
      </c>
      <c r="AE4" s="12">
        <v>31748.12</v>
      </c>
      <c r="AF4" s="12">
        <v>12523.560000000001</v>
      </c>
      <c r="AG4" s="12">
        <v>0</v>
      </c>
      <c r="AH4" s="12">
        <v>0</v>
      </c>
      <c r="AI4" s="89">
        <v>15490.4</v>
      </c>
      <c r="AJ4" s="89">
        <v>172931.21000000002</v>
      </c>
      <c r="AK4" s="89">
        <v>19683.919999999998</v>
      </c>
      <c r="AL4" s="89">
        <v>26396.91</v>
      </c>
      <c r="AM4" s="89">
        <v>28778.99</v>
      </c>
      <c r="AN4" s="89">
        <v>32192.649999999998</v>
      </c>
      <c r="AO4" s="89">
        <v>105365.7</v>
      </c>
      <c r="AP4" s="89">
        <v>107817.43</v>
      </c>
      <c r="AQ4" s="89">
        <v>40036.21</v>
      </c>
      <c r="AR4" s="89">
        <v>156809.53000000003</v>
      </c>
      <c r="AS4" s="89">
        <v>113484.73999999999</v>
      </c>
      <c r="AT4" s="89">
        <v>60844.569999999992</v>
      </c>
      <c r="AU4" s="89">
        <v>61513.54</v>
      </c>
      <c r="AV4" s="89">
        <v>145485.37000000002</v>
      </c>
      <c r="AW4" s="89">
        <v>58199.05999999999</v>
      </c>
      <c r="AX4" s="89">
        <v>77643.53</v>
      </c>
      <c r="AY4" s="89">
        <v>49935.67</v>
      </c>
      <c r="AZ4" s="89">
        <v>21040.74</v>
      </c>
      <c r="BA4" s="89">
        <v>14076.78</v>
      </c>
      <c r="BB4" s="89">
        <v>56221.919999999998</v>
      </c>
      <c r="BC4" s="89">
        <v>59623.280000000006</v>
      </c>
      <c r="BD4" s="89">
        <v>63091.549999999996</v>
      </c>
    </row>
    <row r="5" spans="3:56" x14ac:dyDescent="0.25">
      <c r="C5" s="90" t="s">
        <v>64</v>
      </c>
      <c r="D5" s="91">
        <v>0</v>
      </c>
      <c r="E5" s="91">
        <v>34640.21</v>
      </c>
      <c r="F5" s="91">
        <v>22988</v>
      </c>
      <c r="G5" s="91">
        <v>0</v>
      </c>
      <c r="H5" s="91">
        <v>-4871.46</v>
      </c>
      <c r="I5" s="91">
        <v>450009.46</v>
      </c>
      <c r="J5" s="92">
        <v>0</v>
      </c>
      <c r="K5" s="92">
        <v>816.25</v>
      </c>
      <c r="L5" s="92">
        <v>2163.2000000000003</v>
      </c>
      <c r="M5" s="92">
        <v>0</v>
      </c>
      <c r="N5" s="92">
        <v>9665.5</v>
      </c>
      <c r="O5" s="92">
        <v>75020.84</v>
      </c>
      <c r="P5" s="92">
        <v>182901.77000000002</v>
      </c>
      <c r="Q5" s="92">
        <v>118883.16</v>
      </c>
      <c r="R5" s="92">
        <v>132128.82</v>
      </c>
      <c r="S5" s="92">
        <v>508020.42</v>
      </c>
      <c r="T5" s="12">
        <v>353.27</v>
      </c>
      <c r="U5" s="12">
        <v>0</v>
      </c>
      <c r="V5" s="12">
        <v>28299.37</v>
      </c>
      <c r="W5" s="12">
        <v>0</v>
      </c>
      <c r="X5" s="12">
        <v>0</v>
      </c>
      <c r="Y5" s="12">
        <v>0</v>
      </c>
      <c r="Z5" s="12">
        <v>0</v>
      </c>
      <c r="AA5" s="12">
        <v>140251.31</v>
      </c>
      <c r="AB5" s="12">
        <v>122349.08000000003</v>
      </c>
      <c r="AC5" s="12">
        <v>170250.61</v>
      </c>
      <c r="AD5" s="12">
        <v>254388.66000000003</v>
      </c>
      <c r="AE5" s="12">
        <v>-23907.61</v>
      </c>
      <c r="AF5" s="12">
        <v>74459.260000000009</v>
      </c>
      <c r="AG5" s="12">
        <v>761754.8600000001</v>
      </c>
      <c r="AH5" s="12">
        <v>850094.45</v>
      </c>
      <c r="AI5" s="89">
        <v>42525.64</v>
      </c>
      <c r="AJ5" s="89">
        <v>181693.4</v>
      </c>
      <c r="AK5" s="89">
        <v>15613.899999999998</v>
      </c>
      <c r="AL5" s="89">
        <v>14758.800000000003</v>
      </c>
      <c r="AM5" s="89">
        <v>62952.36</v>
      </c>
      <c r="AN5" s="89">
        <v>41336.789999999994</v>
      </c>
      <c r="AO5" s="89">
        <v>277293.94</v>
      </c>
      <c r="AP5" s="89">
        <v>248359.75</v>
      </c>
      <c r="AQ5" s="89">
        <v>76115.110000000015</v>
      </c>
      <c r="AR5" s="89">
        <v>95893.709999999992</v>
      </c>
      <c r="AS5" s="89">
        <v>201454.46</v>
      </c>
      <c r="AT5" s="89">
        <v>300157.07</v>
      </c>
      <c r="AU5" s="89">
        <v>150144.03</v>
      </c>
      <c r="AV5" s="89">
        <v>62863.42</v>
      </c>
      <c r="AW5" s="89">
        <v>37633.839999999997</v>
      </c>
      <c r="AX5" s="89">
        <v>125153.57999999999</v>
      </c>
      <c r="AY5" s="89">
        <v>208711.52000000002</v>
      </c>
      <c r="AZ5" s="89">
        <v>79802.92</v>
      </c>
      <c r="BA5" s="89">
        <v>157893.04</v>
      </c>
      <c r="BB5" s="89">
        <v>85359.200000000012</v>
      </c>
      <c r="BC5" s="89">
        <v>26073.26</v>
      </c>
      <c r="BD5" s="89">
        <v>268942.21999999997</v>
      </c>
    </row>
    <row r="6" spans="3:56" x14ac:dyDescent="0.25">
      <c r="C6" s="90" t="s">
        <v>58</v>
      </c>
      <c r="D6" s="89">
        <v>542.9</v>
      </c>
      <c r="E6" s="89">
        <v>44271.99</v>
      </c>
      <c r="F6" s="89">
        <v>54321.009999999995</v>
      </c>
      <c r="G6" s="89">
        <v>1244.08</v>
      </c>
      <c r="H6" s="89">
        <v>9075.27</v>
      </c>
      <c r="I6" s="89">
        <v>15975.92</v>
      </c>
      <c r="J6" s="93">
        <v>29411.66</v>
      </c>
      <c r="K6" s="93">
        <v>33865.980000000003</v>
      </c>
      <c r="L6" s="93">
        <v>53985.53</v>
      </c>
      <c r="M6" s="93">
        <v>2763.87</v>
      </c>
      <c r="N6" s="93">
        <v>55104.619999999995</v>
      </c>
      <c r="O6" s="93">
        <v>14018.12</v>
      </c>
      <c r="P6" s="93">
        <v>7598.3099999999995</v>
      </c>
      <c r="Q6" s="93">
        <v>7088.72</v>
      </c>
      <c r="R6" s="93">
        <v>17555.02</v>
      </c>
      <c r="S6" s="93">
        <v>8101.57</v>
      </c>
      <c r="T6" s="12">
        <v>26779.559999999998</v>
      </c>
      <c r="U6" s="12">
        <v>25517.95</v>
      </c>
      <c r="V6" s="12">
        <v>33981.06</v>
      </c>
      <c r="W6" s="12">
        <v>39907.33</v>
      </c>
      <c r="X6" s="12">
        <v>15823.32</v>
      </c>
      <c r="Y6" s="12">
        <v>19205.05</v>
      </c>
      <c r="Z6" s="12">
        <v>30393.200000000001</v>
      </c>
      <c r="AA6" s="12">
        <v>36322.960000000006</v>
      </c>
      <c r="AB6" s="12">
        <v>22654.58</v>
      </c>
      <c r="AC6" s="12">
        <v>16642.919999999998</v>
      </c>
      <c r="AD6" s="12">
        <v>30874.95</v>
      </c>
      <c r="AE6" s="12">
        <v>35273.58</v>
      </c>
      <c r="AF6" s="12">
        <v>4085.8799999999997</v>
      </c>
      <c r="AG6" s="12">
        <v>15573.51</v>
      </c>
      <c r="AH6" s="12">
        <v>21466.57</v>
      </c>
      <c r="AI6" s="89">
        <v>10840.789999999999</v>
      </c>
      <c r="AJ6" s="89">
        <v>13051.37</v>
      </c>
      <c r="AK6" s="89">
        <v>11233.55</v>
      </c>
      <c r="AL6" s="89">
        <v>20388.810000000001</v>
      </c>
      <c r="AM6" s="89">
        <v>23082.37</v>
      </c>
      <c r="AN6" s="89">
        <v>5599.39</v>
      </c>
      <c r="AO6" s="89">
        <v>19489.41</v>
      </c>
      <c r="AP6" s="89">
        <v>16987.87</v>
      </c>
      <c r="AQ6" s="89">
        <v>12208.24</v>
      </c>
      <c r="AR6" s="89">
        <v>23077.64</v>
      </c>
      <c r="AS6" s="89">
        <v>10723</v>
      </c>
      <c r="AT6" s="89">
        <v>21867.53</v>
      </c>
      <c r="AU6" s="89">
        <v>27367.469999999998</v>
      </c>
      <c r="AV6" s="89">
        <v>21801.599999999999</v>
      </c>
      <c r="AW6" s="89">
        <v>26610.62</v>
      </c>
      <c r="AX6" s="89">
        <v>25620.21</v>
      </c>
      <c r="AY6" s="89">
        <v>6775.7200000000012</v>
      </c>
      <c r="AZ6" s="89">
        <v>5595.3000000000029</v>
      </c>
      <c r="BA6" s="89">
        <v>29220.66</v>
      </c>
      <c r="BB6" s="89">
        <v>26629.87</v>
      </c>
      <c r="BC6" s="89">
        <v>24153.94</v>
      </c>
      <c r="BD6" s="89">
        <v>19968.18</v>
      </c>
    </row>
    <row r="7" spans="3:56" x14ac:dyDescent="0.25">
      <c r="C7" s="90" t="s">
        <v>115</v>
      </c>
      <c r="D7" s="89"/>
      <c r="E7" s="89"/>
      <c r="F7" s="89"/>
      <c r="G7" s="89"/>
      <c r="H7" s="89"/>
      <c r="I7" s="89"/>
      <c r="J7" s="103">
        <v>0.2329904328018223</v>
      </c>
      <c r="K7" s="103">
        <v>0.14282416184971097</v>
      </c>
      <c r="L7" s="103">
        <v>0.64952451751250895</v>
      </c>
      <c r="M7" s="103">
        <v>5.6791606367583208E-2</v>
      </c>
      <c r="N7" s="103">
        <v>0.52289607285145134</v>
      </c>
      <c r="O7" s="103" t="s">
        <v>116</v>
      </c>
      <c r="P7" s="103" t="s">
        <v>116</v>
      </c>
      <c r="Q7" s="103">
        <v>1.4792433333333332</v>
      </c>
      <c r="R7" s="103">
        <v>0.36997037500000007</v>
      </c>
      <c r="S7" s="103" t="s">
        <v>116</v>
      </c>
      <c r="T7" s="103">
        <v>0.35560193236714976</v>
      </c>
      <c r="U7" s="103">
        <v>0.49144875084402428</v>
      </c>
      <c r="V7" s="103">
        <v>0.1959823261589404</v>
      </c>
      <c r="W7" s="103">
        <v>0.77062623612512615</v>
      </c>
      <c r="X7" s="103">
        <v>0.12989221556886227</v>
      </c>
      <c r="Y7" s="103">
        <v>9.2235566207309772E-2</v>
      </c>
      <c r="Z7" s="103">
        <v>0.14648557397176182</v>
      </c>
      <c r="AA7" s="103">
        <v>0.45999469714158148</v>
      </c>
      <c r="AB7" s="103">
        <v>0.81451147929780865</v>
      </c>
      <c r="AC7" s="103">
        <v>2.3882985950278166</v>
      </c>
      <c r="AD7" s="103">
        <v>0.7924501935332795</v>
      </c>
      <c r="AE7" s="103">
        <v>8.0896622238598878E-2</v>
      </c>
      <c r="AF7" s="103">
        <v>0.23646501714841422</v>
      </c>
      <c r="AG7" s="103">
        <v>0.5381358974358974</v>
      </c>
      <c r="AH7" s="103">
        <v>1.4933946969696967</v>
      </c>
      <c r="AI7" s="103">
        <v>0.17439661746617471</v>
      </c>
      <c r="AJ7" s="103">
        <v>0.39247328635490081</v>
      </c>
      <c r="AK7" s="103">
        <v>0.18230042060988436</v>
      </c>
      <c r="AL7" s="103">
        <v>0.1456588998443176</v>
      </c>
      <c r="AM7" s="103">
        <v>3.0531132646880677E-2</v>
      </c>
      <c r="AN7" s="103">
        <v>0.17505337763012183</v>
      </c>
      <c r="AO7" s="103">
        <v>0.63366834340991529</v>
      </c>
      <c r="AP7" s="103">
        <v>0.15879721515196885</v>
      </c>
      <c r="AQ7" s="103">
        <v>9.946943117672602E-2</v>
      </c>
      <c r="AR7" s="103">
        <v>0.51617457846951997</v>
      </c>
      <c r="AS7" s="103">
        <v>0.36957823064951251</v>
      </c>
      <c r="AT7" s="103">
        <v>0.11911727244485865</v>
      </c>
      <c r="AU7" s="103">
        <v>8.1010923623445821E-2</v>
      </c>
      <c r="AV7" s="103">
        <v>0.16246770049550374</v>
      </c>
      <c r="AW7" s="103">
        <v>0.42383454545454557</v>
      </c>
      <c r="AX7" s="103">
        <v>6.2412482580098114E-2</v>
      </c>
      <c r="AY7" s="89"/>
      <c r="AZ7" s="89"/>
      <c r="BA7" s="89"/>
      <c r="BB7" s="89"/>
      <c r="BC7" s="89"/>
      <c r="BD7" s="89"/>
    </row>
    <row r="8" spans="3:56" x14ac:dyDescent="0.25">
      <c r="C8" s="90" t="s">
        <v>117</v>
      </c>
    </row>
    <row r="10" spans="3:56" x14ac:dyDescent="0.25">
      <c r="C10" s="11" t="s">
        <v>61</v>
      </c>
      <c r="J10" s="11" t="s">
        <v>8</v>
      </c>
      <c r="K10" s="11" t="s">
        <v>9</v>
      </c>
      <c r="L10" s="11" t="s">
        <v>10</v>
      </c>
      <c r="M10" s="11" t="s">
        <v>114</v>
      </c>
      <c r="N10" s="11" t="s">
        <v>12</v>
      </c>
      <c r="O10" s="11" t="s">
        <v>13</v>
      </c>
      <c r="P10" s="11" t="s">
        <v>14</v>
      </c>
      <c r="Q10" s="11" t="s">
        <v>15</v>
      </c>
      <c r="R10" s="11" t="s">
        <v>16</v>
      </c>
      <c r="S10" s="11" t="s">
        <v>17</v>
      </c>
      <c r="T10" s="15" t="s">
        <v>18</v>
      </c>
      <c r="U10" s="15" t="s">
        <v>19</v>
      </c>
      <c r="V10" s="15" t="s">
        <v>20</v>
      </c>
      <c r="W10" s="15" t="s">
        <v>21</v>
      </c>
      <c r="X10" s="15" t="s">
        <v>22</v>
      </c>
      <c r="Y10" s="15" t="s">
        <v>23</v>
      </c>
      <c r="Z10" s="15" t="s">
        <v>24</v>
      </c>
      <c r="AA10" s="15" t="s">
        <v>25</v>
      </c>
      <c r="AB10" s="15" t="s">
        <v>26</v>
      </c>
      <c r="AC10" s="15" t="s">
        <v>27</v>
      </c>
      <c r="AD10" s="15" t="s">
        <v>28</v>
      </c>
      <c r="AE10" s="15" t="s">
        <v>29</v>
      </c>
      <c r="AF10" s="15" t="s">
        <v>30</v>
      </c>
      <c r="AG10" s="15" t="s">
        <v>31</v>
      </c>
      <c r="AH10" s="15" t="s">
        <v>32</v>
      </c>
      <c r="AI10" s="94" t="s">
        <v>34</v>
      </c>
      <c r="AJ10" s="94" t="s">
        <v>35</v>
      </c>
      <c r="AK10" s="94" t="s">
        <v>36</v>
      </c>
      <c r="AL10" s="94" t="s">
        <v>37</v>
      </c>
      <c r="AM10" s="94" t="s">
        <v>38</v>
      </c>
      <c r="AN10" s="94" t="s">
        <v>39</v>
      </c>
      <c r="AO10" s="94" t="s">
        <v>33</v>
      </c>
      <c r="AP10" s="94" t="s">
        <v>40</v>
      </c>
      <c r="AQ10" s="94" t="s">
        <v>41</v>
      </c>
      <c r="AR10" s="94" t="s">
        <v>42</v>
      </c>
      <c r="AS10" s="94" t="s">
        <v>43</v>
      </c>
      <c r="AT10" s="94" t="s">
        <v>44</v>
      </c>
      <c r="AU10" s="94" t="s">
        <v>45</v>
      </c>
      <c r="AV10" s="94" t="s">
        <v>46</v>
      </c>
      <c r="AW10" s="94" t="s">
        <v>47</v>
      </c>
      <c r="AX10" s="94" t="s">
        <v>48</v>
      </c>
      <c r="AY10" s="94" t="s">
        <v>49</v>
      </c>
      <c r="AZ10" s="94" t="s">
        <v>50</v>
      </c>
      <c r="BA10" s="94" t="s">
        <v>51</v>
      </c>
      <c r="BB10" s="94" t="s">
        <v>52</v>
      </c>
      <c r="BC10" s="94" t="s">
        <v>53</v>
      </c>
      <c r="BD10" s="94" t="s">
        <v>54</v>
      </c>
    </row>
    <row r="11" spans="3:56" x14ac:dyDescent="0.25">
      <c r="C11" s="13" t="s">
        <v>62</v>
      </c>
      <c r="J11" s="92">
        <v>21021.859999999997</v>
      </c>
      <c r="K11" s="92">
        <v>40448.179999999993</v>
      </c>
      <c r="L11" s="92">
        <v>65337.05</v>
      </c>
      <c r="M11" s="92">
        <v>10511.57</v>
      </c>
      <c r="N11" s="92">
        <v>38810.429999999993</v>
      </c>
      <c r="O11" s="92">
        <v>16707.57</v>
      </c>
      <c r="P11" s="92">
        <v>9379.74</v>
      </c>
      <c r="Q11" s="92">
        <v>7748.6600000000008</v>
      </c>
      <c r="R11" s="92">
        <v>18825.580000000002</v>
      </c>
      <c r="S11" s="92">
        <v>254.44</v>
      </c>
      <c r="T11" s="12">
        <v>11310.16</v>
      </c>
      <c r="U11" s="12">
        <v>9586.6500000000015</v>
      </c>
      <c r="V11" s="12">
        <v>14113.169999999998</v>
      </c>
      <c r="W11" s="12">
        <v>14721.61</v>
      </c>
      <c r="X11" s="12">
        <v>8606.77</v>
      </c>
      <c r="Y11" s="12">
        <v>10127.770000000002</v>
      </c>
      <c r="Z11" s="12">
        <v>12218.689999999999</v>
      </c>
      <c r="AA11" s="12">
        <v>9765.52</v>
      </c>
      <c r="AB11" s="12">
        <v>10089.299999999999</v>
      </c>
      <c r="AC11" s="12">
        <v>8808.86</v>
      </c>
      <c r="AD11" s="12">
        <v>15054.47</v>
      </c>
      <c r="AE11" s="12">
        <v>16466.089999999997</v>
      </c>
      <c r="AF11" s="12">
        <v>3488.11</v>
      </c>
      <c r="AG11" s="12">
        <v>0</v>
      </c>
      <c r="AH11" s="12">
        <v>396.88</v>
      </c>
      <c r="AI11" s="91">
        <v>7290.23</v>
      </c>
      <c r="AJ11" s="91">
        <v>27548.18</v>
      </c>
      <c r="AK11" s="91">
        <v>6774.33</v>
      </c>
      <c r="AL11" s="91">
        <v>13479.58</v>
      </c>
      <c r="AM11" s="91">
        <v>14337.59</v>
      </c>
      <c r="AN11" s="91">
        <v>9087.2100000000009</v>
      </c>
      <c r="AO11" s="91">
        <v>21910.61</v>
      </c>
      <c r="AP11" s="91">
        <v>24750.400000000001</v>
      </c>
      <c r="AQ11" s="91">
        <v>22268.18</v>
      </c>
      <c r="AR11" s="91">
        <v>23288.18</v>
      </c>
      <c r="AS11" s="91">
        <v>23793.71</v>
      </c>
      <c r="AT11" s="91">
        <v>25908.84</v>
      </c>
      <c r="AU11" s="91">
        <v>22294.370000000003</v>
      </c>
      <c r="AV11" s="91">
        <v>24091.96</v>
      </c>
      <c r="AW11" s="91">
        <v>21525.79</v>
      </c>
      <c r="AX11" s="91">
        <v>21110.219999999998</v>
      </c>
      <c r="AY11" s="91">
        <v>22259.65</v>
      </c>
      <c r="AZ11" s="91">
        <v>13502.4</v>
      </c>
      <c r="BA11" s="91">
        <v>24276.710000000003</v>
      </c>
      <c r="BB11" s="91">
        <v>18427.7</v>
      </c>
      <c r="BC11" s="91">
        <v>19970.14</v>
      </c>
      <c r="BD11" s="91">
        <v>22812.16</v>
      </c>
    </row>
    <row r="12" spans="3:56" x14ac:dyDescent="0.25">
      <c r="C12" s="13" t="s">
        <v>63</v>
      </c>
      <c r="J12" s="92">
        <v>4245.7000000000007</v>
      </c>
      <c r="K12" s="92">
        <v>2169.3000000000002</v>
      </c>
      <c r="L12" s="92">
        <v>6839.54</v>
      </c>
      <c r="M12" s="92">
        <v>3191.28</v>
      </c>
      <c r="N12" s="92">
        <v>4191.4799999999996</v>
      </c>
      <c r="O12" s="92">
        <v>31844.780000000002</v>
      </c>
      <c r="P12" s="92">
        <v>5222.5200000000004</v>
      </c>
      <c r="Q12" s="92">
        <v>7603.66</v>
      </c>
      <c r="R12" s="92">
        <v>31531.23</v>
      </c>
      <c r="S12" s="92">
        <v>0</v>
      </c>
      <c r="T12" s="12">
        <v>3633.07</v>
      </c>
      <c r="U12" s="12">
        <v>6938.04</v>
      </c>
      <c r="V12" s="12">
        <v>1990.48</v>
      </c>
      <c r="W12" s="12">
        <v>2317.3000000000002</v>
      </c>
      <c r="X12" s="12">
        <v>2845.05</v>
      </c>
      <c r="Y12" s="12">
        <v>3575.5600000000004</v>
      </c>
      <c r="Z12" s="12">
        <v>2270.6</v>
      </c>
      <c r="AA12" s="12">
        <v>67233.77</v>
      </c>
      <c r="AB12" s="12">
        <v>57108.840000000004</v>
      </c>
      <c r="AC12" s="12">
        <v>26030.81</v>
      </c>
      <c r="AD12" s="12">
        <v>38745.96</v>
      </c>
      <c r="AE12" s="12">
        <v>49773.42</v>
      </c>
      <c r="AF12" s="12">
        <v>8191.55</v>
      </c>
      <c r="AG12" s="12">
        <v>0</v>
      </c>
      <c r="AH12" s="12">
        <v>0</v>
      </c>
      <c r="AI12" s="91">
        <v>9835.6658000000007</v>
      </c>
      <c r="AJ12" s="91">
        <v>27464.905999999995</v>
      </c>
      <c r="AK12" s="91">
        <v>3172.0654000000004</v>
      </c>
      <c r="AL12" s="91">
        <v>14816.888199999999</v>
      </c>
      <c r="AM12" s="91">
        <v>14351.5772</v>
      </c>
      <c r="AN12" s="91">
        <v>9502.4376000000011</v>
      </c>
      <c r="AO12" s="91">
        <v>22657.924999999996</v>
      </c>
      <c r="AP12" s="91">
        <v>27535.133200000007</v>
      </c>
      <c r="AQ12" s="91">
        <v>25206.086599999999</v>
      </c>
      <c r="AR12" s="91">
        <v>24046.0448</v>
      </c>
      <c r="AS12" s="91">
        <v>24167.874599999999</v>
      </c>
      <c r="AT12" s="91">
        <v>27445.3992</v>
      </c>
      <c r="AU12" s="91">
        <v>24000.940399999999</v>
      </c>
      <c r="AV12" s="91">
        <v>27530.491600000001</v>
      </c>
      <c r="AW12" s="91">
        <v>23750.974199999993</v>
      </c>
      <c r="AX12" s="91">
        <v>23582.001399999997</v>
      </c>
      <c r="AY12" s="91">
        <v>24319.430799999998</v>
      </c>
      <c r="AZ12" s="91">
        <v>14625.571000000002</v>
      </c>
      <c r="BA12" s="91">
        <v>28879.669199999997</v>
      </c>
      <c r="BB12" s="91">
        <v>18836.090599999996</v>
      </c>
      <c r="BC12" s="91">
        <v>19184.422399999999</v>
      </c>
      <c r="BD12" s="91">
        <v>23865.757000000009</v>
      </c>
    </row>
    <row r="13" spans="3:56" x14ac:dyDescent="0.25">
      <c r="C13" s="13" t="s">
        <v>64</v>
      </c>
      <c r="J13" s="92">
        <v>0</v>
      </c>
      <c r="K13" s="92">
        <v>1600</v>
      </c>
      <c r="L13" s="92">
        <v>2695</v>
      </c>
      <c r="M13" s="92">
        <v>1600</v>
      </c>
      <c r="N13" s="92">
        <v>1666.63</v>
      </c>
      <c r="O13" s="92">
        <v>92379.839999999997</v>
      </c>
      <c r="P13" s="92">
        <v>136332.82</v>
      </c>
      <c r="Q13" s="92">
        <v>83029.69</v>
      </c>
      <c r="R13" s="92">
        <v>240875.00999999998</v>
      </c>
      <c r="S13" s="92">
        <v>510385.96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4800</v>
      </c>
      <c r="Z13" s="12">
        <v>0</v>
      </c>
      <c r="AA13" s="12">
        <v>87858.8</v>
      </c>
      <c r="AB13" s="12">
        <v>135815.15999999997</v>
      </c>
      <c r="AC13" s="12">
        <v>188960.27999999997</v>
      </c>
      <c r="AD13" s="12">
        <v>229853.24</v>
      </c>
      <c r="AE13" s="12">
        <v>60703.7</v>
      </c>
      <c r="AF13" s="12">
        <v>75019.820000000007</v>
      </c>
      <c r="AG13" s="12">
        <v>792281.5</v>
      </c>
      <c r="AH13" s="12">
        <v>901623.09</v>
      </c>
      <c r="AI13" s="91">
        <v>7638.63</v>
      </c>
      <c r="AJ13" s="91">
        <v>34110.379999999997</v>
      </c>
      <c r="AK13" s="91">
        <v>5558.83</v>
      </c>
      <c r="AL13" s="91">
        <v>11721.369999999999</v>
      </c>
      <c r="AM13" s="91">
        <v>12080.11</v>
      </c>
      <c r="AN13" s="91">
        <v>7880.2600000000011</v>
      </c>
      <c r="AO13" s="91">
        <v>28238.229999999996</v>
      </c>
      <c r="AP13" s="91">
        <v>24400.29</v>
      </c>
      <c r="AQ13" s="91">
        <v>21499</v>
      </c>
      <c r="AR13" s="91">
        <v>21546</v>
      </c>
      <c r="AS13" s="91">
        <v>20924.099999999999</v>
      </c>
      <c r="AT13" s="91">
        <v>26061.409999999996</v>
      </c>
      <c r="AU13" s="91">
        <v>26703.97</v>
      </c>
      <c r="AV13" s="91">
        <v>23695.140000000003</v>
      </c>
      <c r="AW13" s="91">
        <v>22034.68</v>
      </c>
      <c r="AX13" s="91">
        <v>19403.979999999996</v>
      </c>
      <c r="AY13" s="91">
        <v>25767.690000000002</v>
      </c>
      <c r="AZ13" s="91">
        <v>12017.71</v>
      </c>
      <c r="BA13" s="91">
        <v>30987.45</v>
      </c>
      <c r="BB13" s="91">
        <v>16214.02</v>
      </c>
      <c r="BC13" s="91">
        <v>15881.28</v>
      </c>
      <c r="BD13" s="91">
        <v>20001.02</v>
      </c>
    </row>
    <row r="14" spans="3:56" x14ac:dyDescent="0.25">
      <c r="C14" s="14" t="s">
        <v>65</v>
      </c>
      <c r="J14" s="92">
        <v>24869.91</v>
      </c>
      <c r="K14" s="92">
        <v>33563.83</v>
      </c>
      <c r="L14" s="92">
        <v>61725.96</v>
      </c>
      <c r="M14" s="92">
        <v>3825.33</v>
      </c>
      <c r="N14" s="92">
        <v>37726.699999999997</v>
      </c>
      <c r="O14" s="92">
        <v>19171.099999999999</v>
      </c>
      <c r="P14" s="92">
        <v>13282.14</v>
      </c>
      <c r="Q14" s="92">
        <v>8871.6299999999992</v>
      </c>
      <c r="R14" s="92">
        <v>24761.1</v>
      </c>
      <c r="S14" s="92">
        <v>18209.52</v>
      </c>
      <c r="T14" s="12">
        <v>34578.26</v>
      </c>
      <c r="U14" s="12">
        <v>27391.97</v>
      </c>
      <c r="V14" s="12">
        <v>38576.51</v>
      </c>
      <c r="W14" s="12">
        <v>43429.81</v>
      </c>
      <c r="X14" s="12">
        <v>18769.68</v>
      </c>
      <c r="Y14" s="12">
        <v>19708.079999999998</v>
      </c>
      <c r="Z14" s="12">
        <v>30371.19</v>
      </c>
      <c r="AA14" s="12">
        <v>17085.62</v>
      </c>
      <c r="AB14" s="12">
        <v>21612.030000000002</v>
      </c>
      <c r="AC14" s="12">
        <v>19504.32</v>
      </c>
      <c r="AD14" s="12">
        <v>26990.32</v>
      </c>
      <c r="AE14" s="12">
        <v>25936.29</v>
      </c>
      <c r="AF14" s="12">
        <v>7140.83</v>
      </c>
      <c r="AG14" s="12">
        <v>18125.34</v>
      </c>
      <c r="AH14" s="12">
        <v>25456.18</v>
      </c>
      <c r="AI14" s="91">
        <v>3741.33</v>
      </c>
      <c r="AJ14" s="91">
        <v>6382.28</v>
      </c>
      <c r="AK14" s="91">
        <v>1303.6199999999999</v>
      </c>
      <c r="AL14" s="91">
        <v>6059.64</v>
      </c>
      <c r="AM14" s="91">
        <v>5405.13</v>
      </c>
      <c r="AN14" s="91">
        <v>5817.28</v>
      </c>
      <c r="AO14" s="91">
        <v>9421.4500000000007</v>
      </c>
      <c r="AP14" s="91">
        <v>18648.330000000002</v>
      </c>
      <c r="AQ14" s="91">
        <v>11129.63</v>
      </c>
      <c r="AR14" s="91">
        <v>11923.27</v>
      </c>
      <c r="AS14" s="91">
        <v>6892.44</v>
      </c>
      <c r="AT14" s="91">
        <v>13066.56</v>
      </c>
      <c r="AU14" s="91">
        <v>13156.58</v>
      </c>
      <c r="AV14" s="91">
        <v>13819.79</v>
      </c>
      <c r="AW14" s="91">
        <v>9766.11</v>
      </c>
      <c r="AX14" s="91">
        <v>9646.7999999999993</v>
      </c>
      <c r="AY14" s="91">
        <v>18392.939999999999</v>
      </c>
      <c r="AZ14" s="91">
        <v>15221.43</v>
      </c>
      <c r="BA14" s="91">
        <v>21799.040000000001</v>
      </c>
      <c r="BB14" s="91">
        <v>14532.7</v>
      </c>
      <c r="BC14" s="91">
        <v>14532.7</v>
      </c>
      <c r="BD14" s="91">
        <v>18165.87</v>
      </c>
    </row>
    <row r="17" spans="3:56" x14ac:dyDescent="0.25">
      <c r="C17" s="11" t="s">
        <v>67</v>
      </c>
      <c r="J17" s="11" t="s">
        <v>8</v>
      </c>
      <c r="K17" s="11" t="s">
        <v>9</v>
      </c>
      <c r="L17" s="11" t="s">
        <v>10</v>
      </c>
      <c r="M17" s="11" t="s">
        <v>114</v>
      </c>
      <c r="N17" s="11" t="s">
        <v>12</v>
      </c>
      <c r="O17" s="11" t="s">
        <v>13</v>
      </c>
      <c r="P17" s="11" t="s">
        <v>14</v>
      </c>
      <c r="Q17" s="11" t="s">
        <v>15</v>
      </c>
      <c r="R17" s="11" t="s">
        <v>16</v>
      </c>
      <c r="S17" s="11" t="s">
        <v>17</v>
      </c>
      <c r="T17" s="15" t="s">
        <v>18</v>
      </c>
      <c r="U17" s="15" t="s">
        <v>19</v>
      </c>
      <c r="V17" s="15" t="s">
        <v>20</v>
      </c>
      <c r="W17" s="15" t="s">
        <v>21</v>
      </c>
      <c r="X17" s="15" t="s">
        <v>22</v>
      </c>
      <c r="Y17" s="15" t="s">
        <v>23</v>
      </c>
      <c r="Z17" s="15" t="s">
        <v>24</v>
      </c>
      <c r="AA17" s="15" t="s">
        <v>25</v>
      </c>
      <c r="AB17" s="15" t="s">
        <v>26</v>
      </c>
      <c r="AC17" s="15" t="s">
        <v>27</v>
      </c>
      <c r="AD17" s="15" t="s">
        <v>28</v>
      </c>
      <c r="AE17" s="15" t="s">
        <v>29</v>
      </c>
      <c r="AF17" s="15" t="s">
        <v>30</v>
      </c>
      <c r="AG17" s="15" t="s">
        <v>31</v>
      </c>
      <c r="AH17" s="15" t="s">
        <v>32</v>
      </c>
      <c r="AI17" s="11" t="s">
        <v>34</v>
      </c>
      <c r="AJ17" s="11" t="s">
        <v>35</v>
      </c>
      <c r="AK17" s="11" t="s">
        <v>36</v>
      </c>
      <c r="AL17" s="11" t="s">
        <v>37</v>
      </c>
      <c r="AM17" s="11" t="s">
        <v>38</v>
      </c>
      <c r="AN17" s="11" t="s">
        <v>39</v>
      </c>
      <c r="AO17" s="11" t="s">
        <v>33</v>
      </c>
      <c r="AP17" s="11" t="s">
        <v>40</v>
      </c>
      <c r="AQ17" s="11" t="s">
        <v>41</v>
      </c>
      <c r="AR17" s="11" t="s">
        <v>42</v>
      </c>
      <c r="AS17" s="11" t="s">
        <v>43</v>
      </c>
      <c r="AT17" s="11" t="s">
        <v>44</v>
      </c>
      <c r="AU17" s="11" t="s">
        <v>45</v>
      </c>
      <c r="AV17" s="11" t="s">
        <v>46</v>
      </c>
      <c r="AW17" s="11" t="s">
        <v>47</v>
      </c>
      <c r="AX17" s="11" t="s">
        <v>48</v>
      </c>
      <c r="AY17" s="11" t="s">
        <v>49</v>
      </c>
      <c r="AZ17" s="11" t="s">
        <v>50</v>
      </c>
      <c r="BA17" s="11" t="s">
        <v>51</v>
      </c>
      <c r="BB17" s="11" t="s">
        <v>52</v>
      </c>
      <c r="BC17" s="11" t="s">
        <v>53</v>
      </c>
      <c r="BD17" s="11" t="s">
        <v>54</v>
      </c>
    </row>
    <row r="18" spans="3:56" x14ac:dyDescent="0.25">
      <c r="C18" s="13" t="s">
        <v>62</v>
      </c>
      <c r="J18" s="93">
        <v>1025.1699999999983</v>
      </c>
      <c r="K18" s="93">
        <v>-6435.9700000000012</v>
      </c>
      <c r="L18" s="93">
        <v>-5612.4000000000087</v>
      </c>
      <c r="M18" s="93">
        <v>-351.86999999999898</v>
      </c>
      <c r="N18" s="93">
        <v>1640.2499999999927</v>
      </c>
      <c r="O18" s="93">
        <v>4048.7899999999991</v>
      </c>
      <c r="P18" s="93">
        <v>5268.17</v>
      </c>
      <c r="Q18" s="93">
        <v>2724.5200000000013</v>
      </c>
      <c r="R18" s="93">
        <v>5351.2699999999986</v>
      </c>
      <c r="S18" s="93">
        <v>235.38</v>
      </c>
      <c r="T18" s="89">
        <v>-10695.170000000002</v>
      </c>
      <c r="U18" s="89">
        <v>-9882.9700000000012</v>
      </c>
      <c r="V18" s="89">
        <v>1555.9599999999973</v>
      </c>
      <c r="W18" s="89">
        <v>-12443.80999999999</v>
      </c>
      <c r="X18" s="89">
        <v>-1574.5499999999975</v>
      </c>
      <c r="Y18" s="89">
        <v>-4872.4299999999985</v>
      </c>
      <c r="Z18" s="89">
        <v>-5470.4100000000035</v>
      </c>
      <c r="AA18" s="89">
        <v>-14570.829999999998</v>
      </c>
      <c r="AB18" s="89">
        <v>-5689.1099999999988</v>
      </c>
      <c r="AC18" s="89">
        <v>-3840.7199999999975</v>
      </c>
      <c r="AD18" s="89">
        <v>-24527.590000000004</v>
      </c>
      <c r="AE18" s="89">
        <v>-10854.450000000004</v>
      </c>
      <c r="AF18" s="89">
        <v>-3855.97</v>
      </c>
      <c r="AG18" s="89">
        <v>-976.45999999999992</v>
      </c>
      <c r="AH18" s="89">
        <v>371.01</v>
      </c>
      <c r="AI18" s="89">
        <v>808.96999999999935</v>
      </c>
      <c r="AJ18" s="89">
        <v>-5121.1599999999962</v>
      </c>
      <c r="AK18" s="89">
        <v>-5341</v>
      </c>
      <c r="AL18" s="89">
        <v>7242.9599999999991</v>
      </c>
      <c r="AM18" s="89">
        <v>5697.2099999999991</v>
      </c>
      <c r="AN18" s="89">
        <v>5109.8000000000011</v>
      </c>
      <c r="AO18" s="89">
        <v>-23.909999999996217</v>
      </c>
      <c r="AP18" s="89">
        <v>5190.7100000000028</v>
      </c>
      <c r="AQ18" s="89">
        <v>1171.2500000000036</v>
      </c>
      <c r="AR18" s="89">
        <v>-4615.7799999999988</v>
      </c>
      <c r="AS18" s="89">
        <v>8499.619999999999</v>
      </c>
      <c r="AT18" s="89">
        <v>-11436.800000000014</v>
      </c>
      <c r="AU18" s="89">
        <v>1130.7700000000077</v>
      </c>
      <c r="AV18" s="89">
        <v>1927.3600000000006</v>
      </c>
      <c r="AW18" s="89">
        <v>1725.4800000000032</v>
      </c>
      <c r="AX18" s="89">
        <v>2125.5499999999993</v>
      </c>
      <c r="AY18" s="89">
        <v>-2199.0499999999956</v>
      </c>
      <c r="AZ18" s="89">
        <v>-3060.590000000002</v>
      </c>
      <c r="BA18" s="89">
        <v>6755.3300000000054</v>
      </c>
      <c r="BB18" s="89">
        <v>-3603.4800000000032</v>
      </c>
      <c r="BC18" s="89">
        <v>4607.6499999999978</v>
      </c>
      <c r="BD18" s="89">
        <v>-3071.6499999999942</v>
      </c>
    </row>
    <row r="19" spans="3:56" x14ac:dyDescent="0.25">
      <c r="C19" s="13" t="s">
        <v>63</v>
      </c>
      <c r="J19" s="93">
        <v>-4122.2599999999984</v>
      </c>
      <c r="K19" s="93">
        <v>-1262.17</v>
      </c>
      <c r="L19" s="93">
        <v>-20463.560000000001</v>
      </c>
      <c r="M19" s="93">
        <v>-8565.94</v>
      </c>
      <c r="N19" s="93">
        <v>-7941.4500000000025</v>
      </c>
      <c r="O19" s="93">
        <v>-11367.769999999993</v>
      </c>
      <c r="P19" s="93">
        <v>-9427.7999999999993</v>
      </c>
      <c r="Q19" s="93">
        <v>2147.13</v>
      </c>
      <c r="R19" s="93">
        <v>-3343.0200000000004</v>
      </c>
      <c r="S19" s="93">
        <v>0</v>
      </c>
      <c r="T19" s="89">
        <v>-28686.080000000002</v>
      </c>
      <c r="U19" s="89">
        <v>-1076.0200000000013</v>
      </c>
      <c r="V19" s="89">
        <v>-2909.22</v>
      </c>
      <c r="W19" s="89">
        <v>-4357.08</v>
      </c>
      <c r="X19" s="89">
        <v>-1365.1999999999998</v>
      </c>
      <c r="Y19" s="89">
        <v>-29865.710000000003</v>
      </c>
      <c r="Z19" s="89">
        <v>-2611.14</v>
      </c>
      <c r="AA19" s="89">
        <v>-49936.750000000015</v>
      </c>
      <c r="AB19" s="89">
        <v>-29478.69999999999</v>
      </c>
      <c r="AC19" s="89">
        <v>-8692.9399999999987</v>
      </c>
      <c r="AD19" s="89">
        <v>-25812.820000000007</v>
      </c>
      <c r="AE19" s="89">
        <v>18025.3</v>
      </c>
      <c r="AF19" s="89">
        <v>-4332.0100000000011</v>
      </c>
      <c r="AG19" s="89">
        <v>0</v>
      </c>
      <c r="AH19" s="89">
        <v>0</v>
      </c>
      <c r="AI19" s="89">
        <v>-5654.734199999999</v>
      </c>
      <c r="AJ19" s="89">
        <v>-145466.30400000003</v>
      </c>
      <c r="AK19" s="89">
        <v>-16511.854599999999</v>
      </c>
      <c r="AL19" s="89">
        <v>-11580.0218</v>
      </c>
      <c r="AM19" s="89">
        <v>-14427.412800000002</v>
      </c>
      <c r="AN19" s="89">
        <v>-22690.212399999997</v>
      </c>
      <c r="AO19" s="89">
        <v>-82707.774999999994</v>
      </c>
      <c r="AP19" s="89">
        <v>-80282.296799999982</v>
      </c>
      <c r="AQ19" s="89">
        <v>-14830.1234</v>
      </c>
      <c r="AR19" s="89">
        <v>-132763.48520000002</v>
      </c>
      <c r="AS19" s="89">
        <v>-89316.865399999995</v>
      </c>
      <c r="AT19" s="89">
        <v>-33399.170799999993</v>
      </c>
      <c r="AU19" s="89">
        <v>-37512.599600000001</v>
      </c>
      <c r="AV19" s="89">
        <v>-117954.87840000002</v>
      </c>
      <c r="AW19" s="89">
        <v>-34448.085800000001</v>
      </c>
      <c r="AX19" s="89">
        <v>-54061.528600000005</v>
      </c>
      <c r="AY19" s="89">
        <v>-25616.2392</v>
      </c>
      <c r="AZ19" s="89">
        <v>-6415.1689999999999</v>
      </c>
      <c r="BA19" s="89">
        <v>14802.889199999996</v>
      </c>
      <c r="BB19" s="89">
        <v>-37385.829400000002</v>
      </c>
      <c r="BC19" s="89">
        <v>-40438.857600000003</v>
      </c>
      <c r="BD19" s="89">
        <v>-39225.792999999991</v>
      </c>
    </row>
    <row r="20" spans="3:56" x14ac:dyDescent="0.25">
      <c r="C20" s="13" t="s">
        <v>64</v>
      </c>
      <c r="J20" s="93">
        <v>0</v>
      </c>
      <c r="K20" s="93">
        <v>783.75</v>
      </c>
      <c r="L20" s="93">
        <v>531.79999999999973</v>
      </c>
      <c r="M20" s="93">
        <v>1600</v>
      </c>
      <c r="N20" s="93">
        <v>-7998.87</v>
      </c>
      <c r="O20" s="93">
        <v>17359</v>
      </c>
      <c r="P20" s="93">
        <v>-46568.950000000012</v>
      </c>
      <c r="Q20" s="93">
        <v>-35853.47</v>
      </c>
      <c r="R20" s="93">
        <v>108746.18999999997</v>
      </c>
      <c r="S20" s="93">
        <v>2365.5400000000373</v>
      </c>
      <c r="T20" s="89">
        <v>-353.27</v>
      </c>
      <c r="U20" s="89">
        <v>0</v>
      </c>
      <c r="V20" s="89">
        <v>-28299.37</v>
      </c>
      <c r="W20" s="89">
        <v>0</v>
      </c>
      <c r="X20" s="89">
        <v>0</v>
      </c>
      <c r="Y20" s="89">
        <v>4800</v>
      </c>
      <c r="Z20" s="89">
        <v>0</v>
      </c>
      <c r="AA20" s="89">
        <v>-52392.509999999995</v>
      </c>
      <c r="AB20" s="89">
        <v>13466.079999999944</v>
      </c>
      <c r="AC20" s="89">
        <v>18709.669999999984</v>
      </c>
      <c r="AD20" s="89">
        <v>-24535.420000000042</v>
      </c>
      <c r="AE20" s="89">
        <v>84611.31</v>
      </c>
      <c r="AF20" s="89">
        <v>560.55999999999767</v>
      </c>
      <c r="AG20" s="89">
        <v>30526.639999999898</v>
      </c>
      <c r="AH20" s="89">
        <v>51528.640000000014</v>
      </c>
      <c r="AI20" s="89">
        <v>-34887.01</v>
      </c>
      <c r="AJ20" s="89">
        <v>-147583.01999999999</v>
      </c>
      <c r="AK20" s="89">
        <v>-10055.069999999998</v>
      </c>
      <c r="AL20" s="89">
        <v>-3037.4300000000039</v>
      </c>
      <c r="AM20" s="89">
        <v>-50872.25</v>
      </c>
      <c r="AN20" s="89">
        <v>-33456.529999999992</v>
      </c>
      <c r="AO20" s="89">
        <v>-249055.71000000002</v>
      </c>
      <c r="AP20" s="89">
        <v>-223959.46</v>
      </c>
      <c r="AQ20" s="89">
        <v>-54616.110000000015</v>
      </c>
      <c r="AR20" s="89">
        <v>-74347.709999999992</v>
      </c>
      <c r="AS20" s="89">
        <v>-180530.36</v>
      </c>
      <c r="AT20" s="89">
        <v>-274095.66000000003</v>
      </c>
      <c r="AU20" s="89">
        <v>-123440.06</v>
      </c>
      <c r="AV20" s="89">
        <v>-39168.28</v>
      </c>
      <c r="AW20" s="89">
        <v>-15599.159999999996</v>
      </c>
      <c r="AX20" s="89">
        <v>-105749.59999999999</v>
      </c>
      <c r="AY20" s="89">
        <v>-182943.83000000002</v>
      </c>
      <c r="AZ20" s="89">
        <v>-67785.209999999992</v>
      </c>
      <c r="BA20" s="89">
        <v>-126905.59000000001</v>
      </c>
      <c r="BB20" s="89">
        <v>-69145.180000000008</v>
      </c>
      <c r="BC20" s="89">
        <v>-10191.979999999998</v>
      </c>
      <c r="BD20" s="89">
        <v>-248941.19999999998</v>
      </c>
    </row>
    <row r="21" spans="3:56" x14ac:dyDescent="0.25">
      <c r="C21" s="14" t="s">
        <v>65</v>
      </c>
      <c r="J21" s="93">
        <v>-4541.75</v>
      </c>
      <c r="K21" s="93">
        <v>-302.15000000000146</v>
      </c>
      <c r="L21" s="93">
        <v>7740.43</v>
      </c>
      <c r="M21" s="93">
        <v>1061.46</v>
      </c>
      <c r="N21" s="93">
        <v>-17377.919999999998</v>
      </c>
      <c r="O21" s="93">
        <v>5152.9799999999977</v>
      </c>
      <c r="P21" s="93">
        <v>5683.83</v>
      </c>
      <c r="Q21" s="93">
        <v>1782.9099999999989</v>
      </c>
      <c r="R21" s="93">
        <v>7206.0799999999981</v>
      </c>
      <c r="S21" s="93">
        <v>10107.950000000001</v>
      </c>
      <c r="T21" s="89">
        <v>7798.7000000000044</v>
      </c>
      <c r="U21" s="89">
        <v>1874.0200000000004</v>
      </c>
      <c r="V21" s="89">
        <v>4595.4500000000044</v>
      </c>
      <c r="W21" s="89">
        <v>3522.4799999999959</v>
      </c>
      <c r="X21" s="89">
        <v>2946.3600000000006</v>
      </c>
      <c r="Y21" s="89">
        <v>503.02999999999884</v>
      </c>
      <c r="Z21" s="89">
        <v>-22.010000000002037</v>
      </c>
      <c r="AA21" s="89">
        <v>-19237.340000000007</v>
      </c>
      <c r="AB21" s="89">
        <v>-1042.5499999999993</v>
      </c>
      <c r="AC21" s="89">
        <v>2861.4000000000015</v>
      </c>
      <c r="AD21" s="89">
        <v>-3884.630000000001</v>
      </c>
      <c r="AE21" s="89">
        <v>-9337.2900000000009</v>
      </c>
      <c r="AF21" s="89">
        <v>3054.9500000000003</v>
      </c>
      <c r="AG21" s="89">
        <v>2551.83</v>
      </c>
      <c r="AH21" s="89">
        <v>3989.6100000000006</v>
      </c>
      <c r="AI21" s="89">
        <v>-7099.4599999999991</v>
      </c>
      <c r="AJ21" s="89">
        <v>-6669.0900000000011</v>
      </c>
      <c r="AK21" s="89">
        <v>-9929.93</v>
      </c>
      <c r="AL21" s="89">
        <v>-14329.170000000002</v>
      </c>
      <c r="AM21" s="89">
        <v>-17677.239999999998</v>
      </c>
      <c r="AN21" s="89">
        <v>217.88999999999942</v>
      </c>
      <c r="AO21" s="89">
        <v>-10067.959999999999</v>
      </c>
      <c r="AP21" s="89">
        <v>1660.4600000000028</v>
      </c>
      <c r="AQ21" s="89">
        <v>-1078.6100000000006</v>
      </c>
      <c r="AR21" s="89">
        <v>-11154.369999999999</v>
      </c>
      <c r="AS21" s="89">
        <v>-3830.5600000000004</v>
      </c>
      <c r="AT21" s="89">
        <v>-8800.9699999999993</v>
      </c>
      <c r="AU21" s="89">
        <v>-14210.889999999998</v>
      </c>
      <c r="AV21" s="89">
        <v>-7981.8099999999977</v>
      </c>
      <c r="AW21" s="89">
        <v>-16844.509999999998</v>
      </c>
      <c r="AX21" s="89">
        <v>-15973.41</v>
      </c>
      <c r="AY21" s="89">
        <v>11617.219999999998</v>
      </c>
      <c r="AZ21" s="89">
        <v>9626.1299999999974</v>
      </c>
      <c r="BA21" s="89">
        <v>-7421.619999999999</v>
      </c>
      <c r="BB21" s="89">
        <v>-12097.169999999998</v>
      </c>
      <c r="BC21" s="89">
        <v>-9621.239999999998</v>
      </c>
      <c r="BD21" s="89">
        <v>-1802.3100000000013</v>
      </c>
    </row>
    <row r="26" spans="3:56" x14ac:dyDescent="0.25">
      <c r="C26" t="s">
        <v>118</v>
      </c>
    </row>
    <row r="28" spans="3:56" x14ac:dyDescent="0.25">
      <c r="M28" s="107" t="s">
        <v>119</v>
      </c>
      <c r="N28" s="108">
        <v>34789.97</v>
      </c>
      <c r="O28" s="107"/>
    </row>
    <row r="29" spans="3:56" x14ac:dyDescent="0.25">
      <c r="M29" s="107" t="s">
        <v>0</v>
      </c>
      <c r="N29" s="109">
        <v>309442.95</v>
      </c>
      <c r="O29" s="110">
        <v>0.25943655418151329</v>
      </c>
    </row>
    <row r="30" spans="3:56" x14ac:dyDescent="0.25">
      <c r="E30" s="104">
        <v>34789.97</v>
      </c>
      <c r="M30" s="107" t="s">
        <v>1</v>
      </c>
      <c r="N30" s="111">
        <v>1081150.9000000001</v>
      </c>
      <c r="O30" s="110">
        <v>0.30337480538960232</v>
      </c>
    </row>
    <row r="31" spans="3:56" x14ac:dyDescent="0.25">
      <c r="C31" s="98" t="s">
        <v>0</v>
      </c>
      <c r="D31" s="99">
        <v>0.25943655418151329</v>
      </c>
      <c r="E31" s="105">
        <v>309442.95</v>
      </c>
      <c r="M31" s="107" t="s">
        <v>120</v>
      </c>
      <c r="N31" s="111">
        <v>385043.15</v>
      </c>
      <c r="O31" s="110">
        <v>0.22764759962161524</v>
      </c>
    </row>
    <row r="32" spans="3:56" x14ac:dyDescent="0.25">
      <c r="C32" s="100" t="s">
        <v>76</v>
      </c>
      <c r="D32" s="95">
        <v>0.2329904328018223</v>
      </c>
      <c r="E32" s="106"/>
      <c r="I32" s="11"/>
      <c r="M32" s="107" t="s">
        <v>121</v>
      </c>
      <c r="N32" s="111">
        <v>535223.65999999992</v>
      </c>
      <c r="O32" s="110">
        <v>0.20734655406190675</v>
      </c>
    </row>
    <row r="33" spans="3:15" x14ac:dyDescent="0.25">
      <c r="C33" s="100" t="s">
        <v>77</v>
      </c>
      <c r="D33" s="95">
        <v>0.14282416184971097</v>
      </c>
      <c r="E33" s="106"/>
      <c r="I33" s="11"/>
      <c r="M33" s="107"/>
      <c r="N33" s="107"/>
      <c r="O33" s="107"/>
    </row>
    <row r="34" spans="3:15" x14ac:dyDescent="0.25">
      <c r="C34" s="100" t="s">
        <v>78</v>
      </c>
      <c r="D34" s="95">
        <v>0.64952451751250895</v>
      </c>
      <c r="E34" s="106"/>
      <c r="I34" s="11"/>
    </row>
    <row r="35" spans="3:15" x14ac:dyDescent="0.25">
      <c r="C35" s="100" t="s">
        <v>79</v>
      </c>
      <c r="D35" s="95">
        <v>5.6791606367583208E-2</v>
      </c>
      <c r="E35" s="106"/>
      <c r="I35" s="11"/>
    </row>
    <row r="36" spans="3:15" x14ac:dyDescent="0.25">
      <c r="C36" s="100" t="s">
        <v>80</v>
      </c>
      <c r="D36" s="95">
        <v>0.52289607285145134</v>
      </c>
      <c r="E36" s="106"/>
      <c r="I36" s="11"/>
    </row>
    <row r="37" spans="3:15" x14ac:dyDescent="0.25">
      <c r="C37" s="100" t="s">
        <v>71</v>
      </c>
      <c r="D37" s="95" t="e">
        <v>#DIV/0!</v>
      </c>
      <c r="E37" s="106"/>
      <c r="I37" s="11"/>
    </row>
    <row r="38" spans="3:15" x14ac:dyDescent="0.25">
      <c r="C38" s="100" t="s">
        <v>72</v>
      </c>
      <c r="D38" s="95" t="e">
        <v>#DIV/0!</v>
      </c>
      <c r="E38" s="106"/>
      <c r="I38" s="11"/>
    </row>
    <row r="39" spans="3:15" x14ac:dyDescent="0.25">
      <c r="C39" s="100" t="s">
        <v>73</v>
      </c>
      <c r="D39" s="95">
        <v>1.4792433333333332</v>
      </c>
      <c r="E39" s="106"/>
      <c r="I39" s="11"/>
    </row>
    <row r="40" spans="3:15" x14ac:dyDescent="0.25">
      <c r="C40" s="100" t="s">
        <v>74</v>
      </c>
      <c r="D40" s="95">
        <v>0.36997037500000007</v>
      </c>
      <c r="E40" s="106"/>
      <c r="I40" s="11"/>
    </row>
    <row r="41" spans="3:15" x14ac:dyDescent="0.25">
      <c r="C41" s="100" t="s">
        <v>75</v>
      </c>
      <c r="D41" s="95" t="e">
        <v>#DIV/0!</v>
      </c>
      <c r="E41" s="106"/>
      <c r="I41" s="11"/>
    </row>
    <row r="42" spans="3:15" x14ac:dyDescent="0.25">
      <c r="C42" s="101" t="s">
        <v>1</v>
      </c>
      <c r="D42" s="101">
        <v>0.30337480538960232</v>
      </c>
      <c r="E42" s="106">
        <v>1081150.9000000001</v>
      </c>
      <c r="I42" s="94" t="s">
        <v>34</v>
      </c>
    </row>
    <row r="43" spans="3:15" x14ac:dyDescent="0.25">
      <c r="C43" s="100" t="s">
        <v>81</v>
      </c>
      <c r="D43" s="95">
        <v>0.35560193236714976</v>
      </c>
      <c r="E43" s="106"/>
      <c r="I43" s="94" t="s">
        <v>35</v>
      </c>
    </row>
    <row r="44" spans="3:15" x14ac:dyDescent="0.25">
      <c r="C44" s="100" t="s">
        <v>82</v>
      </c>
      <c r="D44" s="95">
        <v>0.49144875084402428</v>
      </c>
      <c r="E44" s="106"/>
      <c r="I44" s="94" t="s">
        <v>36</v>
      </c>
    </row>
    <row r="45" spans="3:15" x14ac:dyDescent="0.25">
      <c r="C45" s="100" t="s">
        <v>83</v>
      </c>
      <c r="D45" s="95">
        <v>0.1959823261589404</v>
      </c>
      <c r="E45" s="106"/>
      <c r="I45" s="94" t="s">
        <v>37</v>
      </c>
    </row>
    <row r="46" spans="3:15" x14ac:dyDescent="0.25">
      <c r="C46" s="100" t="s">
        <v>84</v>
      </c>
      <c r="D46" s="95">
        <v>0.77062623612512615</v>
      </c>
      <c r="E46" s="106"/>
      <c r="I46" s="94" t="s">
        <v>38</v>
      </c>
    </row>
    <row r="47" spans="3:15" x14ac:dyDescent="0.25">
      <c r="C47" s="100" t="s">
        <v>85</v>
      </c>
      <c r="D47" s="95">
        <v>0.12989221556886227</v>
      </c>
      <c r="E47" s="106"/>
      <c r="I47" s="94" t="s">
        <v>39</v>
      </c>
    </row>
    <row r="48" spans="3:15" x14ac:dyDescent="0.25">
      <c r="C48" s="100" t="s">
        <v>86</v>
      </c>
      <c r="D48" s="95">
        <v>9.2235566207309772E-2</v>
      </c>
      <c r="E48" s="106"/>
      <c r="I48" s="94" t="s">
        <v>40</v>
      </c>
    </row>
    <row r="49" spans="3:9" x14ac:dyDescent="0.25">
      <c r="C49" s="100" t="s">
        <v>87</v>
      </c>
      <c r="D49" s="95">
        <v>0.14648557397176182</v>
      </c>
      <c r="E49" s="106"/>
      <c r="I49" s="94" t="s">
        <v>41</v>
      </c>
    </row>
    <row r="50" spans="3:9" x14ac:dyDescent="0.25">
      <c r="C50" s="100" t="s">
        <v>89</v>
      </c>
      <c r="D50" s="95">
        <v>0.45999469714158148</v>
      </c>
      <c r="E50" s="106"/>
      <c r="I50" s="94" t="s">
        <v>42</v>
      </c>
    </row>
    <row r="51" spans="3:9" x14ac:dyDescent="0.25">
      <c r="C51" s="100" t="s">
        <v>90</v>
      </c>
      <c r="D51" s="95">
        <v>0.81451147929780865</v>
      </c>
      <c r="E51" s="106"/>
      <c r="I51" s="94" t="s">
        <v>43</v>
      </c>
    </row>
    <row r="52" spans="3:9" x14ac:dyDescent="0.25">
      <c r="C52" s="100" t="s">
        <v>91</v>
      </c>
      <c r="D52" s="95">
        <v>2.3882985950278166</v>
      </c>
      <c r="E52" s="106"/>
      <c r="I52" s="94" t="s">
        <v>44</v>
      </c>
    </row>
    <row r="53" spans="3:9" x14ac:dyDescent="0.25">
      <c r="C53" s="100" t="s">
        <v>92</v>
      </c>
      <c r="D53" s="95">
        <v>0.7924501935332795</v>
      </c>
      <c r="E53" s="106"/>
      <c r="I53" s="94" t="s">
        <v>45</v>
      </c>
    </row>
    <row r="54" spans="3:9" x14ac:dyDescent="0.25">
      <c r="C54" s="100" t="s">
        <v>94</v>
      </c>
      <c r="D54" s="95">
        <v>8.0896622238598878E-2</v>
      </c>
      <c r="E54" s="106"/>
      <c r="I54" s="94" t="s">
        <v>46</v>
      </c>
    </row>
    <row r="55" spans="3:9" x14ac:dyDescent="0.25">
      <c r="C55" s="100" t="s">
        <v>95</v>
      </c>
      <c r="D55" s="95">
        <v>0.23646501714841422</v>
      </c>
      <c r="E55" s="106"/>
      <c r="I55" s="94" t="s">
        <v>47</v>
      </c>
    </row>
    <row r="56" spans="3:9" x14ac:dyDescent="0.25">
      <c r="C56" s="100" t="s">
        <v>88</v>
      </c>
      <c r="D56" s="95">
        <v>0.5381358974358974</v>
      </c>
      <c r="E56" s="106"/>
      <c r="I56" s="94" t="s">
        <v>48</v>
      </c>
    </row>
    <row r="57" spans="3:9" x14ac:dyDescent="0.25">
      <c r="C57" s="100" t="s">
        <v>93</v>
      </c>
      <c r="D57" s="95">
        <v>1.4933946969696967</v>
      </c>
      <c r="E57" s="106"/>
      <c r="I57" s="11"/>
    </row>
    <row r="58" spans="3:9" x14ac:dyDescent="0.25">
      <c r="C58" s="96" t="s">
        <v>96</v>
      </c>
      <c r="D58" s="97">
        <v>0.22764759962161524</v>
      </c>
      <c r="E58" s="106">
        <v>385043.15</v>
      </c>
    </row>
    <row r="59" spans="3:9" x14ac:dyDescent="0.25">
      <c r="C59" s="102" t="s">
        <v>98</v>
      </c>
      <c r="D59" s="97">
        <v>0.17439661746617471</v>
      </c>
      <c r="E59" s="106"/>
    </row>
    <row r="60" spans="3:9" x14ac:dyDescent="0.25">
      <c r="C60" s="102" t="s">
        <v>97</v>
      </c>
      <c r="D60" s="97">
        <v>0.39247328635490081</v>
      </c>
      <c r="E60" s="106"/>
    </row>
    <row r="61" spans="3:9" x14ac:dyDescent="0.25">
      <c r="C61" s="102" t="s">
        <v>99</v>
      </c>
      <c r="D61" s="97">
        <v>0.18230042060988436</v>
      </c>
      <c r="E61" s="106"/>
    </row>
    <row r="62" spans="3:9" x14ac:dyDescent="0.25">
      <c r="C62" s="102" t="s">
        <v>100</v>
      </c>
      <c r="D62" s="97">
        <v>0.1456588998443176</v>
      </c>
      <c r="E62" s="106"/>
    </row>
    <row r="63" spans="3:9" x14ac:dyDescent="0.25">
      <c r="C63" s="102" t="s">
        <v>102</v>
      </c>
      <c r="D63" s="97">
        <v>3.0531132646880677E-2</v>
      </c>
      <c r="E63" s="106"/>
    </row>
    <row r="64" spans="3:9" x14ac:dyDescent="0.25">
      <c r="C64" s="102" t="s">
        <v>101</v>
      </c>
      <c r="D64" s="97">
        <v>0.17505337763012183</v>
      </c>
      <c r="E64" s="106"/>
    </row>
    <row r="65" spans="3:5" x14ac:dyDescent="0.25">
      <c r="C65" s="102" t="s">
        <v>103</v>
      </c>
      <c r="D65" s="97">
        <v>0.63366834340991529</v>
      </c>
      <c r="E65" s="106"/>
    </row>
    <row r="66" spans="3:5" x14ac:dyDescent="0.25">
      <c r="C66" s="102" t="s">
        <v>104</v>
      </c>
      <c r="D66" s="97">
        <v>0.15879721515196885</v>
      </c>
      <c r="E66" s="106"/>
    </row>
    <row r="67" spans="3:5" x14ac:dyDescent="0.25">
      <c r="C67" s="96" t="s">
        <v>105</v>
      </c>
      <c r="D67" s="97">
        <v>0.20734655406190675</v>
      </c>
      <c r="E67" s="106">
        <v>535223.65999999992</v>
      </c>
    </row>
    <row r="68" spans="3:5" x14ac:dyDescent="0.25">
      <c r="C68" s="102" t="s">
        <v>106</v>
      </c>
      <c r="D68" s="97">
        <v>9.946943117672602E-2</v>
      </c>
      <c r="E68" s="106"/>
    </row>
    <row r="69" spans="3:5" x14ac:dyDescent="0.25">
      <c r="C69" s="102" t="s">
        <v>107</v>
      </c>
      <c r="D69" s="97">
        <v>0.51617457846951997</v>
      </c>
      <c r="E69" s="106"/>
    </row>
    <row r="70" spans="3:5" x14ac:dyDescent="0.25">
      <c r="C70" s="102" t="s">
        <v>113</v>
      </c>
      <c r="D70" s="97">
        <v>0.36957823064951251</v>
      </c>
      <c r="E70" s="106"/>
    </row>
    <row r="71" spans="3:5" x14ac:dyDescent="0.25">
      <c r="C71" s="102" t="s">
        <v>109</v>
      </c>
      <c r="D71" s="97">
        <v>0.11911727244485865</v>
      </c>
      <c r="E71" s="106"/>
    </row>
    <row r="72" spans="3:5" x14ac:dyDescent="0.25">
      <c r="C72" s="102" t="s">
        <v>111</v>
      </c>
      <c r="D72" s="97">
        <v>8.1010923623445821E-2</v>
      </c>
      <c r="E72" s="106"/>
    </row>
    <row r="73" spans="3:5" x14ac:dyDescent="0.25">
      <c r="C73" s="102" t="s">
        <v>112</v>
      </c>
      <c r="D73" s="97">
        <v>0.16246770049550374</v>
      </c>
      <c r="E73" s="106"/>
    </row>
    <row r="74" spans="3:5" x14ac:dyDescent="0.25">
      <c r="C74" s="102" t="s">
        <v>108</v>
      </c>
      <c r="D74" s="97">
        <v>0.42383454545454557</v>
      </c>
      <c r="E74" s="106"/>
    </row>
    <row r="75" spans="3:5" x14ac:dyDescent="0.25">
      <c r="C75" s="102" t="s">
        <v>110</v>
      </c>
      <c r="D75" s="97">
        <v>6.2412482580098114E-2</v>
      </c>
      <c r="E75" s="106"/>
    </row>
    <row r="76" spans="3:5" x14ac:dyDescent="0.25">
      <c r="E76" s="106"/>
    </row>
  </sheetData>
  <conditionalFormatting sqref="D31:D57">
    <cfRule type="cellIs" dxfId="54" priority="8" operator="between">
      <formula>10%</formula>
      <formula>100%</formula>
    </cfRule>
    <cfRule type="cellIs" dxfId="53" priority="9" operator="lessThan">
      <formula>10%</formula>
    </cfRule>
  </conditionalFormatting>
  <conditionalFormatting sqref="D31:D75">
    <cfRule type="cellIs" dxfId="52" priority="3" operator="greaterThan">
      <formula>1</formula>
    </cfRule>
  </conditionalFormatting>
  <conditionalFormatting sqref="D58:D75">
    <cfRule type="cellIs" dxfId="51" priority="1" operator="between">
      <formula>0.1</formula>
      <formula>1</formula>
    </cfRule>
    <cfRule type="cellIs" dxfId="50" priority="2" operator="lessThan">
      <formula>0.1</formula>
    </cfRule>
  </conditionalFormatting>
  <conditionalFormatting sqref="J18:BD21">
    <cfRule type="cellIs" dxfId="49" priority="10" operator="greaterThan">
      <formula>0</formula>
    </cfRule>
    <cfRule type="cellIs" dxfId="48" priority="1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91AC-9759-4A16-A912-10DD3F0AD772}">
  <dimension ref="B2:BC73"/>
  <sheetViews>
    <sheetView workbookViewId="0"/>
  </sheetViews>
  <sheetFormatPr defaultRowHeight="15" x14ac:dyDescent="0.25"/>
  <cols>
    <col min="35" max="35" width="9.7109375" bestFit="1" customWidth="1"/>
    <col min="40" max="41" width="9.7109375" bestFit="1" customWidth="1"/>
    <col min="52" max="52" width="9.7109375" bestFit="1" customWidth="1"/>
    <col min="55" max="55" width="9.7109375" bestFit="1" customWidth="1"/>
  </cols>
  <sheetData>
    <row r="2" spans="2:55" x14ac:dyDescent="0.25"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1" t="s">
        <v>8</v>
      </c>
      <c r="J2" s="11" t="s">
        <v>9</v>
      </c>
      <c r="K2" s="11" t="s">
        <v>10</v>
      </c>
      <c r="L2" s="11" t="s">
        <v>114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94" t="s">
        <v>34</v>
      </c>
      <c r="AI2" s="94" t="s">
        <v>35</v>
      </c>
      <c r="AJ2" s="94" t="s">
        <v>36</v>
      </c>
      <c r="AK2" s="94" t="s">
        <v>37</v>
      </c>
      <c r="AL2" s="94" t="s">
        <v>38</v>
      </c>
      <c r="AM2" s="94" t="s">
        <v>39</v>
      </c>
      <c r="AN2" s="94" t="s">
        <v>33</v>
      </c>
      <c r="AO2" s="94" t="s">
        <v>40</v>
      </c>
      <c r="AP2" s="94" t="s">
        <v>41</v>
      </c>
      <c r="AQ2" s="94" t="s">
        <v>42</v>
      </c>
      <c r="AR2" s="94" t="s">
        <v>43</v>
      </c>
      <c r="AS2" s="94" t="s">
        <v>44</v>
      </c>
      <c r="AT2" s="94" t="s">
        <v>45</v>
      </c>
      <c r="AU2" s="94" t="s">
        <v>46</v>
      </c>
      <c r="AV2" s="94" t="s">
        <v>47</v>
      </c>
      <c r="AW2" s="94" t="s">
        <v>48</v>
      </c>
      <c r="AX2" s="94" t="s">
        <v>49</v>
      </c>
      <c r="AY2" s="94" t="s">
        <v>50</v>
      </c>
      <c r="AZ2" s="94" t="s">
        <v>51</v>
      </c>
      <c r="BA2" s="94" t="s">
        <v>52</v>
      </c>
      <c r="BB2" s="94" t="s">
        <v>53</v>
      </c>
      <c r="BC2" s="94" t="s">
        <v>54</v>
      </c>
    </row>
    <row r="3" spans="2:55" x14ac:dyDescent="0.25">
      <c r="B3" s="90" t="s">
        <v>62</v>
      </c>
      <c r="C3" s="91">
        <v>1359.13</v>
      </c>
      <c r="D3" s="91">
        <v>32171.559999999998</v>
      </c>
      <c r="E3" s="91">
        <v>51908.580000000009</v>
      </c>
      <c r="F3" s="91">
        <v>2495.98</v>
      </c>
      <c r="G3" s="91">
        <v>6350.6399999999994</v>
      </c>
      <c r="H3" s="91">
        <v>1590.94</v>
      </c>
      <c r="I3" s="92">
        <v>31012.759999999995</v>
      </c>
      <c r="J3" s="92">
        <v>51646.540000000008</v>
      </c>
      <c r="K3" s="92">
        <v>69861.83</v>
      </c>
      <c r="L3" s="92">
        <v>20550.899999999998</v>
      </c>
      <c r="M3" s="92">
        <v>52812.239999999991</v>
      </c>
      <c r="N3" s="92">
        <v>12764.69</v>
      </c>
      <c r="O3" s="92">
        <v>4095.99</v>
      </c>
      <c r="P3" s="92">
        <v>3500.9500000000003</v>
      </c>
      <c r="Q3" s="92">
        <v>14574.34</v>
      </c>
      <c r="R3" s="92">
        <v>34.18</v>
      </c>
      <c r="S3" s="12">
        <v>9665.84</v>
      </c>
      <c r="T3" s="12">
        <v>14652.49</v>
      </c>
      <c r="U3" s="12">
        <v>18823.310000000001</v>
      </c>
      <c r="V3" s="12">
        <v>25061.809999999998</v>
      </c>
      <c r="W3" s="12">
        <v>12407.77</v>
      </c>
      <c r="X3" s="12">
        <v>18205.03</v>
      </c>
      <c r="Y3" s="12">
        <v>22808.22</v>
      </c>
      <c r="Z3" s="12">
        <v>18672.569999999996</v>
      </c>
      <c r="AA3" s="12">
        <v>30696.279999999995</v>
      </c>
      <c r="AB3" s="12">
        <v>15650.189999999999</v>
      </c>
      <c r="AC3" s="12">
        <v>32247.47</v>
      </c>
      <c r="AD3" s="12">
        <v>26507.85</v>
      </c>
      <c r="AE3" s="12">
        <v>4276.05</v>
      </c>
      <c r="AF3" s="12">
        <v>246.39</v>
      </c>
      <c r="AG3" s="12">
        <v>46.489999999999995</v>
      </c>
      <c r="AH3" s="91">
        <v>8452.16</v>
      </c>
      <c r="AI3" s="91">
        <v>31314.459999999995</v>
      </c>
      <c r="AJ3" s="91">
        <v>10125.210000000001</v>
      </c>
      <c r="AK3" s="91">
        <v>8169.0399999999972</v>
      </c>
      <c r="AL3" s="91">
        <v>17744.929999999997</v>
      </c>
      <c r="AM3" s="91">
        <v>3739.53</v>
      </c>
      <c r="AN3" s="91">
        <v>21173.809999999998</v>
      </c>
      <c r="AO3" s="91">
        <v>25028.800000000003</v>
      </c>
      <c r="AP3" s="91">
        <v>28829.14</v>
      </c>
      <c r="AQ3" s="91">
        <v>31965.250000000004</v>
      </c>
      <c r="AR3" s="91">
        <v>18074.769999999997</v>
      </c>
      <c r="AS3" s="91">
        <v>26225.600000000002</v>
      </c>
      <c r="AT3" s="91">
        <v>17853.560000000001</v>
      </c>
      <c r="AU3" s="91">
        <v>20390.22</v>
      </c>
      <c r="AV3" s="91">
        <v>19073.14</v>
      </c>
      <c r="AW3" s="91">
        <v>18343.37</v>
      </c>
      <c r="AX3" s="91">
        <v>38426.910000000003</v>
      </c>
      <c r="AY3" s="91">
        <v>17349.96</v>
      </c>
      <c r="AZ3" s="91">
        <v>23144.71</v>
      </c>
      <c r="BA3" s="91">
        <v>21969.069999999996</v>
      </c>
      <c r="BB3" s="91">
        <v>22973.879999999997</v>
      </c>
      <c r="BC3" s="91">
        <v>15391.680000000002</v>
      </c>
    </row>
    <row r="4" spans="2:55" x14ac:dyDescent="0.25">
      <c r="B4" s="90" t="s">
        <v>63</v>
      </c>
      <c r="C4" s="91">
        <v>520.52</v>
      </c>
      <c r="D4" s="91">
        <v>11009.02</v>
      </c>
      <c r="E4" s="91">
        <v>19672.229999999996</v>
      </c>
      <c r="F4" s="91">
        <v>4171.7</v>
      </c>
      <c r="G4" s="91">
        <v>7014.0599999999995</v>
      </c>
      <c r="H4" s="91">
        <v>83.02</v>
      </c>
      <c r="I4" s="92">
        <v>12512.029999999999</v>
      </c>
      <c r="J4" s="92">
        <v>6881.75</v>
      </c>
      <c r="K4" s="92">
        <v>23952.999999999996</v>
      </c>
      <c r="L4" s="92">
        <v>17369</v>
      </c>
      <c r="M4" s="92">
        <v>11005.49</v>
      </c>
      <c r="N4" s="92">
        <v>41764.599999999984</v>
      </c>
      <c r="O4" s="92">
        <v>8755.7100000000009</v>
      </c>
      <c r="P4" s="92">
        <v>8172.5499999999993</v>
      </c>
      <c r="Q4" s="92">
        <v>36494.909999999996</v>
      </c>
      <c r="R4" s="92">
        <v>0</v>
      </c>
      <c r="S4" s="12">
        <v>17314.11</v>
      </c>
      <c r="T4" s="12">
        <v>4984.3799999999992</v>
      </c>
      <c r="U4" s="12">
        <v>8978.4500000000007</v>
      </c>
      <c r="V4" s="12">
        <v>7775.5999999999995</v>
      </c>
      <c r="W4" s="12">
        <v>6540.83</v>
      </c>
      <c r="X4" s="12">
        <v>11016.15</v>
      </c>
      <c r="Y4" s="12">
        <v>3412.0200000000004</v>
      </c>
      <c r="Z4" s="12">
        <v>110394.54999999997</v>
      </c>
      <c r="AA4" s="12">
        <v>39421.94</v>
      </c>
      <c r="AB4" s="12">
        <v>35738.75</v>
      </c>
      <c r="AC4" s="12">
        <v>48859.97</v>
      </c>
      <c r="AD4" s="12">
        <v>16378.140000000001</v>
      </c>
      <c r="AE4" s="12">
        <v>10599.27</v>
      </c>
      <c r="AF4" s="12">
        <v>0</v>
      </c>
      <c r="AG4" s="12">
        <v>0</v>
      </c>
      <c r="AH4" s="89">
        <v>22320.999999999996</v>
      </c>
      <c r="AI4" s="89">
        <v>123391.86</v>
      </c>
      <c r="AJ4" s="89">
        <v>13313.02</v>
      </c>
      <c r="AK4" s="89">
        <v>36147.760000000002</v>
      </c>
      <c r="AL4" s="89">
        <v>33847.129999999997</v>
      </c>
      <c r="AM4" s="89">
        <v>21875.21</v>
      </c>
      <c r="AN4" s="89">
        <v>111939.73999999999</v>
      </c>
      <c r="AO4" s="89">
        <v>112872.1</v>
      </c>
      <c r="AP4" s="89">
        <v>69236.87</v>
      </c>
      <c r="AQ4" s="89">
        <v>89890.15</v>
      </c>
      <c r="AR4" s="89">
        <v>90557.51</v>
      </c>
      <c r="AS4" s="89">
        <v>23426.99</v>
      </c>
      <c r="AT4" s="89">
        <v>51403.48</v>
      </c>
      <c r="AU4" s="89">
        <v>170360.47000000003</v>
      </c>
      <c r="AV4" s="89">
        <v>39199.689999999995</v>
      </c>
      <c r="AW4" s="89">
        <v>55232.92</v>
      </c>
      <c r="AX4" s="89">
        <v>52915.45</v>
      </c>
      <c r="AY4" s="89">
        <v>14552.19</v>
      </c>
      <c r="AZ4" s="89">
        <v>20404.129999999997</v>
      </c>
      <c r="BA4" s="89">
        <v>26523.489999999998</v>
      </c>
      <c r="BB4" s="89">
        <v>35410.560000000005</v>
      </c>
      <c r="BC4" s="89">
        <v>84915.16</v>
      </c>
    </row>
    <row r="5" spans="2:55" x14ac:dyDescent="0.25">
      <c r="B5" s="90" t="s">
        <v>64</v>
      </c>
      <c r="C5" s="91">
        <v>243.81</v>
      </c>
      <c r="D5" s="91">
        <v>8138.8499999999995</v>
      </c>
      <c r="E5" s="91">
        <v>39321.240000000005</v>
      </c>
      <c r="F5" s="91">
        <v>0</v>
      </c>
      <c r="G5" s="91">
        <v>1474.2</v>
      </c>
      <c r="H5" s="91">
        <v>431018.38999999996</v>
      </c>
      <c r="I5" s="92">
        <v>0</v>
      </c>
      <c r="J5" s="92">
        <v>2091.75</v>
      </c>
      <c r="K5" s="92">
        <v>15927.82</v>
      </c>
      <c r="L5" s="92">
        <v>0</v>
      </c>
      <c r="M5" s="92">
        <v>5009.8999999999996</v>
      </c>
      <c r="N5" s="92">
        <v>109224.29</v>
      </c>
      <c r="O5" s="92">
        <v>126385.19</v>
      </c>
      <c r="P5" s="92">
        <v>138659.66999999998</v>
      </c>
      <c r="Q5" s="92">
        <v>71319.53</v>
      </c>
      <c r="R5" s="92">
        <v>498638.96000000008</v>
      </c>
      <c r="S5" s="12">
        <v>566.28</v>
      </c>
      <c r="T5" s="12">
        <v>0</v>
      </c>
      <c r="U5" s="12">
        <v>40814.670000000006</v>
      </c>
      <c r="V5" s="12">
        <v>0</v>
      </c>
      <c r="W5" s="12">
        <v>2513.6999999999998</v>
      </c>
      <c r="X5" s="12">
        <v>0</v>
      </c>
      <c r="Y5" s="12">
        <v>0</v>
      </c>
      <c r="Z5" s="12">
        <v>123709.23000000001</v>
      </c>
      <c r="AA5" s="12">
        <v>147967.13999999998</v>
      </c>
      <c r="AB5" s="12">
        <v>161814.91</v>
      </c>
      <c r="AC5" s="12">
        <v>206535.05000000002</v>
      </c>
      <c r="AD5" s="12">
        <v>48037.899999999994</v>
      </c>
      <c r="AE5" s="12">
        <v>62594.68</v>
      </c>
      <c r="AF5" s="12">
        <v>824487.99000000011</v>
      </c>
      <c r="AG5" s="12">
        <v>847706.28</v>
      </c>
      <c r="AH5" s="89">
        <v>37538.31</v>
      </c>
      <c r="AI5" s="89">
        <v>115095.32</v>
      </c>
      <c r="AJ5" s="89">
        <v>21401.68</v>
      </c>
      <c r="AK5" s="89">
        <v>14473.990000000002</v>
      </c>
      <c r="AL5" s="89">
        <v>67601.650000000009</v>
      </c>
      <c r="AM5" s="89">
        <v>34413.800000000003</v>
      </c>
      <c r="AN5" s="89">
        <v>224086.11</v>
      </c>
      <c r="AO5" s="89">
        <v>210698.47999999998</v>
      </c>
      <c r="AP5" s="89">
        <v>33747.869999999995</v>
      </c>
      <c r="AQ5" s="89">
        <v>47282.47</v>
      </c>
      <c r="AR5" s="89">
        <v>288223.01999999996</v>
      </c>
      <c r="AS5" s="89">
        <v>231929.35</v>
      </c>
      <c r="AT5" s="89">
        <v>75490.850000000006</v>
      </c>
      <c r="AU5" s="89">
        <v>-6836.5400000000009</v>
      </c>
      <c r="AV5" s="89">
        <v>43847.38</v>
      </c>
      <c r="AW5" s="89">
        <v>85618.880000000005</v>
      </c>
      <c r="AX5" s="89">
        <v>52664.800000000003</v>
      </c>
      <c r="AY5" s="89">
        <v>35461.590000000004</v>
      </c>
      <c r="AZ5" s="89">
        <v>163985.71</v>
      </c>
      <c r="BA5" s="89">
        <v>64344.200000000004</v>
      </c>
      <c r="BB5" s="89">
        <v>46212.490000000005</v>
      </c>
      <c r="BC5" s="89">
        <v>312764.7</v>
      </c>
    </row>
    <row r="6" spans="2:55" x14ac:dyDescent="0.25">
      <c r="B6" s="90" t="s">
        <v>58</v>
      </c>
      <c r="C6" s="89">
        <v>820.26</v>
      </c>
      <c r="D6" s="89">
        <v>54273.99</v>
      </c>
      <c r="E6" s="89">
        <v>68047.600000000006</v>
      </c>
      <c r="F6" s="89">
        <v>2094.15</v>
      </c>
      <c r="G6" s="89">
        <v>8756.1400000000012</v>
      </c>
      <c r="H6" s="89">
        <v>15944.48</v>
      </c>
      <c r="I6" s="93">
        <v>20800.09</v>
      </c>
      <c r="J6" s="93">
        <v>27129.200000000001</v>
      </c>
      <c r="K6" s="93">
        <v>37960.53</v>
      </c>
      <c r="L6" s="93">
        <v>2493.4700000000003</v>
      </c>
      <c r="M6" s="93">
        <v>40968.51</v>
      </c>
      <c r="N6" s="93">
        <v>7982.37</v>
      </c>
      <c r="O6" s="93">
        <v>8469.36</v>
      </c>
      <c r="P6" s="93">
        <v>6117.92</v>
      </c>
      <c r="Q6" s="93">
        <v>13222.86</v>
      </c>
      <c r="R6" s="93">
        <v>16853.39</v>
      </c>
      <c r="S6" s="12">
        <v>19319.030000000002</v>
      </c>
      <c r="T6" s="12">
        <v>24024.639999999999</v>
      </c>
      <c r="U6" s="12">
        <v>35236.29</v>
      </c>
      <c r="V6" s="12">
        <v>43937.06</v>
      </c>
      <c r="W6" s="12">
        <v>13210.57</v>
      </c>
      <c r="X6" s="12">
        <v>16701.870000000003</v>
      </c>
      <c r="Y6" s="12">
        <v>29877.199999999997</v>
      </c>
      <c r="Z6" s="12">
        <v>7500.4900000000007</v>
      </c>
      <c r="AA6" s="12">
        <v>17294.48</v>
      </c>
      <c r="AB6" s="12">
        <v>19991.769999999997</v>
      </c>
      <c r="AC6" s="12">
        <v>24077.75</v>
      </c>
      <c r="AD6" s="12">
        <v>25087.289999999997</v>
      </c>
      <c r="AE6" s="12">
        <v>6585.82</v>
      </c>
      <c r="AF6" s="12">
        <v>15347.44</v>
      </c>
      <c r="AG6" s="12">
        <v>21748.59</v>
      </c>
      <c r="AH6" s="89">
        <v>9089.380000000001</v>
      </c>
      <c r="AI6" s="89">
        <v>13783.93</v>
      </c>
      <c r="AJ6" s="89">
        <v>5801.46</v>
      </c>
      <c r="AK6" s="89">
        <v>11085.18</v>
      </c>
      <c r="AL6" s="89">
        <v>21751.699999999997</v>
      </c>
      <c r="AM6" s="89">
        <v>12006.34</v>
      </c>
      <c r="AN6" s="89">
        <v>29016.79</v>
      </c>
      <c r="AO6" s="89">
        <v>22545.66</v>
      </c>
      <c r="AP6" s="89">
        <v>8338</v>
      </c>
      <c r="AQ6" s="89">
        <v>16445.96</v>
      </c>
      <c r="AR6" s="89">
        <v>21682.98</v>
      </c>
      <c r="AS6" s="89">
        <v>-1096.02</v>
      </c>
      <c r="AT6" s="89">
        <v>17949.04</v>
      </c>
      <c r="AU6" s="89">
        <v>15519.94</v>
      </c>
      <c r="AV6" s="89">
        <v>8520.880000000001</v>
      </c>
      <c r="AW6" s="89">
        <v>24616.799999999999</v>
      </c>
      <c r="AX6" s="89">
        <v>23525.14</v>
      </c>
      <c r="AY6" s="89">
        <v>19111.55</v>
      </c>
      <c r="AZ6" s="89">
        <v>28690.28</v>
      </c>
      <c r="BA6" s="89">
        <v>14120.980000000001</v>
      </c>
      <c r="BB6" s="89">
        <v>19786.53</v>
      </c>
      <c r="BC6" s="89">
        <v>23538.73</v>
      </c>
    </row>
    <row r="7" spans="2:55" x14ac:dyDescent="0.25">
      <c r="B7" s="90" t="s">
        <v>115</v>
      </c>
      <c r="C7" s="89"/>
      <c r="D7" s="89"/>
      <c r="E7" s="89"/>
      <c r="F7" s="89"/>
      <c r="G7" s="89"/>
      <c r="H7" s="89"/>
      <c r="I7" s="103">
        <v>0.44590678815489748</v>
      </c>
      <c r="J7" s="103">
        <v>0.14282416184971097</v>
      </c>
      <c r="K7" s="103">
        <v>0.82848577555396719</v>
      </c>
      <c r="L7" s="103">
        <v>5.7559975191234236E-2</v>
      </c>
      <c r="M7" s="103">
        <v>0.65947319294251572</v>
      </c>
      <c r="N7" s="103" t="s">
        <v>116</v>
      </c>
      <c r="O7" s="103" t="s">
        <v>116</v>
      </c>
      <c r="P7" s="103">
        <v>7.280829999999999</v>
      </c>
      <c r="Q7" s="103">
        <v>0.56442231250000008</v>
      </c>
      <c r="R7" s="103" t="s">
        <v>116</v>
      </c>
      <c r="S7" s="103">
        <v>0.42497004830917873</v>
      </c>
      <c r="T7" s="103">
        <v>0.59256016205266715</v>
      </c>
      <c r="U7" s="103">
        <v>0.22705879552980132</v>
      </c>
      <c r="V7" s="103">
        <v>1.0286224688866463</v>
      </c>
      <c r="W7" s="103">
        <v>0.53474051896207586</v>
      </c>
      <c r="X7" s="103">
        <v>9.2235566207309772E-2</v>
      </c>
      <c r="Y7" s="103">
        <v>0.39012277470841006</v>
      </c>
      <c r="Z7" s="103">
        <v>0.56551711278195493</v>
      </c>
      <c r="AA7" s="103">
        <v>0.81451103542234349</v>
      </c>
      <c r="AB7" s="103">
        <v>2.8940029493889687</v>
      </c>
      <c r="AC7" s="103">
        <v>1.3417148805878749</v>
      </c>
      <c r="AD7" s="103">
        <v>9.4220400762086876E-2</v>
      </c>
      <c r="AE7" s="103">
        <v>0.23646522210184179</v>
      </c>
      <c r="AF7" s="103">
        <v>2.3662128205128203</v>
      </c>
      <c r="AG7" s="103">
        <v>1.4933946969696967</v>
      </c>
      <c r="AH7" s="103">
        <v>0.18</v>
      </c>
      <c r="AI7" s="103">
        <v>0.43</v>
      </c>
      <c r="AJ7" s="103">
        <v>0.2</v>
      </c>
      <c r="AK7" s="103">
        <v>0.15</v>
      </c>
      <c r="AL7" s="103">
        <v>0.22</v>
      </c>
      <c r="AM7" s="103">
        <v>0.03</v>
      </c>
      <c r="AN7" s="103">
        <v>1.24</v>
      </c>
      <c r="AO7" s="103">
        <v>0.18</v>
      </c>
      <c r="AP7" s="103">
        <v>0.3</v>
      </c>
      <c r="AQ7" s="103">
        <v>0.57999999999999996</v>
      </c>
      <c r="AR7" s="103">
        <v>0.46</v>
      </c>
      <c r="AS7" s="103">
        <v>0.12</v>
      </c>
      <c r="AT7" s="103">
        <v>0.47</v>
      </c>
      <c r="AU7" s="103">
        <v>0.16</v>
      </c>
      <c r="AV7" s="103">
        <v>0.51</v>
      </c>
      <c r="AW7" s="103">
        <v>0.12</v>
      </c>
      <c r="AX7" s="89"/>
      <c r="AY7" s="89"/>
      <c r="AZ7" s="89"/>
      <c r="BA7" s="89"/>
      <c r="BB7" s="89"/>
      <c r="BC7" s="89"/>
    </row>
    <row r="10" spans="2:55" x14ac:dyDescent="0.25">
      <c r="B10" s="11" t="s">
        <v>61</v>
      </c>
      <c r="I10" s="11" t="s">
        <v>8</v>
      </c>
      <c r="J10" s="11" t="s">
        <v>9</v>
      </c>
      <c r="K10" s="11" t="s">
        <v>10</v>
      </c>
      <c r="L10" s="11" t="s">
        <v>114</v>
      </c>
      <c r="M10" s="11" t="s">
        <v>12</v>
      </c>
      <c r="N10" s="11" t="s">
        <v>13</v>
      </c>
      <c r="O10" s="11" t="s">
        <v>14</v>
      </c>
      <c r="P10" s="11" t="s">
        <v>15</v>
      </c>
      <c r="Q10" s="11" t="s">
        <v>16</v>
      </c>
      <c r="R10" s="11" t="s">
        <v>17</v>
      </c>
      <c r="S10" s="15" t="s">
        <v>18</v>
      </c>
      <c r="T10" s="15" t="s">
        <v>19</v>
      </c>
      <c r="U10" s="15" t="s">
        <v>20</v>
      </c>
      <c r="V10" s="15" t="s">
        <v>21</v>
      </c>
      <c r="W10" s="15" t="s">
        <v>22</v>
      </c>
      <c r="X10" s="15" t="s">
        <v>23</v>
      </c>
      <c r="Y10" s="15" t="s">
        <v>24</v>
      </c>
      <c r="Z10" s="15" t="s">
        <v>25</v>
      </c>
      <c r="AA10" s="15" t="s">
        <v>26</v>
      </c>
      <c r="AB10" s="15" t="s">
        <v>27</v>
      </c>
      <c r="AC10" s="15" t="s">
        <v>28</v>
      </c>
      <c r="AD10" s="15" t="s">
        <v>29</v>
      </c>
      <c r="AE10" s="15" t="s">
        <v>30</v>
      </c>
      <c r="AF10" s="15" t="s">
        <v>31</v>
      </c>
      <c r="AG10" s="15" t="s">
        <v>32</v>
      </c>
      <c r="AH10" s="94" t="s">
        <v>34</v>
      </c>
      <c r="AI10" s="94" t="s">
        <v>35</v>
      </c>
      <c r="AJ10" s="94" t="s">
        <v>36</v>
      </c>
      <c r="AK10" s="94" t="s">
        <v>37</v>
      </c>
      <c r="AL10" s="94" t="s">
        <v>38</v>
      </c>
      <c r="AM10" s="94" t="s">
        <v>39</v>
      </c>
      <c r="AN10" s="94" t="s">
        <v>33</v>
      </c>
      <c r="AO10" s="94" t="s">
        <v>40</v>
      </c>
      <c r="AP10" s="94" t="s">
        <v>41</v>
      </c>
      <c r="AQ10" s="94" t="s">
        <v>42</v>
      </c>
      <c r="AR10" s="94" t="s">
        <v>43</v>
      </c>
      <c r="AS10" s="94" t="s">
        <v>44</v>
      </c>
      <c r="AT10" s="94" t="s">
        <v>45</v>
      </c>
      <c r="AU10" s="94" t="s">
        <v>46</v>
      </c>
      <c r="AV10" s="94" t="s">
        <v>47</v>
      </c>
      <c r="AW10" s="94" t="s">
        <v>48</v>
      </c>
      <c r="AX10" s="94" t="s">
        <v>49</v>
      </c>
      <c r="AY10" s="94" t="s">
        <v>50</v>
      </c>
      <c r="AZ10" s="94" t="s">
        <v>51</v>
      </c>
      <c r="BA10" s="94" t="s">
        <v>52</v>
      </c>
      <c r="BB10" s="94" t="s">
        <v>53</v>
      </c>
      <c r="BC10" s="94" t="s">
        <v>54</v>
      </c>
    </row>
    <row r="11" spans="2:55" x14ac:dyDescent="0.25">
      <c r="B11" s="13" t="s">
        <v>62</v>
      </c>
      <c r="I11" s="92">
        <v>20154.7</v>
      </c>
      <c r="J11" s="92">
        <v>38639.96</v>
      </c>
      <c r="K11" s="92">
        <v>62643.750000000015</v>
      </c>
      <c r="L11" s="92">
        <v>10040.76</v>
      </c>
      <c r="M11" s="92">
        <v>37145.290000000008</v>
      </c>
      <c r="N11" s="92">
        <v>15772.04</v>
      </c>
      <c r="O11" s="92">
        <v>8382.57</v>
      </c>
      <c r="P11" s="92">
        <v>7326.67</v>
      </c>
      <c r="Q11" s="92">
        <v>17777.22</v>
      </c>
      <c r="R11" s="92">
        <v>245.7</v>
      </c>
      <c r="S11" s="12">
        <v>10785.77</v>
      </c>
      <c r="T11" s="12">
        <v>9200.5099999999984</v>
      </c>
      <c r="U11" s="12">
        <v>13572.51</v>
      </c>
      <c r="V11" s="12">
        <v>14112.79</v>
      </c>
      <c r="W11" s="12">
        <v>8252.1800000000021</v>
      </c>
      <c r="X11" s="12">
        <v>9621.5199999999986</v>
      </c>
      <c r="Y11" s="12">
        <v>11652.48</v>
      </c>
      <c r="Z11" s="12">
        <v>9170.6600000000017</v>
      </c>
      <c r="AA11" s="12">
        <v>9594.5499999999993</v>
      </c>
      <c r="AB11" s="12">
        <v>8443.24</v>
      </c>
      <c r="AC11" s="12">
        <v>14286.51</v>
      </c>
      <c r="AD11" s="12">
        <v>15670.26</v>
      </c>
      <c r="AE11" s="12">
        <v>3318.66</v>
      </c>
      <c r="AF11" s="12">
        <v>0</v>
      </c>
      <c r="AG11" s="12">
        <v>380.68</v>
      </c>
      <c r="AH11" s="91">
        <v>6922.61</v>
      </c>
      <c r="AI11" s="91">
        <v>26272.989999999998</v>
      </c>
      <c r="AJ11" s="91">
        <v>6429.67</v>
      </c>
      <c r="AK11" s="91">
        <v>12832.53</v>
      </c>
      <c r="AL11" s="91">
        <v>13678.010000000002</v>
      </c>
      <c r="AM11" s="91">
        <v>8650.93</v>
      </c>
      <c r="AN11" s="91">
        <v>20903.63</v>
      </c>
      <c r="AO11" s="91">
        <v>23556.27</v>
      </c>
      <c r="AP11" s="91">
        <v>21212.98</v>
      </c>
      <c r="AQ11" s="91">
        <v>22174.030000000002</v>
      </c>
      <c r="AR11" s="91">
        <v>22611.43</v>
      </c>
      <c r="AS11" s="91">
        <v>24599.24</v>
      </c>
      <c r="AT11" s="91">
        <v>21234.780000000002</v>
      </c>
      <c r="AU11" s="91">
        <v>22916.47</v>
      </c>
      <c r="AV11" s="91">
        <v>20510.29</v>
      </c>
      <c r="AW11" s="91">
        <v>20029.690000000002</v>
      </c>
      <c r="AX11" s="91">
        <v>21461.579999999998</v>
      </c>
      <c r="AY11" s="91">
        <v>12698.02</v>
      </c>
      <c r="AZ11" s="91">
        <v>23402.660000000003</v>
      </c>
      <c r="BA11" s="91">
        <v>17522.97</v>
      </c>
      <c r="BB11" s="91">
        <v>19032.41</v>
      </c>
      <c r="BC11" s="91">
        <v>21725.350000000002</v>
      </c>
    </row>
    <row r="12" spans="2:55" x14ac:dyDescent="0.25">
      <c r="B12" s="13" t="s">
        <v>63</v>
      </c>
      <c r="I12" s="92">
        <v>4111.26</v>
      </c>
      <c r="J12" s="92">
        <v>2099.33</v>
      </c>
      <c r="K12" s="92">
        <v>6618.92</v>
      </c>
      <c r="L12" s="92">
        <v>3088.34</v>
      </c>
      <c r="M12" s="92">
        <v>4056.2799999999997</v>
      </c>
      <c r="N12" s="92">
        <v>30817.52</v>
      </c>
      <c r="O12" s="92">
        <v>5140.84</v>
      </c>
      <c r="P12" s="92">
        <v>7358.38</v>
      </c>
      <c r="Q12" s="92">
        <v>30606.889999999996</v>
      </c>
      <c r="R12" s="92">
        <v>0</v>
      </c>
      <c r="S12" s="12">
        <v>3633.07</v>
      </c>
      <c r="T12" s="12">
        <v>6938.04</v>
      </c>
      <c r="U12" s="12">
        <v>1990.48</v>
      </c>
      <c r="V12" s="12">
        <v>2317.3000000000002</v>
      </c>
      <c r="W12" s="12">
        <v>2845.05</v>
      </c>
      <c r="X12" s="12">
        <v>3575.5600000000004</v>
      </c>
      <c r="Y12" s="12">
        <v>2270.6</v>
      </c>
      <c r="Z12" s="12">
        <v>67233.77</v>
      </c>
      <c r="AA12" s="12">
        <v>57108.840000000004</v>
      </c>
      <c r="AB12" s="12">
        <v>26030.81</v>
      </c>
      <c r="AC12" s="12">
        <v>38745.96</v>
      </c>
      <c r="AD12" s="12">
        <v>49773.42</v>
      </c>
      <c r="AE12" s="12">
        <v>8191.55</v>
      </c>
      <c r="AF12" s="12">
        <v>0</v>
      </c>
      <c r="AG12" s="12">
        <v>0</v>
      </c>
      <c r="AH12" s="91">
        <v>4793.3407999999999</v>
      </c>
      <c r="AI12" s="91">
        <v>14861.410800000001</v>
      </c>
      <c r="AJ12" s="91">
        <v>3184.0724</v>
      </c>
      <c r="AK12" s="91">
        <v>7789.5440000000008</v>
      </c>
      <c r="AL12" s="91">
        <v>7858.3502000000008</v>
      </c>
      <c r="AM12" s="91">
        <v>5050.9773999999998</v>
      </c>
      <c r="AN12" s="91">
        <v>12507.971599999999</v>
      </c>
      <c r="AO12" s="91">
        <v>13529.4974</v>
      </c>
      <c r="AP12" s="91">
        <v>14636.327599999999</v>
      </c>
      <c r="AQ12" s="91">
        <v>13535.558200000001</v>
      </c>
      <c r="AR12" s="91">
        <v>13773.949199999999</v>
      </c>
      <c r="AS12" s="91">
        <v>15000.541799999999</v>
      </c>
      <c r="AT12" s="91">
        <v>13084.468400000002</v>
      </c>
      <c r="AU12" s="91">
        <v>15702.851800000002</v>
      </c>
      <c r="AV12" s="91">
        <v>11912.663</v>
      </c>
      <c r="AW12" s="91">
        <v>13431.733800000002</v>
      </c>
      <c r="AX12" s="91">
        <v>13405.0694</v>
      </c>
      <c r="AY12" s="91">
        <v>7573.5797999999995</v>
      </c>
      <c r="AZ12" s="91">
        <v>16302.558199999999</v>
      </c>
      <c r="BA12" s="91">
        <v>10387.063600000001</v>
      </c>
      <c r="BB12" s="91">
        <v>11287.875800000002</v>
      </c>
      <c r="BC12" s="91">
        <v>13083.146999999999</v>
      </c>
    </row>
    <row r="13" spans="2:55" x14ac:dyDescent="0.25">
      <c r="B13" s="13" t="s">
        <v>64</v>
      </c>
      <c r="I13" s="92">
        <v>0</v>
      </c>
      <c r="J13" s="92">
        <v>1600</v>
      </c>
      <c r="K13" s="92">
        <v>2695</v>
      </c>
      <c r="L13" s="92">
        <v>1600</v>
      </c>
      <c r="M13" s="92">
        <v>1666.63</v>
      </c>
      <c r="N13" s="92">
        <v>89497.8</v>
      </c>
      <c r="O13" s="92">
        <v>148766.22000000003</v>
      </c>
      <c r="P13" s="92">
        <v>80584.639999999999</v>
      </c>
      <c r="Q13" s="92">
        <v>236380.34</v>
      </c>
      <c r="R13" s="92">
        <v>496644.86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4800</v>
      </c>
      <c r="Y13" s="12">
        <v>0</v>
      </c>
      <c r="Z13" s="12">
        <v>87858.8</v>
      </c>
      <c r="AA13" s="12">
        <v>135815.15999999997</v>
      </c>
      <c r="AB13" s="12">
        <v>188960.27999999997</v>
      </c>
      <c r="AC13" s="12">
        <v>229853.24</v>
      </c>
      <c r="AD13" s="12">
        <v>60703.7</v>
      </c>
      <c r="AE13" s="12">
        <v>75019.820000000007</v>
      </c>
      <c r="AF13" s="12">
        <v>792281.5</v>
      </c>
      <c r="AG13" s="12">
        <v>901623.09</v>
      </c>
      <c r="AH13" s="91">
        <v>7638.63</v>
      </c>
      <c r="AI13" s="91">
        <v>34110.379999999997</v>
      </c>
      <c r="AJ13" s="91">
        <v>5558.83</v>
      </c>
      <c r="AK13" s="91">
        <v>11721.369999999999</v>
      </c>
      <c r="AL13" s="91">
        <v>12080.11</v>
      </c>
      <c r="AM13" s="91">
        <v>7880.2600000000011</v>
      </c>
      <c r="AN13" s="91">
        <v>28238.229999999996</v>
      </c>
      <c r="AO13" s="91">
        <v>24400.29</v>
      </c>
      <c r="AP13" s="91">
        <v>21499</v>
      </c>
      <c r="AQ13" s="91">
        <v>21546</v>
      </c>
      <c r="AR13" s="91">
        <v>20924.099999999999</v>
      </c>
      <c r="AS13" s="91">
        <v>26061.409999999996</v>
      </c>
      <c r="AT13" s="91">
        <v>26703.97</v>
      </c>
      <c r="AU13" s="91">
        <v>23695.140000000003</v>
      </c>
      <c r="AV13" s="91">
        <v>22034.68</v>
      </c>
      <c r="AW13" s="91">
        <v>19403.979999999996</v>
      </c>
      <c r="AX13" s="91">
        <v>25522.690000000002</v>
      </c>
      <c r="AY13" s="91">
        <v>12017.71</v>
      </c>
      <c r="AZ13" s="91">
        <v>30987.45</v>
      </c>
      <c r="BA13" s="91">
        <v>16214.02</v>
      </c>
      <c r="BB13" s="91">
        <v>15881.28</v>
      </c>
      <c r="BC13" s="91">
        <v>20001.02</v>
      </c>
    </row>
    <row r="14" spans="2:55" x14ac:dyDescent="0.25">
      <c r="B14" s="14" t="s">
        <v>65</v>
      </c>
      <c r="I14" s="92">
        <v>24067.670000000002</v>
      </c>
      <c r="J14" s="92">
        <v>32481.13</v>
      </c>
      <c r="K14" s="92">
        <v>59734.810000000005</v>
      </c>
      <c r="L14" s="92">
        <v>3701.9500000000003</v>
      </c>
      <c r="M14" s="92">
        <v>36509.699999999997</v>
      </c>
      <c r="N14" s="92">
        <v>18552.68</v>
      </c>
      <c r="O14" s="92">
        <v>12853.699999999999</v>
      </c>
      <c r="P14" s="92">
        <v>8585.4599999999991</v>
      </c>
      <c r="Q14" s="92">
        <v>23962.36</v>
      </c>
      <c r="R14" s="92">
        <v>17622.12</v>
      </c>
      <c r="S14" s="12">
        <v>34578.26</v>
      </c>
      <c r="T14" s="12">
        <v>27391.97</v>
      </c>
      <c r="U14" s="12">
        <v>38576.51</v>
      </c>
      <c r="V14" s="12">
        <v>43429.81</v>
      </c>
      <c r="W14" s="12">
        <v>18769.68</v>
      </c>
      <c r="X14" s="12">
        <v>19708.079999999998</v>
      </c>
      <c r="Y14" s="12">
        <v>30371.19</v>
      </c>
      <c r="Z14" s="12">
        <v>17085.62</v>
      </c>
      <c r="AA14" s="12">
        <v>21612.030000000002</v>
      </c>
      <c r="AB14" s="12">
        <v>19504.32</v>
      </c>
      <c r="AC14" s="12">
        <v>26990.32</v>
      </c>
      <c r="AD14" s="12">
        <v>25936.29</v>
      </c>
      <c r="AE14" s="12">
        <v>7140.83</v>
      </c>
      <c r="AF14" s="12">
        <v>18125.34</v>
      </c>
      <c r="AG14" s="12">
        <v>25456.18</v>
      </c>
      <c r="AH14" s="91">
        <v>3620.65</v>
      </c>
      <c r="AI14" s="91">
        <v>6176.4</v>
      </c>
      <c r="AJ14" s="91">
        <v>1261.57</v>
      </c>
      <c r="AK14" s="91">
        <v>5864.17</v>
      </c>
      <c r="AL14" s="91">
        <v>5230.7700000000004</v>
      </c>
      <c r="AM14" s="91">
        <v>5629.63</v>
      </c>
      <c r="AN14" s="91">
        <v>9117.5300000000007</v>
      </c>
      <c r="AO14" s="91">
        <v>18046.77</v>
      </c>
      <c r="AP14" s="91">
        <v>10770.61</v>
      </c>
      <c r="AQ14" s="91">
        <v>11538.65</v>
      </c>
      <c r="AR14" s="91">
        <v>6670.11</v>
      </c>
      <c r="AS14" s="91">
        <v>12645.06</v>
      </c>
      <c r="AT14" s="91">
        <v>12732.18</v>
      </c>
      <c r="AU14" s="91">
        <v>13373.99</v>
      </c>
      <c r="AV14" s="91">
        <v>9451.08</v>
      </c>
      <c r="AW14" s="91">
        <v>9335.61</v>
      </c>
      <c r="AX14" s="91">
        <v>17799.62</v>
      </c>
      <c r="AY14" s="91">
        <v>14730.42</v>
      </c>
      <c r="AZ14" s="91">
        <v>21095.85</v>
      </c>
      <c r="BA14" s="91">
        <v>14063.9</v>
      </c>
      <c r="BB14" s="91">
        <v>14063.9</v>
      </c>
      <c r="BC14" s="91">
        <v>17579.87</v>
      </c>
    </row>
    <row r="17" spans="2:55" x14ac:dyDescent="0.25">
      <c r="B17" s="11" t="s">
        <v>67</v>
      </c>
      <c r="I17" s="11" t="s">
        <v>8</v>
      </c>
      <c r="J17" s="11" t="s">
        <v>9</v>
      </c>
      <c r="K17" s="11" t="s">
        <v>10</v>
      </c>
      <c r="L17" s="11" t="s">
        <v>114</v>
      </c>
      <c r="M17" s="11" t="s">
        <v>12</v>
      </c>
      <c r="N17" s="11" t="s">
        <v>13</v>
      </c>
      <c r="O17" s="11" t="s">
        <v>14</v>
      </c>
      <c r="P17" s="11" t="s">
        <v>15</v>
      </c>
      <c r="Q17" s="11" t="s">
        <v>16</v>
      </c>
      <c r="R17" s="11" t="s">
        <v>17</v>
      </c>
      <c r="S17" s="15" t="s">
        <v>18</v>
      </c>
      <c r="T17" s="15" t="s">
        <v>19</v>
      </c>
      <c r="U17" s="15" t="s">
        <v>20</v>
      </c>
      <c r="V17" s="15" t="s">
        <v>21</v>
      </c>
      <c r="W17" s="15" t="s">
        <v>22</v>
      </c>
      <c r="X17" s="15" t="s">
        <v>23</v>
      </c>
      <c r="Y17" s="15" t="s">
        <v>24</v>
      </c>
      <c r="Z17" s="15" t="s">
        <v>25</v>
      </c>
      <c r="AA17" s="15" t="s">
        <v>26</v>
      </c>
      <c r="AB17" s="15" t="s">
        <v>27</v>
      </c>
      <c r="AC17" s="15" t="s">
        <v>28</v>
      </c>
      <c r="AD17" s="15" t="s">
        <v>29</v>
      </c>
      <c r="AE17" s="15" t="s">
        <v>30</v>
      </c>
      <c r="AF17" s="15" t="s">
        <v>31</v>
      </c>
      <c r="AG17" s="15" t="s">
        <v>32</v>
      </c>
      <c r="AH17" s="11" t="s">
        <v>34</v>
      </c>
      <c r="AI17" s="11" t="s">
        <v>35</v>
      </c>
      <c r="AJ17" s="11" t="s">
        <v>36</v>
      </c>
      <c r="AK17" s="11" t="s">
        <v>37</v>
      </c>
      <c r="AL17" s="11" t="s">
        <v>38</v>
      </c>
      <c r="AM17" s="11" t="s">
        <v>39</v>
      </c>
      <c r="AN17" s="11" t="s">
        <v>33</v>
      </c>
      <c r="AO17" s="11" t="s">
        <v>40</v>
      </c>
      <c r="AP17" s="11" t="s">
        <v>41</v>
      </c>
      <c r="AQ17" s="11" t="s">
        <v>42</v>
      </c>
      <c r="AR17" s="11" t="s">
        <v>43</v>
      </c>
      <c r="AS17" s="11" t="s">
        <v>44</v>
      </c>
      <c r="AT17" s="11" t="s">
        <v>45</v>
      </c>
      <c r="AU17" s="11" t="s">
        <v>46</v>
      </c>
      <c r="AV17" s="11" t="s">
        <v>47</v>
      </c>
      <c r="AW17" s="11" t="s">
        <v>48</v>
      </c>
      <c r="AX17" s="11" t="s">
        <v>49</v>
      </c>
      <c r="AY17" s="11" t="s">
        <v>50</v>
      </c>
      <c r="AZ17" s="11" t="s">
        <v>51</v>
      </c>
      <c r="BA17" s="11" t="s">
        <v>52</v>
      </c>
      <c r="BB17" s="11" t="s">
        <v>53</v>
      </c>
      <c r="BC17" s="11" t="s">
        <v>54</v>
      </c>
    </row>
    <row r="18" spans="2:55" x14ac:dyDescent="0.25">
      <c r="B18" s="13" t="s">
        <v>62</v>
      </c>
      <c r="I18" s="89">
        <v>-10858.059999999994</v>
      </c>
      <c r="J18" s="89">
        <v>-13006.580000000009</v>
      </c>
      <c r="K18" s="89">
        <v>-7218.0799999999872</v>
      </c>
      <c r="L18" s="89">
        <v>-10510.139999999998</v>
      </c>
      <c r="M18" s="89">
        <v>-15666.949999999983</v>
      </c>
      <c r="N18" s="89">
        <v>3007.3500000000004</v>
      </c>
      <c r="O18" s="89">
        <v>4286.58</v>
      </c>
      <c r="P18" s="89">
        <v>3825.72</v>
      </c>
      <c r="Q18" s="89">
        <v>3202.880000000001</v>
      </c>
      <c r="R18" s="89">
        <v>211.51999999999998</v>
      </c>
      <c r="S18" s="89">
        <v>1119.9300000000003</v>
      </c>
      <c r="T18" s="89">
        <v>-5451.9800000000014</v>
      </c>
      <c r="U18" s="89">
        <v>-5250.8000000000011</v>
      </c>
      <c r="V18" s="89">
        <v>-10949.019999999997</v>
      </c>
      <c r="W18" s="89">
        <v>-4155.5899999999983</v>
      </c>
      <c r="X18" s="89">
        <v>-8583.51</v>
      </c>
      <c r="Y18" s="89">
        <v>-11155.740000000002</v>
      </c>
      <c r="Z18" s="89">
        <v>-9501.9099999999944</v>
      </c>
      <c r="AA18" s="89">
        <v>-21101.729999999996</v>
      </c>
      <c r="AB18" s="89">
        <v>-7206.9499999999989</v>
      </c>
      <c r="AC18" s="89">
        <v>-17960.96</v>
      </c>
      <c r="AD18" s="89">
        <v>-10837.589999999998</v>
      </c>
      <c r="AE18" s="89">
        <v>-957.39000000000033</v>
      </c>
      <c r="AF18" s="89">
        <v>-246.39</v>
      </c>
      <c r="AG18" s="89">
        <v>334.19</v>
      </c>
      <c r="AH18" s="89">
        <v>-1529.5500000000002</v>
      </c>
      <c r="AI18" s="89">
        <v>-5041.4699999999975</v>
      </c>
      <c r="AJ18" s="89">
        <v>-3695.5400000000009</v>
      </c>
      <c r="AK18" s="89">
        <v>4663.4900000000034</v>
      </c>
      <c r="AL18" s="89">
        <v>-4066.9199999999946</v>
      </c>
      <c r="AM18" s="89">
        <v>4911.3999999999996</v>
      </c>
      <c r="AN18" s="89">
        <v>-270.17999999999665</v>
      </c>
      <c r="AO18" s="89">
        <v>-1472.5300000000025</v>
      </c>
      <c r="AP18" s="89">
        <v>-7616.16</v>
      </c>
      <c r="AQ18" s="89">
        <v>-9791.2200000000012</v>
      </c>
      <c r="AR18" s="89">
        <v>4536.6600000000035</v>
      </c>
      <c r="AS18" s="89">
        <v>-1626.3600000000006</v>
      </c>
      <c r="AT18" s="89">
        <v>3381.2200000000012</v>
      </c>
      <c r="AU18" s="89">
        <v>2526.25</v>
      </c>
      <c r="AV18" s="89">
        <v>1437.1500000000015</v>
      </c>
      <c r="AW18" s="89">
        <v>1686.3200000000033</v>
      </c>
      <c r="AX18" s="89">
        <v>-16965.330000000005</v>
      </c>
      <c r="AY18" s="89">
        <v>-4651.9399999999987</v>
      </c>
      <c r="AZ18" s="89">
        <v>257.95000000000437</v>
      </c>
      <c r="BA18" s="89">
        <v>-4446.0999999999949</v>
      </c>
      <c r="BB18" s="89">
        <v>-3941.4699999999975</v>
      </c>
      <c r="BC18" s="89">
        <v>6333.67</v>
      </c>
    </row>
    <row r="19" spans="2:55" x14ac:dyDescent="0.25">
      <c r="B19" s="13" t="s">
        <v>63</v>
      </c>
      <c r="I19" s="89">
        <v>-8400.7699999999986</v>
      </c>
      <c r="J19" s="89">
        <v>-4782.42</v>
      </c>
      <c r="K19" s="89">
        <v>-17334.079999999994</v>
      </c>
      <c r="L19" s="89">
        <v>-14280.66</v>
      </c>
      <c r="M19" s="89">
        <v>-6949.21</v>
      </c>
      <c r="N19" s="89">
        <v>-10947.079999999984</v>
      </c>
      <c r="O19" s="89">
        <v>-3614.8700000000008</v>
      </c>
      <c r="P19" s="89">
        <v>-814.16999999999916</v>
      </c>
      <c r="Q19" s="89">
        <v>-5888.02</v>
      </c>
      <c r="R19" s="89">
        <v>0</v>
      </c>
      <c r="S19" s="89">
        <v>-13681.04</v>
      </c>
      <c r="T19" s="89">
        <v>1953.6600000000008</v>
      </c>
      <c r="U19" s="89">
        <v>-6987.9700000000012</v>
      </c>
      <c r="V19" s="89">
        <v>-5458.2999999999993</v>
      </c>
      <c r="W19" s="89">
        <v>-3695.7799999999997</v>
      </c>
      <c r="X19" s="89">
        <v>-7440.5899999999992</v>
      </c>
      <c r="Y19" s="89">
        <v>-1141.4200000000005</v>
      </c>
      <c r="Z19" s="89">
        <v>-43160.77999999997</v>
      </c>
      <c r="AA19" s="89">
        <v>17686.900000000001</v>
      </c>
      <c r="AB19" s="89">
        <v>-9707.9399999999987</v>
      </c>
      <c r="AC19" s="89">
        <v>-10114.010000000002</v>
      </c>
      <c r="AD19" s="89">
        <v>33395.279999999999</v>
      </c>
      <c r="AE19" s="89">
        <v>-2407.7200000000003</v>
      </c>
      <c r="AF19" s="89">
        <v>0</v>
      </c>
      <c r="AG19" s="89">
        <v>0</v>
      </c>
      <c r="AH19" s="89">
        <v>-17527.659199999995</v>
      </c>
      <c r="AI19" s="89">
        <v>-108530.4492</v>
      </c>
      <c r="AJ19" s="89">
        <v>-10128.9476</v>
      </c>
      <c r="AK19" s="89">
        <v>-28358.216</v>
      </c>
      <c r="AL19" s="89">
        <v>-25988.779799999997</v>
      </c>
      <c r="AM19" s="89">
        <v>-16824.232599999999</v>
      </c>
      <c r="AN19" s="89">
        <v>-99431.768399999986</v>
      </c>
      <c r="AO19" s="89">
        <v>-99342.602600000013</v>
      </c>
      <c r="AP19" s="89">
        <v>-54600.542399999998</v>
      </c>
      <c r="AQ19" s="89">
        <v>-76354.591799999995</v>
      </c>
      <c r="AR19" s="89">
        <v>-76783.560799999992</v>
      </c>
      <c r="AS19" s="89">
        <v>-8426.4482000000025</v>
      </c>
      <c r="AT19" s="89">
        <v>-38319.011599999998</v>
      </c>
      <c r="AU19" s="89">
        <v>-154657.61820000003</v>
      </c>
      <c r="AV19" s="89">
        <v>-27287.026999999995</v>
      </c>
      <c r="AW19" s="89">
        <v>-41801.186199999996</v>
      </c>
      <c r="AX19" s="89">
        <v>-39510.380599999997</v>
      </c>
      <c r="AY19" s="89">
        <v>-6978.610200000001</v>
      </c>
      <c r="AZ19" s="89">
        <v>-4101.5717999999979</v>
      </c>
      <c r="BA19" s="89">
        <v>-16136.426399999997</v>
      </c>
      <c r="BB19" s="89">
        <v>-24122.684200000003</v>
      </c>
      <c r="BC19" s="89">
        <v>-71832.013000000006</v>
      </c>
    </row>
    <row r="20" spans="2:55" x14ac:dyDescent="0.25">
      <c r="B20" s="13" t="s">
        <v>64</v>
      </c>
      <c r="I20" s="89">
        <v>0</v>
      </c>
      <c r="J20" s="89">
        <v>-491.75</v>
      </c>
      <c r="K20" s="89">
        <v>-13232.82</v>
      </c>
      <c r="L20" s="89">
        <v>1600</v>
      </c>
      <c r="M20" s="89">
        <v>-3343.2699999999995</v>
      </c>
      <c r="N20" s="89">
        <v>-19726.489999999991</v>
      </c>
      <c r="O20" s="89">
        <v>22381.030000000028</v>
      </c>
      <c r="P20" s="89">
        <v>-58075.029999999984</v>
      </c>
      <c r="Q20" s="89">
        <v>165060.81</v>
      </c>
      <c r="R20" s="89">
        <v>-1994.1000000000931</v>
      </c>
      <c r="S20" s="89">
        <v>-566.28</v>
      </c>
      <c r="T20" s="89">
        <v>0</v>
      </c>
      <c r="U20" s="89">
        <v>-40814.670000000006</v>
      </c>
      <c r="V20" s="89">
        <v>0</v>
      </c>
      <c r="W20" s="89">
        <v>-2513.6999999999998</v>
      </c>
      <c r="X20" s="89">
        <v>4800</v>
      </c>
      <c r="Y20" s="89">
        <v>0</v>
      </c>
      <c r="Z20" s="89">
        <v>-35850.430000000008</v>
      </c>
      <c r="AA20" s="89">
        <v>-12151.98000000001</v>
      </c>
      <c r="AB20" s="89">
        <v>27145.369999999966</v>
      </c>
      <c r="AC20" s="89">
        <v>23318.189999999973</v>
      </c>
      <c r="AD20" s="89">
        <v>12665.800000000003</v>
      </c>
      <c r="AE20" s="89">
        <v>12425.140000000007</v>
      </c>
      <c r="AF20" s="89">
        <v>-32206.490000000107</v>
      </c>
      <c r="AG20" s="89">
        <v>53916.809999999939</v>
      </c>
      <c r="AH20" s="89">
        <v>-29899.679999999997</v>
      </c>
      <c r="AI20" s="89">
        <v>-80984.94</v>
      </c>
      <c r="AJ20" s="89">
        <v>-15842.85</v>
      </c>
      <c r="AK20" s="89">
        <v>-2752.6200000000026</v>
      </c>
      <c r="AL20" s="89">
        <v>-55521.540000000008</v>
      </c>
      <c r="AM20" s="89">
        <v>-26533.54</v>
      </c>
      <c r="AN20" s="89">
        <v>-195847.88</v>
      </c>
      <c r="AO20" s="89">
        <v>-186298.18999999997</v>
      </c>
      <c r="AP20" s="89">
        <v>-12248.869999999995</v>
      </c>
      <c r="AQ20" s="89">
        <v>-25736.47</v>
      </c>
      <c r="AR20" s="89">
        <v>-267298.92</v>
      </c>
      <c r="AS20" s="89">
        <v>-205867.94</v>
      </c>
      <c r="AT20" s="89">
        <v>-48786.880000000005</v>
      </c>
      <c r="AU20" s="89">
        <v>30531.680000000004</v>
      </c>
      <c r="AV20" s="89">
        <v>-21812.699999999997</v>
      </c>
      <c r="AW20" s="89">
        <v>-66214.900000000009</v>
      </c>
      <c r="AX20" s="89">
        <v>-27142.11</v>
      </c>
      <c r="AY20" s="89">
        <v>-23443.880000000005</v>
      </c>
      <c r="AZ20" s="89">
        <v>-132998.25999999998</v>
      </c>
      <c r="BA20" s="89">
        <v>-48130.180000000008</v>
      </c>
      <c r="BB20" s="89">
        <v>-30331.210000000006</v>
      </c>
      <c r="BC20" s="89">
        <v>-292763.68</v>
      </c>
    </row>
    <row r="21" spans="2:55" x14ac:dyDescent="0.25">
      <c r="B21" s="14" t="s">
        <v>65</v>
      </c>
      <c r="I21" s="89">
        <v>3267.5800000000017</v>
      </c>
      <c r="J21" s="89">
        <v>5351.93</v>
      </c>
      <c r="K21" s="89">
        <v>21774.280000000006</v>
      </c>
      <c r="L21" s="89">
        <v>1208.48</v>
      </c>
      <c r="M21" s="89">
        <v>-4458.8100000000049</v>
      </c>
      <c r="N21" s="89">
        <v>10570.310000000001</v>
      </c>
      <c r="O21" s="89">
        <v>4384.3399999999983</v>
      </c>
      <c r="P21" s="89">
        <v>2467.5399999999991</v>
      </c>
      <c r="Q21" s="89">
        <v>10739.5</v>
      </c>
      <c r="R21" s="89">
        <v>768.72999999999956</v>
      </c>
      <c r="S21" s="89">
        <v>15259.23</v>
      </c>
      <c r="T21" s="89">
        <v>3367.3300000000017</v>
      </c>
      <c r="U21" s="89">
        <v>3340.2200000000012</v>
      </c>
      <c r="V21" s="89">
        <v>-507.25</v>
      </c>
      <c r="W21" s="89">
        <v>5559.1100000000006</v>
      </c>
      <c r="X21" s="89">
        <v>3006.2099999999955</v>
      </c>
      <c r="Y21" s="89">
        <v>493.9900000000016</v>
      </c>
      <c r="Z21" s="89">
        <v>9585.1299999999974</v>
      </c>
      <c r="AA21" s="89">
        <v>4317.5500000000029</v>
      </c>
      <c r="AB21" s="89">
        <v>-487.44999999999709</v>
      </c>
      <c r="AC21" s="89">
        <v>2912.5699999999997</v>
      </c>
      <c r="AD21" s="89">
        <v>849.00000000000364</v>
      </c>
      <c r="AE21" s="89">
        <v>555.01000000000022</v>
      </c>
      <c r="AF21" s="89">
        <v>2777.8999999999996</v>
      </c>
      <c r="AG21" s="89">
        <v>3707.59</v>
      </c>
      <c r="AH21" s="89">
        <v>-5468.7300000000014</v>
      </c>
      <c r="AI21" s="89">
        <v>-7607.5300000000007</v>
      </c>
      <c r="AJ21" s="89">
        <v>-4539.8900000000003</v>
      </c>
      <c r="AK21" s="89">
        <v>-5221.01</v>
      </c>
      <c r="AL21" s="89">
        <v>-16520.929999999997</v>
      </c>
      <c r="AM21" s="89">
        <v>-6376.71</v>
      </c>
      <c r="AN21" s="89">
        <v>-19899.260000000002</v>
      </c>
      <c r="AO21" s="89">
        <v>-4498.8899999999994</v>
      </c>
      <c r="AP21" s="89">
        <v>2432.6100000000006</v>
      </c>
      <c r="AQ21" s="89">
        <v>-4907.3099999999995</v>
      </c>
      <c r="AR21" s="89">
        <v>-15012.869999999999</v>
      </c>
      <c r="AS21" s="89">
        <v>13741.08</v>
      </c>
      <c r="AT21" s="89">
        <v>-5216.8600000000006</v>
      </c>
      <c r="AU21" s="89">
        <v>-2145.9500000000007</v>
      </c>
      <c r="AV21" s="89">
        <v>930.19999999999891</v>
      </c>
      <c r="AW21" s="89">
        <v>-15281.189999999999</v>
      </c>
      <c r="AX21" s="89">
        <v>-5725.52</v>
      </c>
      <c r="AY21" s="89">
        <v>-4381.1299999999992</v>
      </c>
      <c r="AZ21" s="89">
        <v>-7594.43</v>
      </c>
      <c r="BA21" s="89">
        <v>-57.080000000001746</v>
      </c>
      <c r="BB21" s="89">
        <v>-5722.6299999999992</v>
      </c>
      <c r="BC21" s="89">
        <v>-5958.8600000000006</v>
      </c>
    </row>
    <row r="29" spans="2:55" ht="15.75" thickBot="1" x14ac:dyDescent="0.3">
      <c r="B29" s="18" t="s">
        <v>0</v>
      </c>
      <c r="D29" s="113">
        <v>0.35770253615594216</v>
      </c>
    </row>
    <row r="30" spans="2:55" x14ac:dyDescent="0.25">
      <c r="B30" s="19" t="s">
        <v>71</v>
      </c>
      <c r="C30" t="s">
        <v>13</v>
      </c>
      <c r="D30" s="114" t="e">
        <v>#DIV/0!</v>
      </c>
    </row>
    <row r="31" spans="2:55" x14ac:dyDescent="0.25">
      <c r="B31" s="20" t="s">
        <v>72</v>
      </c>
      <c r="C31" t="s">
        <v>14</v>
      </c>
      <c r="D31" s="115" t="e">
        <v>#DIV/0!</v>
      </c>
    </row>
    <row r="32" spans="2:55" x14ac:dyDescent="0.25">
      <c r="B32" s="20" t="s">
        <v>73</v>
      </c>
      <c r="C32" t="s">
        <v>15</v>
      </c>
      <c r="D32" s="115">
        <v>7.280829999999999</v>
      </c>
    </row>
    <row r="33" spans="2:4" x14ac:dyDescent="0.25">
      <c r="B33" s="20" t="s">
        <v>74</v>
      </c>
      <c r="C33" t="s">
        <v>16</v>
      </c>
      <c r="D33" s="115">
        <v>0.56442231250000008</v>
      </c>
    </row>
    <row r="34" spans="2:4" x14ac:dyDescent="0.25">
      <c r="B34" s="20" t="s">
        <v>75</v>
      </c>
      <c r="C34" t="s">
        <v>17</v>
      </c>
      <c r="D34" s="115" t="e">
        <v>#DIV/0!</v>
      </c>
    </row>
    <row r="35" spans="2:4" x14ac:dyDescent="0.25">
      <c r="B35" s="20" t="s">
        <v>76</v>
      </c>
      <c r="C35" t="s">
        <v>8</v>
      </c>
      <c r="D35" s="115">
        <v>0.44590678815489748</v>
      </c>
    </row>
    <row r="36" spans="2:4" x14ac:dyDescent="0.25">
      <c r="B36" s="20" t="s">
        <v>77</v>
      </c>
      <c r="C36" t="s">
        <v>9</v>
      </c>
      <c r="D36" s="115">
        <v>0.14282416184971097</v>
      </c>
    </row>
    <row r="37" spans="2:4" x14ac:dyDescent="0.25">
      <c r="B37" s="20" t="s">
        <v>78</v>
      </c>
      <c r="C37" t="s">
        <v>10</v>
      </c>
      <c r="D37" s="115">
        <v>0.82848577555396719</v>
      </c>
    </row>
    <row r="38" spans="2:4" x14ac:dyDescent="0.25">
      <c r="B38" s="20" t="s">
        <v>79</v>
      </c>
      <c r="C38" t="s">
        <v>114</v>
      </c>
      <c r="D38" s="115">
        <v>5.7559975191234236E-2</v>
      </c>
    </row>
    <row r="39" spans="2:4" ht="15.75" thickBot="1" x14ac:dyDescent="0.3">
      <c r="B39" s="21" t="s">
        <v>80</v>
      </c>
      <c r="C39" t="s">
        <v>12</v>
      </c>
      <c r="D39" s="116">
        <v>0.65947319294251572</v>
      </c>
    </row>
    <row r="40" spans="2:4" ht="15.75" thickBot="1" x14ac:dyDescent="0.3">
      <c r="B40" s="27" t="s">
        <v>1</v>
      </c>
      <c r="D40" s="103">
        <v>0.39888670431641438</v>
      </c>
    </row>
    <row r="41" spans="2:4" x14ac:dyDescent="0.25">
      <c r="B41" s="19" t="s">
        <v>81</v>
      </c>
      <c r="D41" s="103">
        <v>0.42497004830917873</v>
      </c>
    </row>
    <row r="42" spans="2:4" x14ac:dyDescent="0.25">
      <c r="B42" s="20" t="s">
        <v>82</v>
      </c>
      <c r="D42" s="103">
        <v>0.59256016205266715</v>
      </c>
    </row>
    <row r="43" spans="2:4" x14ac:dyDescent="0.25">
      <c r="B43" s="20" t="s">
        <v>83</v>
      </c>
      <c r="D43" s="103">
        <v>0.22705879552980132</v>
      </c>
    </row>
    <row r="44" spans="2:4" x14ac:dyDescent="0.25">
      <c r="B44" s="20" t="s">
        <v>84</v>
      </c>
      <c r="D44" s="103">
        <v>1.0286224688866463</v>
      </c>
    </row>
    <row r="45" spans="2:4" x14ac:dyDescent="0.25">
      <c r="B45" s="20" t="s">
        <v>85</v>
      </c>
      <c r="D45" s="103">
        <v>0.53474051896207586</v>
      </c>
    </row>
    <row r="46" spans="2:4" x14ac:dyDescent="0.25">
      <c r="B46" s="20" t="s">
        <v>86</v>
      </c>
      <c r="D46" s="103">
        <v>9.2235566207309772E-2</v>
      </c>
    </row>
    <row r="47" spans="2:4" x14ac:dyDescent="0.25">
      <c r="B47" s="20" t="s">
        <v>87</v>
      </c>
      <c r="D47" s="103">
        <v>0.39012277470841006</v>
      </c>
    </row>
    <row r="48" spans="2:4" x14ac:dyDescent="0.25">
      <c r="B48" s="20" t="s">
        <v>88</v>
      </c>
      <c r="D48" s="103">
        <v>2.3662128205128203</v>
      </c>
    </row>
    <row r="49" spans="2:4" x14ac:dyDescent="0.25">
      <c r="B49" s="20" t="s">
        <v>89</v>
      </c>
      <c r="D49" s="103">
        <v>0.56551711278195493</v>
      </c>
    </row>
    <row r="50" spans="2:4" x14ac:dyDescent="0.25">
      <c r="B50" s="20" t="s">
        <v>90</v>
      </c>
      <c r="D50" s="103">
        <v>0.81451103542234349</v>
      </c>
    </row>
    <row r="51" spans="2:4" x14ac:dyDescent="0.25">
      <c r="B51" s="20" t="s">
        <v>91</v>
      </c>
      <c r="D51" s="103">
        <v>2.8940029493889687</v>
      </c>
    </row>
    <row r="52" spans="2:4" x14ac:dyDescent="0.25">
      <c r="B52" s="20" t="s">
        <v>92</v>
      </c>
      <c r="D52" s="103">
        <v>1.3417148805878749</v>
      </c>
    </row>
    <row r="53" spans="2:4" x14ac:dyDescent="0.25">
      <c r="B53" s="20" t="s">
        <v>93</v>
      </c>
      <c r="D53" s="103">
        <v>1.4933946969696967</v>
      </c>
    </row>
    <row r="54" spans="2:4" x14ac:dyDescent="0.25">
      <c r="B54" s="28" t="s">
        <v>94</v>
      </c>
      <c r="D54" s="103">
        <v>9.4220400762086876E-2</v>
      </c>
    </row>
    <row r="55" spans="2:4" ht="15.75" thickBot="1" x14ac:dyDescent="0.3">
      <c r="B55" s="29" t="s">
        <v>95</v>
      </c>
      <c r="D55" s="103">
        <v>0.23646522210184179</v>
      </c>
    </row>
    <row r="56" spans="2:4" ht="15.75" thickBot="1" x14ac:dyDescent="0.3">
      <c r="B56" s="51" t="s">
        <v>96</v>
      </c>
      <c r="D56" s="117">
        <v>0.32</v>
      </c>
    </row>
    <row r="57" spans="2:4" x14ac:dyDescent="0.25">
      <c r="B57" s="53" t="s">
        <v>98</v>
      </c>
      <c r="D57" s="119">
        <v>0.18</v>
      </c>
    </row>
    <row r="58" spans="2:4" x14ac:dyDescent="0.25">
      <c r="B58" s="52" t="s">
        <v>97</v>
      </c>
      <c r="D58" s="118">
        <v>0.43</v>
      </c>
    </row>
    <row r="59" spans="2:4" x14ac:dyDescent="0.25">
      <c r="B59" s="53" t="s">
        <v>99</v>
      </c>
      <c r="D59" s="119">
        <v>0.2</v>
      </c>
    </row>
    <row r="60" spans="2:4" x14ac:dyDescent="0.25">
      <c r="B60" s="53" t="s">
        <v>100</v>
      </c>
      <c r="D60" s="119">
        <v>0.15</v>
      </c>
    </row>
    <row r="61" spans="2:4" x14ac:dyDescent="0.25">
      <c r="B61" s="53" t="s">
        <v>101</v>
      </c>
      <c r="D61" s="119">
        <v>0.22</v>
      </c>
    </row>
    <row r="62" spans="2:4" x14ac:dyDescent="0.25">
      <c r="B62" s="53" t="s">
        <v>102</v>
      </c>
      <c r="D62" s="120">
        <v>0.03</v>
      </c>
    </row>
    <row r="63" spans="2:4" x14ac:dyDescent="0.25">
      <c r="B63" s="53" t="s">
        <v>103</v>
      </c>
      <c r="D63" s="121">
        <v>1.24</v>
      </c>
    </row>
    <row r="64" spans="2:4" ht="15.75" thickBot="1" x14ac:dyDescent="0.3">
      <c r="B64" s="53" t="s">
        <v>104</v>
      </c>
      <c r="D64" s="122">
        <v>0.18</v>
      </c>
    </row>
    <row r="65" spans="2:4" ht="15.75" thickBot="1" x14ac:dyDescent="0.3">
      <c r="B65" s="54" t="s">
        <v>105</v>
      </c>
      <c r="D65" s="117">
        <v>0.28999999999999998</v>
      </c>
    </row>
    <row r="66" spans="2:4" x14ac:dyDescent="0.25">
      <c r="B66" s="55" t="s">
        <v>106</v>
      </c>
      <c r="D66" s="118">
        <v>0.3</v>
      </c>
    </row>
    <row r="67" spans="2:4" x14ac:dyDescent="0.25">
      <c r="B67" s="56" t="s">
        <v>107</v>
      </c>
      <c r="D67" s="119">
        <v>0.57999999999999996</v>
      </c>
    </row>
    <row r="68" spans="2:4" ht="15.75" thickBot="1" x14ac:dyDescent="0.3">
      <c r="B68" s="58" t="s">
        <v>113</v>
      </c>
      <c r="D68" s="123">
        <v>0.46</v>
      </c>
    </row>
    <row r="69" spans="2:4" x14ac:dyDescent="0.25">
      <c r="B69" s="56" t="s">
        <v>109</v>
      </c>
      <c r="D69" s="119">
        <v>0.12</v>
      </c>
    </row>
    <row r="70" spans="2:4" x14ac:dyDescent="0.25">
      <c r="B70" s="57" t="s">
        <v>111</v>
      </c>
      <c r="D70" s="119">
        <v>0.47</v>
      </c>
    </row>
    <row r="71" spans="2:4" x14ac:dyDescent="0.25">
      <c r="B71" s="56" t="s">
        <v>112</v>
      </c>
      <c r="D71" s="119">
        <v>0.16</v>
      </c>
    </row>
    <row r="72" spans="2:4" x14ac:dyDescent="0.25">
      <c r="B72" s="56" t="s">
        <v>108</v>
      </c>
      <c r="D72" s="119">
        <v>0.51</v>
      </c>
    </row>
    <row r="73" spans="2:4" x14ac:dyDescent="0.25">
      <c r="B73" s="56" t="s">
        <v>110</v>
      </c>
      <c r="D73" s="119">
        <v>0.12</v>
      </c>
    </row>
  </sheetData>
  <conditionalFormatting sqref="D29:D39">
    <cfRule type="cellIs" dxfId="47" priority="1" operator="greaterThan">
      <formula>1</formula>
    </cfRule>
    <cfRule type="cellIs" dxfId="46" priority="2" operator="between">
      <formula>10%</formula>
      <formula>100%</formula>
    </cfRule>
    <cfRule type="cellIs" dxfId="45" priority="3" operator="lessThan">
      <formula>10%</formula>
    </cfRule>
  </conditionalFormatting>
  <conditionalFormatting sqref="I18:BC21">
    <cfRule type="cellIs" dxfId="44" priority="4" operator="greaterThan">
      <formula>0</formula>
    </cfRule>
    <cfRule type="cellIs" dxfId="43" priority="5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25F3-401F-40EC-8976-D7CADD10EBB3}">
  <dimension ref="B2:BC75"/>
  <sheetViews>
    <sheetView workbookViewId="0">
      <selection sqref="A1:XFD1048576"/>
    </sheetView>
  </sheetViews>
  <sheetFormatPr defaultRowHeight="15" x14ac:dyDescent="0.25"/>
  <cols>
    <col min="2" max="2" width="28.28515625" bestFit="1" customWidth="1"/>
    <col min="3" max="3" width="15.42578125" bestFit="1" customWidth="1"/>
    <col min="4" max="4" width="16.7109375" bestFit="1" customWidth="1"/>
    <col min="8" max="8" width="13.85546875" customWidth="1"/>
    <col min="9" max="9" width="11.85546875" customWidth="1"/>
    <col min="32" max="33" width="9.7109375" bestFit="1" customWidth="1"/>
    <col min="34" max="34" width="11.5703125" bestFit="1" customWidth="1"/>
    <col min="35" max="35" width="10.5703125" bestFit="1" customWidth="1"/>
    <col min="36" max="36" width="11.5703125" bestFit="1" customWidth="1"/>
    <col min="37" max="38" width="10.5703125" bestFit="1" customWidth="1"/>
    <col min="39" max="39" width="11.5703125" bestFit="1" customWidth="1"/>
    <col min="40" max="40" width="10.5703125" bestFit="1" customWidth="1"/>
    <col min="41" max="41" width="11.5703125" bestFit="1" customWidth="1"/>
    <col min="42" max="42" width="10.5703125" bestFit="1" customWidth="1"/>
    <col min="43" max="44" width="11.5703125" bestFit="1" customWidth="1"/>
    <col min="45" max="46" width="10.5703125" bestFit="1" customWidth="1"/>
    <col min="47" max="47" width="11.5703125" bestFit="1" customWidth="1"/>
    <col min="48" max="49" width="10.5703125" bestFit="1" customWidth="1"/>
    <col min="50" max="50" width="11.5703125" bestFit="1" customWidth="1"/>
    <col min="51" max="51" width="10.5703125" bestFit="1" customWidth="1"/>
    <col min="52" max="53" width="11.5703125" bestFit="1" customWidth="1"/>
    <col min="54" max="54" width="10.5703125" bestFit="1" customWidth="1"/>
    <col min="55" max="55" width="11.5703125" bestFit="1" customWidth="1"/>
  </cols>
  <sheetData>
    <row r="2" spans="2:55" x14ac:dyDescent="0.25"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1" t="s">
        <v>8</v>
      </c>
      <c r="J2" s="11" t="s">
        <v>9</v>
      </c>
      <c r="K2" s="11" t="s">
        <v>10</v>
      </c>
      <c r="L2" s="11" t="s">
        <v>114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94" t="s">
        <v>34</v>
      </c>
      <c r="AI2" s="94" t="s">
        <v>35</v>
      </c>
      <c r="AJ2" s="94" t="s">
        <v>36</v>
      </c>
      <c r="AK2" s="94" t="s">
        <v>37</v>
      </c>
      <c r="AL2" s="94" t="s">
        <v>38</v>
      </c>
      <c r="AM2" s="94" t="s">
        <v>39</v>
      </c>
      <c r="AN2" s="94" t="s">
        <v>33</v>
      </c>
      <c r="AO2" s="94" t="s">
        <v>40</v>
      </c>
      <c r="AP2" s="94" t="s">
        <v>41</v>
      </c>
      <c r="AQ2" s="94" t="s">
        <v>42</v>
      </c>
      <c r="AR2" s="94" t="s">
        <v>43</v>
      </c>
      <c r="AS2" s="94" t="s">
        <v>44</v>
      </c>
      <c r="AT2" s="94" t="s">
        <v>45</v>
      </c>
      <c r="AU2" s="94" t="s">
        <v>46</v>
      </c>
      <c r="AV2" s="94" t="s">
        <v>47</v>
      </c>
      <c r="AW2" s="94" t="s">
        <v>48</v>
      </c>
      <c r="AX2" s="94" t="s">
        <v>49</v>
      </c>
      <c r="AY2" s="94" t="s">
        <v>50</v>
      </c>
      <c r="AZ2" s="94" t="s">
        <v>51</v>
      </c>
      <c r="BA2" s="94" t="s">
        <v>52</v>
      </c>
      <c r="BB2" s="94" t="s">
        <v>53</v>
      </c>
      <c r="BC2" s="94" t="s">
        <v>54</v>
      </c>
    </row>
    <row r="3" spans="2:55" x14ac:dyDescent="0.25">
      <c r="B3" s="90" t="s">
        <v>62</v>
      </c>
      <c r="C3" s="91">
        <v>3470.4199999999996</v>
      </c>
      <c r="D3" s="91">
        <v>33359.5</v>
      </c>
      <c r="E3" s="91">
        <v>33959.000000000007</v>
      </c>
      <c r="F3" s="91">
        <v>-447.19999999999993</v>
      </c>
      <c r="G3" s="91">
        <v>6586.75</v>
      </c>
      <c r="H3" s="91">
        <v>1904.1499999999999</v>
      </c>
      <c r="I3" s="93">
        <v>24726.650000000005</v>
      </c>
      <c r="J3" s="93">
        <v>50862.930000000008</v>
      </c>
      <c r="K3" s="93">
        <v>74734.319999999978</v>
      </c>
      <c r="L3" s="93">
        <v>10507.17</v>
      </c>
      <c r="M3" s="93">
        <v>43595.249999999993</v>
      </c>
      <c r="N3" s="93">
        <v>10301.199999999999</v>
      </c>
      <c r="O3" s="93">
        <v>4607.7</v>
      </c>
      <c r="P3" s="93">
        <v>4331.33</v>
      </c>
      <c r="Q3" s="93">
        <v>12606.960000000001</v>
      </c>
      <c r="R3" s="93">
        <v>897.33</v>
      </c>
      <c r="S3" s="89">
        <v>15263.89</v>
      </c>
      <c r="T3" s="89">
        <v>14195.800000000001</v>
      </c>
      <c r="U3" s="89">
        <v>11643.51</v>
      </c>
      <c r="V3" s="89">
        <v>26299.68</v>
      </c>
      <c r="W3" s="89">
        <v>18652.670000000002</v>
      </c>
      <c r="X3" s="89">
        <v>17465.739999999998</v>
      </c>
      <c r="Y3" s="89">
        <v>19928.599999999995</v>
      </c>
      <c r="Z3" s="89">
        <v>18215.930000000004</v>
      </c>
      <c r="AA3" s="89">
        <v>25695.260000000002</v>
      </c>
      <c r="AB3" s="89">
        <v>10238.060000000001</v>
      </c>
      <c r="AC3" s="89">
        <v>37793.869999999995</v>
      </c>
      <c r="AD3" s="89">
        <v>30400.249999999996</v>
      </c>
      <c r="AE3" s="89">
        <v>1910.8799999999999</v>
      </c>
      <c r="AF3" s="89">
        <v>440.45000000000005</v>
      </c>
      <c r="AG3" s="89">
        <v>231.13</v>
      </c>
      <c r="AH3" s="91">
        <v>11174.49</v>
      </c>
      <c r="AI3" s="91">
        <v>25159.639999999996</v>
      </c>
      <c r="AJ3" s="91">
        <v>1731.2599999999998</v>
      </c>
      <c r="AK3" s="91">
        <v>5560.12</v>
      </c>
      <c r="AL3" s="91">
        <v>16155.5</v>
      </c>
      <c r="AM3" s="91">
        <v>6598.4599999999991</v>
      </c>
      <c r="AN3" s="91">
        <v>17483.120000000003</v>
      </c>
      <c r="AO3" s="91">
        <v>22724.480000000003</v>
      </c>
      <c r="AP3" s="91">
        <v>18278.29</v>
      </c>
      <c r="AQ3" s="91">
        <v>27808.98</v>
      </c>
      <c r="AR3" s="91">
        <v>19153.679999999997</v>
      </c>
      <c r="AS3" s="91">
        <v>27564.410000000003</v>
      </c>
      <c r="AT3" s="91">
        <v>15575.670000000002</v>
      </c>
      <c r="AU3" s="91">
        <v>12838.050000000001</v>
      </c>
      <c r="AV3" s="91">
        <v>13658.029999999999</v>
      </c>
      <c r="AW3" s="91">
        <v>18871.14</v>
      </c>
      <c r="AX3" s="91">
        <v>24426.329999999998</v>
      </c>
      <c r="AY3" s="91">
        <v>13170.13</v>
      </c>
      <c r="AZ3" s="91">
        <v>20855.87</v>
      </c>
      <c r="BA3" s="91">
        <v>23586.07</v>
      </c>
      <c r="BB3" s="91">
        <v>18005.93</v>
      </c>
      <c r="BC3" s="91">
        <v>14739.619999999999</v>
      </c>
    </row>
    <row r="4" spans="2:55" x14ac:dyDescent="0.25">
      <c r="B4" s="90" t="s">
        <v>63</v>
      </c>
      <c r="C4" s="91">
        <v>1140.73</v>
      </c>
      <c r="D4" s="91">
        <v>5353.1799999999994</v>
      </c>
      <c r="E4" s="91">
        <v>37485.24</v>
      </c>
      <c r="F4" s="91">
        <v>3041.2799999999997</v>
      </c>
      <c r="G4" s="91">
        <v>9925.8799999999992</v>
      </c>
      <c r="H4" s="91">
        <v>296.81</v>
      </c>
      <c r="I4" s="93">
        <v>4560.4399999999996</v>
      </c>
      <c r="J4" s="93">
        <v>8541.48</v>
      </c>
      <c r="K4" s="93">
        <v>27912.32</v>
      </c>
      <c r="L4" s="93">
        <v>8555.93</v>
      </c>
      <c r="M4" s="93">
        <v>11789.880000000001</v>
      </c>
      <c r="N4" s="93">
        <v>43476.950000000012</v>
      </c>
      <c r="O4" s="93">
        <v>8508.02</v>
      </c>
      <c r="P4" s="93">
        <v>8150.3099999999995</v>
      </c>
      <c r="Q4" s="93">
        <v>46695.42</v>
      </c>
      <c r="R4" s="93">
        <v>0</v>
      </c>
      <c r="S4" s="89">
        <v>24623.86</v>
      </c>
      <c r="T4" s="89">
        <v>4541.26</v>
      </c>
      <c r="U4" s="89">
        <v>3821.42</v>
      </c>
      <c r="V4" s="89">
        <v>6837.7600000000011</v>
      </c>
      <c r="W4" s="89">
        <v>8425.91</v>
      </c>
      <c r="X4" s="89">
        <v>15497.820000000002</v>
      </c>
      <c r="Y4" s="89">
        <v>8353.16</v>
      </c>
      <c r="Z4" s="89">
        <v>86924.01</v>
      </c>
      <c r="AA4" s="89">
        <v>34067.43</v>
      </c>
      <c r="AB4" s="89">
        <v>33705.68</v>
      </c>
      <c r="AC4" s="89">
        <v>55633.72</v>
      </c>
      <c r="AD4" s="89">
        <v>26380.559999999998</v>
      </c>
      <c r="AE4" s="89">
        <v>10168.14</v>
      </c>
      <c r="AF4" s="89">
        <v>0</v>
      </c>
      <c r="AG4" s="89">
        <v>0</v>
      </c>
      <c r="AH4" s="91">
        <v>35863.579999999994</v>
      </c>
      <c r="AI4" s="91">
        <v>98922.930000000008</v>
      </c>
      <c r="AJ4" s="91">
        <v>19366.43</v>
      </c>
      <c r="AK4" s="91">
        <v>43050.54</v>
      </c>
      <c r="AL4" s="91">
        <v>39573.519999999997</v>
      </c>
      <c r="AM4" s="91">
        <v>23210.749999999996</v>
      </c>
      <c r="AN4" s="91">
        <v>112294.24</v>
      </c>
      <c r="AO4" s="91">
        <v>104030.28</v>
      </c>
      <c r="AP4" s="91">
        <v>71090.390000000014</v>
      </c>
      <c r="AQ4" s="91">
        <v>122981.18000000001</v>
      </c>
      <c r="AR4" s="91">
        <v>126989.02999999998</v>
      </c>
      <c r="AS4" s="91">
        <v>39066.850000000006</v>
      </c>
      <c r="AT4" s="91">
        <v>38410.339999999997</v>
      </c>
      <c r="AU4" s="91">
        <v>166347.63</v>
      </c>
      <c r="AV4" s="91">
        <v>58330.26</v>
      </c>
      <c r="AW4" s="91">
        <v>74381.55</v>
      </c>
      <c r="AX4" s="91">
        <v>39052.74</v>
      </c>
      <c r="AY4" s="91">
        <v>18660.110000000004</v>
      </c>
      <c r="AZ4" s="91">
        <v>21412.289999999997</v>
      </c>
      <c r="BA4" s="91">
        <v>36375.99</v>
      </c>
      <c r="BB4" s="91">
        <v>51907.789999999994</v>
      </c>
      <c r="BC4" s="91">
        <v>103599.96</v>
      </c>
    </row>
    <row r="5" spans="2:55" x14ac:dyDescent="0.25">
      <c r="B5" s="90" t="s">
        <v>64</v>
      </c>
      <c r="C5" s="91">
        <v>0</v>
      </c>
      <c r="D5" s="91">
        <v>23093.440000000002</v>
      </c>
      <c r="E5" s="91">
        <v>41972</v>
      </c>
      <c r="F5" s="91">
        <v>0</v>
      </c>
      <c r="G5" s="91">
        <v>4504.3999999999996</v>
      </c>
      <c r="H5" s="91">
        <v>442565.64999999997</v>
      </c>
      <c r="I5" s="93">
        <v>0</v>
      </c>
      <c r="J5" s="93">
        <v>3783.56</v>
      </c>
      <c r="K5" s="93">
        <v>18970.88</v>
      </c>
      <c r="L5" s="93">
        <v>0</v>
      </c>
      <c r="M5" s="93">
        <v>20113.46</v>
      </c>
      <c r="N5" s="93">
        <v>31010.15</v>
      </c>
      <c r="O5" s="93">
        <v>132645.81</v>
      </c>
      <c r="P5" s="93">
        <v>112589.83</v>
      </c>
      <c r="Q5" s="93">
        <v>78748.73</v>
      </c>
      <c r="R5" s="93">
        <v>497765.6</v>
      </c>
      <c r="S5" s="89">
        <v>672.84</v>
      </c>
      <c r="T5" s="89">
        <v>0</v>
      </c>
      <c r="U5" s="89">
        <v>22188.71</v>
      </c>
      <c r="V5" s="89">
        <v>0</v>
      </c>
      <c r="W5" s="89">
        <v>114.98</v>
      </c>
      <c r="X5" s="89">
        <v>715</v>
      </c>
      <c r="Y5" s="89">
        <v>278.25</v>
      </c>
      <c r="Z5" s="89">
        <v>127928.3</v>
      </c>
      <c r="AA5" s="89">
        <v>132784.84</v>
      </c>
      <c r="AB5" s="89">
        <v>221176.65000000002</v>
      </c>
      <c r="AC5" s="89">
        <v>225464.05000000002</v>
      </c>
      <c r="AD5" s="89">
        <v>47398.01</v>
      </c>
      <c r="AE5" s="89">
        <v>76777.489999999991</v>
      </c>
      <c r="AF5" s="89">
        <v>802547.66</v>
      </c>
      <c r="AG5" s="89">
        <v>875239.15</v>
      </c>
      <c r="AH5" s="91">
        <v>64546.23</v>
      </c>
      <c r="AI5" s="91">
        <v>112956.97</v>
      </c>
      <c r="AJ5" s="91">
        <v>11064.71</v>
      </c>
      <c r="AK5" s="91">
        <v>18338.810000000001</v>
      </c>
      <c r="AL5" s="91">
        <v>118651.62</v>
      </c>
      <c r="AM5" s="91">
        <v>30084.260000000002</v>
      </c>
      <c r="AN5" s="91">
        <v>252871.71</v>
      </c>
      <c r="AO5" s="91">
        <v>266389.59000000003</v>
      </c>
      <c r="AP5" s="91">
        <v>75724.66</v>
      </c>
      <c r="AQ5" s="91">
        <v>59395.59</v>
      </c>
      <c r="AR5" s="91">
        <v>306056.26000000007</v>
      </c>
      <c r="AS5" s="91">
        <v>40848.160000000003</v>
      </c>
      <c r="AT5" s="91">
        <v>59350.69</v>
      </c>
      <c r="AU5" s="91">
        <v>73619.42</v>
      </c>
      <c r="AV5" s="91">
        <v>36927.57</v>
      </c>
      <c r="AW5" s="91">
        <v>59201.68</v>
      </c>
      <c r="AX5" s="91">
        <v>279278.28000000003</v>
      </c>
      <c r="AY5" s="91">
        <v>63276.36</v>
      </c>
      <c r="AZ5" s="91">
        <v>108094.75999999998</v>
      </c>
      <c r="BA5" s="91">
        <v>171422.25</v>
      </c>
      <c r="BB5" s="91">
        <v>10483.599999999999</v>
      </c>
      <c r="BC5" s="91">
        <v>114917.67999999998</v>
      </c>
    </row>
    <row r="6" spans="2:55" x14ac:dyDescent="0.25">
      <c r="B6" s="90" t="s">
        <v>58</v>
      </c>
      <c r="C6" s="89">
        <v>968.13</v>
      </c>
      <c r="D6" s="89">
        <v>54809.75</v>
      </c>
      <c r="E6" s="89">
        <v>51309.2</v>
      </c>
      <c r="F6" s="89">
        <v>1761.5</v>
      </c>
      <c r="G6" s="89">
        <v>7881.41</v>
      </c>
      <c r="H6" s="89">
        <v>18231.940000000002</v>
      </c>
      <c r="I6" s="93">
        <v>34794.720000000001</v>
      </c>
      <c r="J6" s="93">
        <v>42961.54</v>
      </c>
      <c r="K6" s="93">
        <v>82413.3</v>
      </c>
      <c r="L6" s="93">
        <v>6090.45</v>
      </c>
      <c r="M6" s="93">
        <v>47639.51</v>
      </c>
      <c r="N6" s="93">
        <v>15419.58</v>
      </c>
      <c r="O6" s="93">
        <v>3090.13</v>
      </c>
      <c r="P6" s="93">
        <v>4434.1799999999994</v>
      </c>
      <c r="Q6" s="93">
        <v>5216.63</v>
      </c>
      <c r="R6" s="93">
        <v>17087.75</v>
      </c>
      <c r="S6" s="89">
        <v>30036.28</v>
      </c>
      <c r="T6" s="89">
        <v>24602.74</v>
      </c>
      <c r="U6" s="89">
        <v>32268.92</v>
      </c>
      <c r="V6" s="89">
        <v>47102.04</v>
      </c>
      <c r="W6" s="89">
        <v>9791.3700000000008</v>
      </c>
      <c r="X6" s="89">
        <v>20251.37</v>
      </c>
      <c r="Y6" s="89">
        <v>30074.31</v>
      </c>
      <c r="Z6" s="89">
        <v>13624.220000000001</v>
      </c>
      <c r="AA6" s="89">
        <v>20061.29</v>
      </c>
      <c r="AB6" s="89">
        <v>22545.599999999999</v>
      </c>
      <c r="AC6" s="89">
        <v>23141.01</v>
      </c>
      <c r="AD6" s="89">
        <v>35705.24</v>
      </c>
      <c r="AE6" s="89">
        <v>5704.98</v>
      </c>
      <c r="AF6" s="89">
        <v>15866.64</v>
      </c>
      <c r="AG6" s="89">
        <v>47166.98</v>
      </c>
      <c r="AH6" s="91">
        <v>13191.36</v>
      </c>
      <c r="AI6" s="91">
        <v>1391.0900000000001</v>
      </c>
      <c r="AJ6" s="91">
        <v>5613.9299999999994</v>
      </c>
      <c r="AK6" s="91">
        <v>10033.720000000001</v>
      </c>
      <c r="AL6" s="91">
        <v>18204.84</v>
      </c>
      <c r="AM6" s="91">
        <v>6167.05</v>
      </c>
      <c r="AN6" s="91">
        <v>-1361.5700000000002</v>
      </c>
      <c r="AO6" s="91">
        <v>15547.37</v>
      </c>
      <c r="AP6" s="91">
        <v>18201.509999999998</v>
      </c>
      <c r="AQ6" s="91">
        <v>24947.68</v>
      </c>
      <c r="AR6" s="91">
        <v>35719.230000000003</v>
      </c>
      <c r="AS6" s="91">
        <v>17654.53</v>
      </c>
      <c r="AT6" s="91">
        <v>18949.41</v>
      </c>
      <c r="AU6" s="91">
        <v>18657.78</v>
      </c>
      <c r="AV6" s="91">
        <v>16917.12</v>
      </c>
      <c r="AW6" s="91">
        <v>18202.419999999998</v>
      </c>
      <c r="AX6" s="91">
        <v>18962.7</v>
      </c>
      <c r="AY6" s="91">
        <v>-5698.87</v>
      </c>
      <c r="AZ6" s="91">
        <v>19429.169999999998</v>
      </c>
      <c r="BA6" s="91">
        <v>14109.46</v>
      </c>
      <c r="BB6" s="91">
        <v>19909.91</v>
      </c>
      <c r="BC6" s="91">
        <v>15273.17</v>
      </c>
    </row>
    <row r="7" spans="2:55" x14ac:dyDescent="0.25">
      <c r="B7" s="90" t="s">
        <v>115</v>
      </c>
      <c r="I7" s="155">
        <v>0.49822569476082001</v>
      </c>
      <c r="J7" s="155">
        <v>0.16059526011560693</v>
      </c>
      <c r="K7" s="155">
        <v>0.92954167262330234</v>
      </c>
      <c r="L7" s="155">
        <v>0.26344420095100268</v>
      </c>
      <c r="M7" s="155">
        <v>0.67234428002276603</v>
      </c>
      <c r="N7" s="155" t="s">
        <v>122</v>
      </c>
      <c r="O7" s="155" t="s">
        <v>122</v>
      </c>
      <c r="P7" s="155">
        <v>8.4694333333333329</v>
      </c>
      <c r="Q7" s="155">
        <v>0.56442231250000008</v>
      </c>
      <c r="R7" s="155" t="s">
        <v>122</v>
      </c>
      <c r="S7" s="154">
        <v>0.4754863123993559</v>
      </c>
      <c r="T7" s="154">
        <v>0.59256016205266715</v>
      </c>
      <c r="U7" s="154">
        <v>0.25992044701986755</v>
      </c>
      <c r="V7" s="154">
        <v>1.1098010763538513</v>
      </c>
      <c r="W7" s="154">
        <v>0.50505988023952098</v>
      </c>
      <c r="X7" s="154">
        <v>0.12775563810665069</v>
      </c>
      <c r="Y7" s="154">
        <v>0.41765966850828729</v>
      </c>
      <c r="Z7" s="154">
        <v>0.63206255639097741</v>
      </c>
      <c r="AA7" s="154">
        <v>1.349381607629428</v>
      </c>
      <c r="AB7" s="154">
        <v>3.0327173059024042</v>
      </c>
      <c r="AC7" s="154">
        <v>1.5745838334353948</v>
      </c>
      <c r="AD7" s="154">
        <v>0.30861358104986891</v>
      </c>
      <c r="AE7" s="154">
        <v>0.3183913326110509</v>
      </c>
      <c r="AF7" s="154">
        <v>0.53813589743589729</v>
      </c>
      <c r="AG7" s="154">
        <v>1.4933946969696967</v>
      </c>
      <c r="AH7" s="154">
        <v>0.56460941704035883</v>
      </c>
      <c r="AI7" s="154">
        <v>0.48381934805467935</v>
      </c>
      <c r="AJ7" s="154">
        <v>0.24874058121432277</v>
      </c>
      <c r="AK7" s="154">
        <v>0.14542792247122954</v>
      </c>
      <c r="AL7" s="154">
        <v>0.25177231450719822</v>
      </c>
      <c r="AM7" s="154">
        <v>1.253003530834341</v>
      </c>
      <c r="AN7" s="154">
        <v>0.19776771217712186</v>
      </c>
      <c r="AO7" s="154">
        <v>0.18550085342117081</v>
      </c>
      <c r="AP7" s="154">
        <v>0.35496404689535388</v>
      </c>
      <c r="AQ7" s="154">
        <v>0.66974490920881957</v>
      </c>
      <c r="AR7" s="154">
        <v>0.46312891036321979</v>
      </c>
      <c r="AS7" s="154">
        <v>0.32042780366573465</v>
      </c>
      <c r="AT7" s="154">
        <v>0.47464120781527536</v>
      </c>
      <c r="AU7" s="154">
        <v>0.16596714993576803</v>
      </c>
      <c r="AV7" s="154">
        <v>0.78033857493857517</v>
      </c>
      <c r="AW7" s="154">
        <v>0.18865872148527138</v>
      </c>
    </row>
    <row r="10" spans="2:55" x14ac:dyDescent="0.25">
      <c r="B10" s="11" t="s">
        <v>123</v>
      </c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1" t="s">
        <v>8</v>
      </c>
      <c r="J10" s="11" t="s">
        <v>9</v>
      </c>
      <c r="K10" s="11" t="s">
        <v>10</v>
      </c>
      <c r="L10" s="11" t="s">
        <v>114</v>
      </c>
      <c r="M10" s="11" t="s">
        <v>12</v>
      </c>
      <c r="N10" s="11" t="s">
        <v>13</v>
      </c>
      <c r="O10" s="11" t="s">
        <v>14</v>
      </c>
      <c r="P10" s="11" t="s">
        <v>15</v>
      </c>
      <c r="Q10" s="11" t="s">
        <v>16</v>
      </c>
      <c r="R10" s="11" t="s">
        <v>17</v>
      </c>
      <c r="S10" s="11" t="s">
        <v>18</v>
      </c>
      <c r="T10" s="11" t="s">
        <v>19</v>
      </c>
      <c r="U10" s="11" t="s">
        <v>20</v>
      </c>
      <c r="V10" s="11" t="s">
        <v>21</v>
      </c>
      <c r="W10" s="11" t="s">
        <v>22</v>
      </c>
      <c r="X10" s="11" t="s">
        <v>23</v>
      </c>
      <c r="Y10" s="11" t="s">
        <v>24</v>
      </c>
      <c r="Z10" s="11" t="s">
        <v>25</v>
      </c>
      <c r="AA10" s="11" t="s">
        <v>26</v>
      </c>
      <c r="AB10" s="11" t="s">
        <v>27</v>
      </c>
      <c r="AC10" s="11" t="s">
        <v>28</v>
      </c>
      <c r="AD10" s="11" t="s">
        <v>29</v>
      </c>
      <c r="AE10" s="11" t="s">
        <v>30</v>
      </c>
      <c r="AF10" s="11" t="s">
        <v>31</v>
      </c>
      <c r="AG10" s="11" t="s">
        <v>32</v>
      </c>
      <c r="AH10" s="94" t="s">
        <v>34</v>
      </c>
      <c r="AI10" s="94" t="s">
        <v>35</v>
      </c>
      <c r="AJ10" s="94" t="s">
        <v>36</v>
      </c>
      <c r="AK10" s="94" t="s">
        <v>37</v>
      </c>
      <c r="AL10" s="94" t="s">
        <v>38</v>
      </c>
      <c r="AM10" s="94" t="s">
        <v>39</v>
      </c>
      <c r="AN10" s="94" t="s">
        <v>33</v>
      </c>
      <c r="AO10" s="94" t="s">
        <v>40</v>
      </c>
      <c r="AP10" s="94" t="s">
        <v>41</v>
      </c>
      <c r="AQ10" s="94" t="s">
        <v>42</v>
      </c>
      <c r="AR10" s="94" t="s">
        <v>43</v>
      </c>
      <c r="AS10" s="94" t="s">
        <v>44</v>
      </c>
      <c r="AT10" s="94" t="s">
        <v>45</v>
      </c>
      <c r="AU10" s="94" t="s">
        <v>46</v>
      </c>
      <c r="AV10" s="94" t="s">
        <v>47</v>
      </c>
      <c r="AW10" s="94" t="s">
        <v>48</v>
      </c>
      <c r="AX10" s="94" t="s">
        <v>49</v>
      </c>
      <c r="AY10" s="94" t="s">
        <v>50</v>
      </c>
      <c r="AZ10" s="94" t="s">
        <v>51</v>
      </c>
      <c r="BA10" s="94" t="s">
        <v>52</v>
      </c>
      <c r="BB10" s="94" t="s">
        <v>53</v>
      </c>
      <c r="BC10" s="94" t="s">
        <v>54</v>
      </c>
    </row>
    <row r="11" spans="2:55" x14ac:dyDescent="0.25">
      <c r="B11" s="13" t="s">
        <v>62</v>
      </c>
      <c r="I11" s="93">
        <v>21021.859999999997</v>
      </c>
      <c r="J11" s="93">
        <v>40448.179999999993</v>
      </c>
      <c r="K11" s="93">
        <v>65337.05</v>
      </c>
      <c r="L11" s="93">
        <v>10511.57</v>
      </c>
      <c r="M11" s="93">
        <v>38810.429999999993</v>
      </c>
      <c r="N11" s="93">
        <v>16707.57</v>
      </c>
      <c r="O11" s="93">
        <v>8870.3000000000011</v>
      </c>
      <c r="P11" s="93">
        <v>7748.6600000000008</v>
      </c>
      <c r="Q11" s="93">
        <v>18825.580000000002</v>
      </c>
      <c r="R11" s="93">
        <v>254.44</v>
      </c>
      <c r="S11" s="124">
        <v>11310.16</v>
      </c>
      <c r="T11" s="124">
        <v>9586.6500000000015</v>
      </c>
      <c r="U11" s="124">
        <v>14113.169999999998</v>
      </c>
      <c r="V11" s="124">
        <v>14721.61</v>
      </c>
      <c r="W11" s="124">
        <v>8606.77</v>
      </c>
      <c r="X11" s="124">
        <v>10127.770000000002</v>
      </c>
      <c r="Y11" s="124">
        <v>12218.689999999999</v>
      </c>
      <c r="Z11" s="124">
        <v>9765.52</v>
      </c>
      <c r="AA11" s="124">
        <v>10089.299999999999</v>
      </c>
      <c r="AB11" s="124">
        <v>8808.86</v>
      </c>
      <c r="AC11" s="124">
        <v>15054.47</v>
      </c>
      <c r="AD11" s="124">
        <v>16466.089999999997</v>
      </c>
      <c r="AE11" s="124">
        <v>3488.11</v>
      </c>
      <c r="AF11" s="124">
        <v>0</v>
      </c>
      <c r="AG11" s="124">
        <v>396.88</v>
      </c>
      <c r="AH11" s="91">
        <v>7290.23</v>
      </c>
      <c r="AI11" s="91">
        <v>27548.18</v>
      </c>
      <c r="AJ11" s="91">
        <v>6783.2099999999991</v>
      </c>
      <c r="AK11" s="91">
        <v>13479.58</v>
      </c>
      <c r="AL11" s="91">
        <v>14337.59</v>
      </c>
      <c r="AM11" s="91">
        <v>9087.2100000000009</v>
      </c>
      <c r="AN11" s="91">
        <v>21910.61</v>
      </c>
      <c r="AO11" s="91">
        <v>24750.400000000001</v>
      </c>
      <c r="AP11" s="91">
        <v>22268.18</v>
      </c>
      <c r="AQ11" s="91">
        <v>23288.18</v>
      </c>
      <c r="AR11" s="91">
        <v>23827.8</v>
      </c>
      <c r="AS11" s="91">
        <v>25908.84</v>
      </c>
      <c r="AT11" s="91">
        <v>22294.370000000003</v>
      </c>
      <c r="AU11" s="91">
        <v>24130.68</v>
      </c>
      <c r="AV11" s="91">
        <v>21528.55</v>
      </c>
      <c r="AW11" s="91">
        <v>21110.219999999998</v>
      </c>
      <c r="AX11" s="91">
        <v>22262.95</v>
      </c>
      <c r="AY11" s="91">
        <v>13502.4</v>
      </c>
      <c r="AZ11" s="91">
        <v>24276.710000000003</v>
      </c>
      <c r="BA11" s="91">
        <v>18430.260000000002</v>
      </c>
      <c r="BB11" s="91">
        <v>19970.569999999996</v>
      </c>
      <c r="BC11" s="91">
        <v>22814.47</v>
      </c>
    </row>
    <row r="12" spans="2:55" x14ac:dyDescent="0.25">
      <c r="B12" s="13" t="s">
        <v>63</v>
      </c>
      <c r="I12" s="93">
        <v>4247.26</v>
      </c>
      <c r="J12" s="93">
        <v>2169.3000000000002</v>
      </c>
      <c r="K12" s="93">
        <v>6839.54</v>
      </c>
      <c r="L12" s="93">
        <v>3191.28</v>
      </c>
      <c r="M12" s="93">
        <v>4191.4799999999996</v>
      </c>
      <c r="N12" s="93">
        <v>31844.780000000002</v>
      </c>
      <c r="O12" s="93">
        <v>5222.5200000000004</v>
      </c>
      <c r="P12" s="93">
        <v>7603.66</v>
      </c>
      <c r="Q12" s="93">
        <v>31531.23</v>
      </c>
      <c r="R12" s="93">
        <v>0</v>
      </c>
      <c r="S12" s="124">
        <v>3633.07</v>
      </c>
      <c r="T12" s="124">
        <v>6938.04</v>
      </c>
      <c r="U12" s="124">
        <v>1990.48</v>
      </c>
      <c r="V12" s="124">
        <v>2317.3000000000002</v>
      </c>
      <c r="W12" s="124">
        <v>2845.05</v>
      </c>
      <c r="X12" s="124">
        <v>3575.5600000000004</v>
      </c>
      <c r="Y12" s="124">
        <v>2270.6</v>
      </c>
      <c r="Z12" s="124">
        <v>67233.77</v>
      </c>
      <c r="AA12" s="124">
        <v>57108.840000000004</v>
      </c>
      <c r="AB12" s="124">
        <v>26030.81</v>
      </c>
      <c r="AC12" s="124">
        <v>38745.96</v>
      </c>
      <c r="AD12" s="124">
        <v>49773.42</v>
      </c>
      <c r="AE12" s="124">
        <v>8191.55</v>
      </c>
      <c r="AF12" s="124">
        <v>0</v>
      </c>
      <c r="AG12" s="124">
        <v>0</v>
      </c>
      <c r="AH12" s="91">
        <v>10047.9872</v>
      </c>
      <c r="AI12" s="91">
        <v>31147.372000000003</v>
      </c>
      <c r="AJ12" s="91">
        <v>6707.9968000000008</v>
      </c>
      <c r="AK12" s="91">
        <v>16328.015600000001</v>
      </c>
      <c r="AL12" s="91">
        <v>16447.192800000001</v>
      </c>
      <c r="AM12" s="91">
        <v>10583.715599999998</v>
      </c>
      <c r="AN12" s="91">
        <v>26184.2932</v>
      </c>
      <c r="AO12" s="91">
        <v>28394.222400000002</v>
      </c>
      <c r="AP12" s="91">
        <v>30701.390800000001</v>
      </c>
      <c r="AQ12" s="91">
        <v>28398.464800000002</v>
      </c>
      <c r="AR12" s="91">
        <v>28942.688399999999</v>
      </c>
      <c r="AS12" s="91">
        <v>31583.085600000002</v>
      </c>
      <c r="AT12" s="91">
        <v>27455.306</v>
      </c>
      <c r="AU12" s="91">
        <v>33014.947999999997</v>
      </c>
      <c r="AV12" s="91">
        <v>25003.975600000002</v>
      </c>
      <c r="AW12" s="91">
        <v>28260.551999999996</v>
      </c>
      <c r="AX12" s="91">
        <v>27750.239600000001</v>
      </c>
      <c r="AY12" s="91">
        <v>16030.934000000001</v>
      </c>
      <c r="AZ12" s="91">
        <v>33765.932000000001</v>
      </c>
      <c r="BA12" s="91">
        <v>21800.972000000002</v>
      </c>
      <c r="BB12" s="91">
        <v>23638.196400000001</v>
      </c>
      <c r="BC12" s="91">
        <v>27444.615199999997</v>
      </c>
    </row>
    <row r="13" spans="2:55" x14ac:dyDescent="0.25">
      <c r="B13" s="13" t="s">
        <v>64</v>
      </c>
      <c r="I13" s="93">
        <v>0</v>
      </c>
      <c r="J13" s="93">
        <v>1600</v>
      </c>
      <c r="K13" s="93">
        <v>2695</v>
      </c>
      <c r="L13" s="93">
        <v>1600</v>
      </c>
      <c r="M13" s="93">
        <v>1666.63</v>
      </c>
      <c r="N13" s="93">
        <v>92379.839999999997</v>
      </c>
      <c r="O13" s="93">
        <v>151244.53999999998</v>
      </c>
      <c r="P13" s="93">
        <v>83549.69</v>
      </c>
      <c r="Q13" s="93">
        <v>240875.00999999998</v>
      </c>
      <c r="R13" s="93">
        <v>510385.96</v>
      </c>
      <c r="S13" s="124">
        <v>0</v>
      </c>
      <c r="T13" s="124">
        <v>0</v>
      </c>
      <c r="U13" s="124">
        <v>0</v>
      </c>
      <c r="V13" s="124">
        <v>0</v>
      </c>
      <c r="W13" s="124">
        <v>0</v>
      </c>
      <c r="X13" s="124">
        <v>4800</v>
      </c>
      <c r="Y13" s="124">
        <v>0</v>
      </c>
      <c r="Z13" s="124">
        <v>87858.8</v>
      </c>
      <c r="AA13" s="124">
        <v>135815.15999999997</v>
      </c>
      <c r="AB13" s="124">
        <v>188960.27999999997</v>
      </c>
      <c r="AC13" s="124">
        <v>225853.24</v>
      </c>
      <c r="AD13" s="124">
        <v>60703.7</v>
      </c>
      <c r="AE13" s="124">
        <v>75019.820000000007</v>
      </c>
      <c r="AF13" s="124">
        <v>792281.5</v>
      </c>
      <c r="AG13" s="124">
        <v>901623.09</v>
      </c>
      <c r="AH13" s="91">
        <v>7638.63</v>
      </c>
      <c r="AI13" s="91">
        <v>34110.379999999997</v>
      </c>
      <c r="AJ13" s="91">
        <v>5558.83</v>
      </c>
      <c r="AK13" s="91">
        <v>11721.369999999999</v>
      </c>
      <c r="AL13" s="91">
        <v>12080.11</v>
      </c>
      <c r="AM13" s="91">
        <v>7880.2600000000011</v>
      </c>
      <c r="AN13" s="91">
        <v>28238.229999999996</v>
      </c>
      <c r="AO13" s="91">
        <v>24400.29</v>
      </c>
      <c r="AP13" s="91">
        <v>21499</v>
      </c>
      <c r="AQ13" s="91">
        <v>21546</v>
      </c>
      <c r="AR13" s="91">
        <v>20924.099999999999</v>
      </c>
      <c r="AS13" s="91">
        <v>26061.409999999996</v>
      </c>
      <c r="AT13" s="91">
        <v>26703.97</v>
      </c>
      <c r="AU13" s="91">
        <v>23695.140000000003</v>
      </c>
      <c r="AV13" s="91">
        <v>22034.68</v>
      </c>
      <c r="AW13" s="91">
        <v>19403.979999999996</v>
      </c>
      <c r="AX13" s="91">
        <v>25767.690000000002</v>
      </c>
      <c r="AY13" s="91">
        <v>12017.71</v>
      </c>
      <c r="AZ13" s="91">
        <v>30987.45</v>
      </c>
      <c r="BA13" s="91">
        <v>16214.02</v>
      </c>
      <c r="BB13" s="91">
        <v>15881.28</v>
      </c>
      <c r="BC13" s="91">
        <v>20001.02</v>
      </c>
    </row>
    <row r="14" spans="2:55" x14ac:dyDescent="0.25">
      <c r="B14" s="14" t="s">
        <v>65</v>
      </c>
      <c r="I14" s="93">
        <v>24869.91</v>
      </c>
      <c r="J14" s="93">
        <v>33563.83</v>
      </c>
      <c r="K14" s="93">
        <v>61725.96</v>
      </c>
      <c r="L14" s="93">
        <v>3825.33</v>
      </c>
      <c r="M14" s="93">
        <v>37726.699999999997</v>
      </c>
      <c r="N14" s="93">
        <v>19171.099999999999</v>
      </c>
      <c r="O14" s="93">
        <v>13282.14</v>
      </c>
      <c r="P14" s="93">
        <v>8871.6299999999992</v>
      </c>
      <c r="Q14" s="93">
        <v>24761.1</v>
      </c>
      <c r="R14" s="93">
        <v>18209.52</v>
      </c>
      <c r="S14" s="89">
        <v>34578.26</v>
      </c>
      <c r="T14" s="89">
        <v>27391.97</v>
      </c>
      <c r="U14" s="89">
        <v>38576.51</v>
      </c>
      <c r="V14" s="89">
        <v>43429.81</v>
      </c>
      <c r="W14" s="89">
        <v>18769.68</v>
      </c>
      <c r="X14" s="89">
        <v>19708.079999999998</v>
      </c>
      <c r="Y14" s="89">
        <v>30371.19</v>
      </c>
      <c r="Z14" s="89">
        <v>17085.62</v>
      </c>
      <c r="AA14" s="89">
        <v>21612.030000000002</v>
      </c>
      <c r="AB14" s="89">
        <v>19504.32</v>
      </c>
      <c r="AC14" s="89">
        <v>26990.32</v>
      </c>
      <c r="AD14" s="89">
        <v>25936.29</v>
      </c>
      <c r="AE14" s="89">
        <v>7140.83</v>
      </c>
      <c r="AF14" s="89">
        <v>18125.34</v>
      </c>
      <c r="AG14" s="89">
        <v>25456.18</v>
      </c>
      <c r="AH14" s="91">
        <v>3741.33</v>
      </c>
      <c r="AI14" s="91">
        <v>6382.28</v>
      </c>
      <c r="AJ14" s="91">
        <v>1303.6199999999999</v>
      </c>
      <c r="AK14" s="91">
        <v>6059.64</v>
      </c>
      <c r="AL14" s="91">
        <v>5405.13</v>
      </c>
      <c r="AM14" s="91">
        <v>5817.28</v>
      </c>
      <c r="AN14" s="91">
        <v>9421.4500000000007</v>
      </c>
      <c r="AO14" s="91">
        <v>18648.330000000002</v>
      </c>
      <c r="AP14" s="91">
        <v>11129.63</v>
      </c>
      <c r="AQ14" s="91">
        <v>11923.27</v>
      </c>
      <c r="AR14" s="91">
        <v>6892.44</v>
      </c>
      <c r="AS14" s="91">
        <v>13066.56</v>
      </c>
      <c r="AT14" s="91">
        <v>13156.58</v>
      </c>
      <c r="AU14" s="91">
        <v>13819.79</v>
      </c>
      <c r="AV14" s="91">
        <v>9766.11</v>
      </c>
      <c r="AW14" s="91">
        <v>9646.7999999999993</v>
      </c>
      <c r="AX14" s="91">
        <v>18392.939999999999</v>
      </c>
      <c r="AY14" s="91">
        <v>15221.43</v>
      </c>
      <c r="AZ14" s="91">
        <v>21799.040000000001</v>
      </c>
      <c r="BA14" s="91">
        <v>14532.7</v>
      </c>
      <c r="BB14" s="91">
        <v>14532.7</v>
      </c>
      <c r="BC14" s="91">
        <v>18165.87</v>
      </c>
    </row>
    <row r="15" spans="2:55" x14ac:dyDescent="0.25">
      <c r="AH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</row>
    <row r="17" spans="2:55" x14ac:dyDescent="0.25">
      <c r="B17" s="11" t="s">
        <v>67</v>
      </c>
      <c r="C17" s="16" t="s">
        <v>2</v>
      </c>
      <c r="D17" s="16" t="s">
        <v>3</v>
      </c>
      <c r="E17" s="16" t="s">
        <v>4</v>
      </c>
      <c r="F17" s="16" t="s">
        <v>5</v>
      </c>
      <c r="G17" s="16" t="s">
        <v>6</v>
      </c>
      <c r="H17" s="16" t="s">
        <v>7</v>
      </c>
      <c r="I17" s="11" t="s">
        <v>8</v>
      </c>
      <c r="J17" s="11" t="s">
        <v>9</v>
      </c>
      <c r="K17" s="11" t="s">
        <v>10</v>
      </c>
      <c r="L17" s="11" t="s">
        <v>114</v>
      </c>
      <c r="M17" s="11" t="s">
        <v>12</v>
      </c>
      <c r="N17" s="11" t="s">
        <v>13</v>
      </c>
      <c r="O17" s="11" t="s">
        <v>14</v>
      </c>
      <c r="P17" s="11" t="s">
        <v>15</v>
      </c>
      <c r="Q17" s="11" t="s">
        <v>16</v>
      </c>
      <c r="R17" s="11" t="s">
        <v>17</v>
      </c>
      <c r="S17" s="11" t="s">
        <v>18</v>
      </c>
      <c r="T17" s="11" t="s">
        <v>19</v>
      </c>
      <c r="U17" s="11" t="s">
        <v>20</v>
      </c>
      <c r="V17" s="11" t="s">
        <v>21</v>
      </c>
      <c r="W17" s="11" t="s">
        <v>22</v>
      </c>
      <c r="X17" s="11" t="s">
        <v>23</v>
      </c>
      <c r="Y17" s="11" t="s">
        <v>24</v>
      </c>
      <c r="Z17" s="11" t="s">
        <v>25</v>
      </c>
      <c r="AA17" s="11" t="s">
        <v>26</v>
      </c>
      <c r="AB17" s="11" t="s">
        <v>27</v>
      </c>
      <c r="AC17" s="11" t="s">
        <v>28</v>
      </c>
      <c r="AD17" s="11" t="s">
        <v>29</v>
      </c>
      <c r="AE17" s="11" t="s">
        <v>30</v>
      </c>
      <c r="AF17" s="11" t="s">
        <v>31</v>
      </c>
      <c r="AG17" s="11" t="s">
        <v>32</v>
      </c>
      <c r="AH17" s="94" t="s">
        <v>34</v>
      </c>
      <c r="AI17" s="94" t="s">
        <v>35</v>
      </c>
      <c r="AJ17" s="94" t="s">
        <v>36</v>
      </c>
      <c r="AK17" s="94" t="s">
        <v>37</v>
      </c>
      <c r="AL17" s="94" t="s">
        <v>38</v>
      </c>
      <c r="AM17" s="94" t="s">
        <v>39</v>
      </c>
      <c r="AN17" s="94" t="s">
        <v>33</v>
      </c>
      <c r="AO17" s="94" t="s">
        <v>40</v>
      </c>
      <c r="AP17" s="94" t="s">
        <v>41</v>
      </c>
      <c r="AQ17" s="94" t="s">
        <v>42</v>
      </c>
      <c r="AR17" s="94" t="s">
        <v>43</v>
      </c>
      <c r="AS17" s="94" t="s">
        <v>44</v>
      </c>
      <c r="AT17" s="94" t="s">
        <v>45</v>
      </c>
      <c r="AU17" s="94" t="s">
        <v>46</v>
      </c>
      <c r="AV17" s="94" t="s">
        <v>47</v>
      </c>
      <c r="AW17" s="94" t="s">
        <v>48</v>
      </c>
      <c r="AX17" s="94" t="s">
        <v>49</v>
      </c>
      <c r="AY17" s="94" t="s">
        <v>50</v>
      </c>
      <c r="AZ17" s="94" t="s">
        <v>51</v>
      </c>
      <c r="BA17" s="94" t="s">
        <v>52</v>
      </c>
      <c r="BB17" s="94" t="s">
        <v>53</v>
      </c>
      <c r="BC17" s="94" t="s">
        <v>54</v>
      </c>
    </row>
    <row r="18" spans="2:55" x14ac:dyDescent="0.25">
      <c r="B18" s="13" t="s">
        <v>62</v>
      </c>
      <c r="I18" s="89">
        <v>-3704.7900000000081</v>
      </c>
      <c r="J18" s="89">
        <v>-10414.750000000015</v>
      </c>
      <c r="K18" s="89">
        <v>-9397.269999999975</v>
      </c>
      <c r="L18" s="89">
        <v>4.3999999999996362</v>
      </c>
      <c r="M18" s="89">
        <v>-4784.82</v>
      </c>
      <c r="N18" s="89">
        <v>6406.3700000000008</v>
      </c>
      <c r="O18" s="89">
        <v>4262.6000000000013</v>
      </c>
      <c r="P18" s="89">
        <v>3417.3300000000008</v>
      </c>
      <c r="Q18" s="89">
        <v>6218.6200000000008</v>
      </c>
      <c r="R18" s="89">
        <v>-642.8900000000001</v>
      </c>
      <c r="S18" s="89">
        <v>-3953.7299999999996</v>
      </c>
      <c r="T18" s="89">
        <v>-4609.1499999999996</v>
      </c>
      <c r="U18" s="89">
        <v>2469.659999999998</v>
      </c>
      <c r="V18" s="89">
        <v>-11578.07</v>
      </c>
      <c r="W18" s="89">
        <v>-10045.900000000001</v>
      </c>
      <c r="X18" s="89">
        <v>-7337.9699999999957</v>
      </c>
      <c r="Y18" s="89">
        <v>-7709.9099999999962</v>
      </c>
      <c r="Z18" s="89">
        <v>-8450.4100000000035</v>
      </c>
      <c r="AA18" s="89">
        <v>-15605.960000000003</v>
      </c>
      <c r="AB18" s="89">
        <v>-1429.2000000000007</v>
      </c>
      <c r="AC18" s="89">
        <v>-22739.399999999994</v>
      </c>
      <c r="AD18" s="89">
        <v>-13934.16</v>
      </c>
      <c r="AE18" s="89">
        <v>1577.2300000000002</v>
      </c>
      <c r="AF18" s="89">
        <v>-440.45000000000005</v>
      </c>
      <c r="AG18" s="89">
        <v>165.75</v>
      </c>
      <c r="AH18" s="89">
        <v>-3884.26</v>
      </c>
      <c r="AI18" s="89">
        <v>2388.5400000000045</v>
      </c>
      <c r="AJ18" s="89">
        <v>5051.9499999999989</v>
      </c>
      <c r="AK18" s="89">
        <v>7919.46</v>
      </c>
      <c r="AL18" s="89">
        <v>-1817.9099999999999</v>
      </c>
      <c r="AM18" s="89">
        <v>2488.7500000000018</v>
      </c>
      <c r="AN18" s="89">
        <v>4427.489999999998</v>
      </c>
      <c r="AO18" s="89">
        <v>2025.9199999999983</v>
      </c>
      <c r="AP18" s="89">
        <v>3989.8899999999994</v>
      </c>
      <c r="AQ18" s="89">
        <v>-4520.7999999999993</v>
      </c>
      <c r="AR18" s="89">
        <v>4674.1200000000026</v>
      </c>
      <c r="AS18" s="89">
        <v>-1655.5700000000033</v>
      </c>
      <c r="AT18" s="89">
        <v>6718.7000000000007</v>
      </c>
      <c r="AU18" s="89">
        <v>11292.63</v>
      </c>
      <c r="AV18" s="89">
        <v>7870.52</v>
      </c>
      <c r="AW18" s="89">
        <v>2239.0799999999981</v>
      </c>
      <c r="AX18" s="89">
        <v>-2163.3799999999974</v>
      </c>
      <c r="AY18" s="89">
        <v>332.27000000000044</v>
      </c>
      <c r="AZ18" s="89">
        <v>3420.8400000000038</v>
      </c>
      <c r="BA18" s="89">
        <v>-5155.8099999999977</v>
      </c>
      <c r="BB18" s="89">
        <v>1964.6399999999958</v>
      </c>
      <c r="BC18" s="89">
        <v>8074.8500000000022</v>
      </c>
    </row>
    <row r="19" spans="2:55" x14ac:dyDescent="0.25">
      <c r="B19" s="13" t="s">
        <v>63</v>
      </c>
      <c r="I19" s="89">
        <v>-313.17999999999938</v>
      </c>
      <c r="J19" s="89">
        <v>-6372.1799999999994</v>
      </c>
      <c r="K19" s="89">
        <v>-21072.78</v>
      </c>
      <c r="L19" s="89">
        <v>-5364.65</v>
      </c>
      <c r="M19" s="89">
        <v>-7598.4000000000015</v>
      </c>
      <c r="N19" s="89">
        <v>-11632.170000000009</v>
      </c>
      <c r="O19" s="89">
        <v>-3285.5</v>
      </c>
      <c r="P19" s="89">
        <v>-546.64999999999964</v>
      </c>
      <c r="Q19" s="89">
        <v>-15164.189999999999</v>
      </c>
      <c r="R19" s="89">
        <v>0</v>
      </c>
      <c r="S19" s="89">
        <v>-20990.79</v>
      </c>
      <c r="T19" s="89">
        <v>2396.7799999999997</v>
      </c>
      <c r="U19" s="89">
        <v>-1830.94</v>
      </c>
      <c r="V19" s="89">
        <v>-4520.4600000000009</v>
      </c>
      <c r="W19" s="89">
        <v>-5580.86</v>
      </c>
      <c r="X19" s="89">
        <v>-11922.260000000002</v>
      </c>
      <c r="Y19" s="89">
        <v>-6082.5599999999995</v>
      </c>
      <c r="Z19" s="89">
        <v>-19690.239999999991</v>
      </c>
      <c r="AA19" s="89">
        <v>23041.410000000003</v>
      </c>
      <c r="AB19" s="89">
        <v>-7674.869999999999</v>
      </c>
      <c r="AC19" s="89">
        <v>-16887.760000000002</v>
      </c>
      <c r="AD19" s="89">
        <v>23392.86</v>
      </c>
      <c r="AE19" s="89">
        <v>-1976.5899999999992</v>
      </c>
      <c r="AF19" s="89">
        <v>0</v>
      </c>
      <c r="AG19" s="89">
        <v>0</v>
      </c>
      <c r="AH19" s="89">
        <v>-25815.592799999995</v>
      </c>
      <c r="AI19" s="89">
        <v>-67775.558000000005</v>
      </c>
      <c r="AJ19" s="89">
        <v>-12658.433199999999</v>
      </c>
      <c r="AK19" s="89">
        <v>-26722.524400000002</v>
      </c>
      <c r="AL19" s="89">
        <v>-23126.327199999996</v>
      </c>
      <c r="AM19" s="89">
        <v>-12627.034399999999</v>
      </c>
      <c r="AN19" s="89">
        <v>-86109.946800000005</v>
      </c>
      <c r="AO19" s="89">
        <v>-75636.0576</v>
      </c>
      <c r="AP19" s="89">
        <v>-40388.999200000013</v>
      </c>
      <c r="AQ19" s="89">
        <v>-94582.715200000006</v>
      </c>
      <c r="AR19" s="89">
        <v>-98046.341599999985</v>
      </c>
      <c r="AS19" s="89">
        <v>-7483.7644000000037</v>
      </c>
      <c r="AT19" s="89">
        <v>-10955.033999999996</v>
      </c>
      <c r="AU19" s="89">
        <v>-133332.682</v>
      </c>
      <c r="AV19" s="89">
        <v>-33326.284400000004</v>
      </c>
      <c r="AW19" s="89">
        <v>-46120.998000000007</v>
      </c>
      <c r="AX19" s="89">
        <v>-11302.500399999997</v>
      </c>
      <c r="AY19" s="89">
        <v>-2629.1760000000031</v>
      </c>
      <c r="AZ19" s="89">
        <v>12353.642000000003</v>
      </c>
      <c r="BA19" s="89">
        <v>-14575.017999999996</v>
      </c>
      <c r="BB19" s="89">
        <v>-28269.593599999993</v>
      </c>
      <c r="BC19" s="89">
        <v>-76155.344800000006</v>
      </c>
    </row>
    <row r="20" spans="2:55" x14ac:dyDescent="0.25">
      <c r="B20" s="13" t="s">
        <v>64</v>
      </c>
      <c r="I20" s="89">
        <v>0</v>
      </c>
      <c r="J20" s="89">
        <v>-2183.56</v>
      </c>
      <c r="K20" s="89">
        <v>-16275.880000000001</v>
      </c>
      <c r="L20" s="89">
        <v>1600</v>
      </c>
      <c r="M20" s="89">
        <v>-18446.829999999998</v>
      </c>
      <c r="N20" s="89">
        <v>61369.689999999995</v>
      </c>
      <c r="O20" s="89">
        <v>18598.729999999981</v>
      </c>
      <c r="P20" s="89">
        <v>-29040.14</v>
      </c>
      <c r="Q20" s="89">
        <v>162126.27999999997</v>
      </c>
      <c r="R20" s="89">
        <v>12620.360000000044</v>
      </c>
      <c r="S20" s="89">
        <v>-672.84</v>
      </c>
      <c r="T20" s="89">
        <v>0</v>
      </c>
      <c r="U20" s="89">
        <v>-22188.71</v>
      </c>
      <c r="V20" s="89">
        <v>0</v>
      </c>
      <c r="W20" s="89">
        <v>-114.98</v>
      </c>
      <c r="X20" s="89">
        <v>4085</v>
      </c>
      <c r="Y20" s="89">
        <v>-278.25</v>
      </c>
      <c r="Z20" s="89">
        <v>-40069.5</v>
      </c>
      <c r="AA20" s="89">
        <v>3030.3199999999779</v>
      </c>
      <c r="AB20" s="89">
        <v>-32216.370000000054</v>
      </c>
      <c r="AC20" s="89">
        <v>389.18999999997322</v>
      </c>
      <c r="AD20" s="89">
        <v>13305.689999999995</v>
      </c>
      <c r="AE20" s="89">
        <v>-1757.6699999999837</v>
      </c>
      <c r="AF20" s="89">
        <v>-10266.160000000033</v>
      </c>
      <c r="AG20" s="89">
        <v>26383.939999999944</v>
      </c>
      <c r="AH20" s="89">
        <v>-56907.600000000006</v>
      </c>
      <c r="AI20" s="89">
        <v>-78846.59</v>
      </c>
      <c r="AJ20" s="89">
        <v>-5505.8799999999992</v>
      </c>
      <c r="AK20" s="89">
        <v>-6617.4400000000023</v>
      </c>
      <c r="AL20" s="89">
        <v>-106571.51</v>
      </c>
      <c r="AM20" s="89">
        <v>-22204</v>
      </c>
      <c r="AN20" s="89">
        <v>-224633.47999999998</v>
      </c>
      <c r="AO20" s="89">
        <v>-241989.30000000002</v>
      </c>
      <c r="AP20" s="89">
        <v>-54225.66</v>
      </c>
      <c r="AQ20" s="89">
        <v>-37849.589999999997</v>
      </c>
      <c r="AR20" s="89">
        <v>-285132.16000000009</v>
      </c>
      <c r="AS20" s="89">
        <v>-14786.750000000007</v>
      </c>
      <c r="AT20" s="89">
        <v>-32646.720000000001</v>
      </c>
      <c r="AU20" s="89">
        <v>-49924.28</v>
      </c>
      <c r="AV20" s="89">
        <v>-14892.89</v>
      </c>
      <c r="AW20" s="89">
        <v>-39797.700000000004</v>
      </c>
      <c r="AX20" s="89">
        <v>-253510.59000000003</v>
      </c>
      <c r="AY20" s="89">
        <v>-51258.65</v>
      </c>
      <c r="AZ20" s="89">
        <v>-77107.309999999983</v>
      </c>
      <c r="BA20" s="89">
        <v>-155208.23000000001</v>
      </c>
      <c r="BB20" s="89">
        <v>5397.6800000000021</v>
      </c>
      <c r="BC20" s="89">
        <v>-94916.659999999974</v>
      </c>
    </row>
    <row r="21" spans="2:55" x14ac:dyDescent="0.25">
      <c r="B21" s="14" t="s">
        <v>65</v>
      </c>
      <c r="I21" s="89">
        <v>-9924.8100000000013</v>
      </c>
      <c r="J21" s="89">
        <v>-9397.7099999999991</v>
      </c>
      <c r="K21" s="89">
        <v>-20687.340000000004</v>
      </c>
      <c r="L21" s="89">
        <v>-2265.12</v>
      </c>
      <c r="M21" s="89">
        <v>-9912.8100000000049</v>
      </c>
      <c r="N21" s="89">
        <v>3751.5199999999986</v>
      </c>
      <c r="O21" s="89">
        <v>10192.009999999998</v>
      </c>
      <c r="P21" s="89">
        <v>4437.45</v>
      </c>
      <c r="Q21" s="89">
        <v>19544.469999999998</v>
      </c>
      <c r="R21" s="89">
        <v>1121.7700000000004</v>
      </c>
      <c r="S21" s="89">
        <v>4541.9800000000032</v>
      </c>
      <c r="T21" s="89">
        <v>2789.2299999999996</v>
      </c>
      <c r="U21" s="89">
        <v>6307.5900000000038</v>
      </c>
      <c r="V21" s="89">
        <v>-3672.2300000000032</v>
      </c>
      <c r="W21" s="89">
        <v>8978.31</v>
      </c>
      <c r="X21" s="89">
        <v>-543.29000000000087</v>
      </c>
      <c r="Y21" s="89">
        <v>296.87999999999738</v>
      </c>
      <c r="Z21" s="89">
        <v>3461.3999999999978</v>
      </c>
      <c r="AA21" s="89">
        <v>1550.7400000000016</v>
      </c>
      <c r="AB21" s="89">
        <v>-3041.2799999999988</v>
      </c>
      <c r="AC21" s="89">
        <v>3849.3100000000013</v>
      </c>
      <c r="AD21" s="89">
        <v>-9768.9499999999971</v>
      </c>
      <c r="AE21" s="89">
        <v>1435.8500000000004</v>
      </c>
      <c r="AF21" s="89">
        <v>2258.7000000000007</v>
      </c>
      <c r="AG21" s="89">
        <v>-21710.800000000003</v>
      </c>
      <c r="AH21" s="89">
        <v>-9450.0300000000007</v>
      </c>
      <c r="AI21" s="89">
        <v>4991.1899999999996</v>
      </c>
      <c r="AJ21" s="89">
        <v>-4310.3099999999995</v>
      </c>
      <c r="AK21" s="89">
        <v>-3974.0800000000008</v>
      </c>
      <c r="AL21" s="89">
        <v>-12799.71</v>
      </c>
      <c r="AM21" s="89">
        <v>-349.77000000000044</v>
      </c>
      <c r="AN21" s="89">
        <v>10783.02</v>
      </c>
      <c r="AO21" s="89">
        <v>3100.9600000000009</v>
      </c>
      <c r="AP21" s="89">
        <v>-7071.8799999999992</v>
      </c>
      <c r="AQ21" s="89">
        <v>-13024.41</v>
      </c>
      <c r="AR21" s="89">
        <v>-28826.790000000005</v>
      </c>
      <c r="AS21" s="89">
        <v>-4587.9699999999993</v>
      </c>
      <c r="AT21" s="89">
        <v>-5792.83</v>
      </c>
      <c r="AU21" s="89">
        <v>-4837.989999999998</v>
      </c>
      <c r="AV21" s="89">
        <v>-7151.0099999999984</v>
      </c>
      <c r="AW21" s="89">
        <v>-8555.619999999999</v>
      </c>
      <c r="AX21" s="89">
        <v>-569.76000000000204</v>
      </c>
      <c r="AY21" s="89">
        <v>20920.3</v>
      </c>
      <c r="AZ21" s="89">
        <v>2369.8700000000026</v>
      </c>
      <c r="BA21" s="89">
        <v>423.2400000000016</v>
      </c>
      <c r="BB21" s="89">
        <v>-5377.2099999999991</v>
      </c>
      <c r="BC21" s="89">
        <v>2892.6999999999989</v>
      </c>
    </row>
    <row r="25" spans="2:55" x14ac:dyDescent="0.25">
      <c r="AH25" s="89">
        <v>-2722.33</v>
      </c>
      <c r="AI25" s="89">
        <v>6154.82</v>
      </c>
      <c r="AJ25" s="89">
        <v>8393.9500000000007</v>
      </c>
      <c r="AK25" s="89">
        <v>2608.9199999999973</v>
      </c>
      <c r="AL25" s="89">
        <v>1589.4299999999967</v>
      </c>
      <c r="AM25" s="89">
        <v>-2858.9299999999989</v>
      </c>
      <c r="AN25" s="89">
        <v>3690.6899999999951</v>
      </c>
      <c r="AO25" s="89">
        <v>2304.3199999999997</v>
      </c>
      <c r="AP25" s="89">
        <v>10550.849999999999</v>
      </c>
      <c r="AQ25" s="89">
        <v>4156.2700000000041</v>
      </c>
      <c r="AR25" s="89">
        <v>-1078.9099999999999</v>
      </c>
      <c r="AS25" s="89">
        <v>-1338.8100000000013</v>
      </c>
      <c r="AT25" s="89">
        <v>2277.8899999999994</v>
      </c>
      <c r="AU25" s="89">
        <v>7552.17</v>
      </c>
      <c r="AV25" s="89">
        <v>5415.1100000000006</v>
      </c>
      <c r="AW25" s="89">
        <v>-527.77000000000044</v>
      </c>
      <c r="AX25" s="89">
        <v>14000.580000000005</v>
      </c>
      <c r="AY25" s="89">
        <v>4179.83</v>
      </c>
      <c r="AZ25" s="89">
        <v>2288.84</v>
      </c>
      <c r="BA25" s="89">
        <v>-1617.0000000000036</v>
      </c>
      <c r="BB25" s="89">
        <v>4967.9499999999971</v>
      </c>
      <c r="BC25" s="89">
        <v>652.06000000000313</v>
      </c>
    </row>
    <row r="26" spans="2:55" x14ac:dyDescent="0.25">
      <c r="AH26" s="89">
        <v>-13542.579999999998</v>
      </c>
      <c r="AI26" s="89">
        <v>24468.929999999993</v>
      </c>
      <c r="AJ26" s="89">
        <v>-6053.41</v>
      </c>
      <c r="AK26" s="89">
        <v>-6902.7799999999988</v>
      </c>
      <c r="AL26" s="89">
        <v>-5726.3899999999994</v>
      </c>
      <c r="AM26" s="89">
        <v>-1335.5399999999972</v>
      </c>
      <c r="AN26" s="89">
        <v>-354.50000000001455</v>
      </c>
      <c r="AO26" s="89">
        <v>8841.820000000007</v>
      </c>
      <c r="AP26" s="89">
        <v>-1853.5200000000186</v>
      </c>
      <c r="AQ26" s="89">
        <v>-33091.030000000013</v>
      </c>
      <c r="AR26" s="89">
        <v>-36431.51999999999</v>
      </c>
      <c r="AS26" s="89">
        <v>-15639.860000000004</v>
      </c>
      <c r="AT26" s="89">
        <v>12993.140000000007</v>
      </c>
      <c r="AU26" s="89">
        <v>4012.8400000000256</v>
      </c>
      <c r="AV26" s="89">
        <v>-19130.570000000007</v>
      </c>
      <c r="AW26" s="89">
        <v>-19148.630000000005</v>
      </c>
      <c r="AX26" s="89">
        <v>13862.71</v>
      </c>
      <c r="AY26" s="89">
        <v>-4107.9200000000037</v>
      </c>
      <c r="AZ26" s="89">
        <v>-1008.1599999999999</v>
      </c>
      <c r="BA26" s="89">
        <v>-9852.5</v>
      </c>
      <c r="BB26" s="89">
        <v>-16497.229999999989</v>
      </c>
      <c r="BC26" s="89">
        <v>-18684.800000000003</v>
      </c>
    </row>
    <row r="27" spans="2:55" x14ac:dyDescent="0.25">
      <c r="AH27" s="89">
        <v>-27007.920000000006</v>
      </c>
      <c r="AI27" s="89">
        <v>2138.3500000000058</v>
      </c>
      <c r="AJ27" s="89">
        <v>10336.970000000001</v>
      </c>
      <c r="AK27" s="89">
        <v>-3864.8199999999997</v>
      </c>
      <c r="AL27" s="89">
        <v>-51049.969999999987</v>
      </c>
      <c r="AM27" s="89">
        <v>4329.5400000000009</v>
      </c>
      <c r="AN27" s="89">
        <v>-28785.600000000006</v>
      </c>
      <c r="AO27" s="89">
        <v>-55691.110000000044</v>
      </c>
      <c r="AP27" s="89">
        <v>-41976.790000000008</v>
      </c>
      <c r="AQ27" s="89">
        <v>-12113.119999999995</v>
      </c>
      <c r="AR27" s="89">
        <v>-17833.240000000107</v>
      </c>
      <c r="AS27" s="89">
        <v>191081.19</v>
      </c>
      <c r="AT27" s="89">
        <v>16140.160000000003</v>
      </c>
      <c r="AU27" s="89">
        <v>-80455.959999999992</v>
      </c>
      <c r="AV27" s="89">
        <v>6919.8099999999977</v>
      </c>
      <c r="AW27" s="89">
        <v>26417.200000000004</v>
      </c>
      <c r="AX27" s="89">
        <v>-226613.48000000004</v>
      </c>
      <c r="AY27" s="89">
        <v>-27814.769999999997</v>
      </c>
      <c r="AZ27" s="89">
        <v>55890.950000000012</v>
      </c>
      <c r="BA27" s="89">
        <v>-107078.04999999999</v>
      </c>
      <c r="BB27" s="89">
        <v>35728.890000000007</v>
      </c>
      <c r="BC27" s="89">
        <v>197847.02000000002</v>
      </c>
    </row>
    <row r="28" spans="2:55" x14ac:dyDescent="0.25">
      <c r="AH28" s="89">
        <v>-4101.9799999999996</v>
      </c>
      <c r="AI28" s="89">
        <v>12392.84</v>
      </c>
      <c r="AJ28" s="89">
        <v>187.53000000000065</v>
      </c>
      <c r="AK28" s="89">
        <v>1051.4599999999991</v>
      </c>
      <c r="AL28" s="89">
        <v>3546.8599999999969</v>
      </c>
      <c r="AM28" s="89">
        <v>5839.29</v>
      </c>
      <c r="AN28" s="89">
        <v>30378.36</v>
      </c>
      <c r="AO28" s="89">
        <v>6998.2899999999991</v>
      </c>
      <c r="AP28" s="89">
        <v>-9863.5099999999984</v>
      </c>
      <c r="AQ28" s="89">
        <v>-8501.7200000000012</v>
      </c>
      <c r="AR28" s="89">
        <v>-14036.250000000004</v>
      </c>
      <c r="AS28" s="89">
        <v>-18750.55</v>
      </c>
      <c r="AT28" s="89">
        <v>-1000.369999999999</v>
      </c>
      <c r="AU28" s="89">
        <v>-3137.8399999999983</v>
      </c>
      <c r="AV28" s="89">
        <v>-8396.239999999998</v>
      </c>
      <c r="AW28" s="89">
        <v>6414.380000000001</v>
      </c>
      <c r="AX28" s="89">
        <v>4562.4399999999987</v>
      </c>
      <c r="AY28" s="89">
        <v>24810.42</v>
      </c>
      <c r="AZ28" s="89">
        <v>9261.11</v>
      </c>
      <c r="BA28" s="89">
        <v>11.520000000002256</v>
      </c>
      <c r="BB28" s="89">
        <v>-123.38000000000102</v>
      </c>
      <c r="BC28" s="89">
        <v>8265.56</v>
      </c>
    </row>
    <row r="30" spans="2:55" ht="15.75" thickBot="1" x14ac:dyDescent="0.3">
      <c r="AN30" s="94" t="s">
        <v>33</v>
      </c>
    </row>
    <row r="31" spans="2:55" ht="15.75" thickBot="1" x14ac:dyDescent="0.3">
      <c r="B31" s="18" t="s">
        <v>0</v>
      </c>
      <c r="C31" s="40">
        <v>544682.6</v>
      </c>
      <c r="D31" s="136">
        <v>1192750</v>
      </c>
      <c r="E31" s="103">
        <v>0.45666116118214206</v>
      </c>
    </row>
    <row r="32" spans="2:55" x14ac:dyDescent="0.25">
      <c r="B32" s="19" t="s">
        <v>71</v>
      </c>
      <c r="C32" s="134">
        <v>0</v>
      </c>
      <c r="D32" s="137">
        <v>0</v>
      </c>
      <c r="E32" s="103" t="s">
        <v>122</v>
      </c>
      <c r="F32" t="s">
        <v>13</v>
      </c>
    </row>
    <row r="33" spans="2:9" x14ac:dyDescent="0.25">
      <c r="B33" s="20" t="s">
        <v>72</v>
      </c>
      <c r="C33" s="134">
        <v>7309.05</v>
      </c>
      <c r="D33" s="138">
        <v>0</v>
      </c>
      <c r="E33" s="103" t="s">
        <v>122</v>
      </c>
      <c r="F33" t="s">
        <v>14</v>
      </c>
    </row>
    <row r="34" spans="2:9" x14ac:dyDescent="0.25">
      <c r="B34" s="20" t="s">
        <v>73</v>
      </c>
      <c r="C34" s="134">
        <v>25408.3</v>
      </c>
      <c r="D34" s="138">
        <v>3000</v>
      </c>
      <c r="E34" s="103">
        <v>8.4694333333333329</v>
      </c>
      <c r="F34" t="s">
        <v>15</v>
      </c>
    </row>
    <row r="35" spans="2:9" x14ac:dyDescent="0.25">
      <c r="B35" s="20" t="s">
        <v>74</v>
      </c>
      <c r="C35" s="134">
        <v>90307.57</v>
      </c>
      <c r="D35" s="138">
        <v>160000</v>
      </c>
      <c r="E35" s="103">
        <v>0.56442231250000008</v>
      </c>
      <c r="F35" t="s">
        <v>16</v>
      </c>
    </row>
    <row r="36" spans="2:9" x14ac:dyDescent="0.25">
      <c r="B36" s="20" t="s">
        <v>75</v>
      </c>
      <c r="C36" s="134">
        <v>50653.65</v>
      </c>
      <c r="D36" s="138">
        <v>0</v>
      </c>
      <c r="E36" s="103" t="s">
        <v>122</v>
      </c>
      <c r="F36" t="s">
        <v>17</v>
      </c>
      <c r="I36" s="156"/>
    </row>
    <row r="37" spans="2:9" x14ac:dyDescent="0.25">
      <c r="B37" s="20" t="s">
        <v>76</v>
      </c>
      <c r="C37" s="134">
        <v>54680.27</v>
      </c>
      <c r="D37" s="138">
        <v>109750</v>
      </c>
      <c r="E37" s="103">
        <v>0.49822569476082001</v>
      </c>
      <c r="F37" t="s">
        <v>8</v>
      </c>
    </row>
    <row r="38" spans="2:9" x14ac:dyDescent="0.25">
      <c r="B38" s="20" t="s">
        <v>77</v>
      </c>
      <c r="C38" s="134">
        <v>69457.45</v>
      </c>
      <c r="D38" s="138">
        <v>432500</v>
      </c>
      <c r="E38" s="103">
        <v>0.16059526011560693</v>
      </c>
      <c r="F38" t="s">
        <v>9</v>
      </c>
    </row>
    <row r="39" spans="2:9" x14ac:dyDescent="0.25">
      <c r="B39" s="20" t="s">
        <v>78</v>
      </c>
      <c r="C39" s="134">
        <v>65021.440000000002</v>
      </c>
      <c r="D39" s="138">
        <v>69950</v>
      </c>
      <c r="E39" s="103">
        <v>0.92954167262330234</v>
      </c>
      <c r="F39" t="s">
        <v>10</v>
      </c>
    </row>
    <row r="40" spans="2:9" x14ac:dyDescent="0.25">
      <c r="B40" s="20" t="s">
        <v>79</v>
      </c>
      <c r="C40" s="134">
        <v>63713.979999999996</v>
      </c>
      <c r="D40" s="138">
        <v>241850</v>
      </c>
      <c r="E40" s="103">
        <v>0.26344420095100268</v>
      </c>
      <c r="F40" t="s">
        <v>11</v>
      </c>
    </row>
    <row r="41" spans="2:9" ht="15.75" thickBot="1" x14ac:dyDescent="0.3">
      <c r="B41" s="21" t="s">
        <v>80</v>
      </c>
      <c r="C41" s="135">
        <v>118130.89</v>
      </c>
      <c r="D41" s="139">
        <v>175700</v>
      </c>
      <c r="E41" s="103">
        <v>0.67234428002276603</v>
      </c>
      <c r="F41" t="s">
        <v>12</v>
      </c>
    </row>
    <row r="42" spans="2:9" ht="15.75" thickBot="1" x14ac:dyDescent="0.3">
      <c r="B42" s="27" t="s">
        <v>1</v>
      </c>
      <c r="C42" s="39">
        <v>1392673.04</v>
      </c>
      <c r="D42" s="129">
        <v>2710421</v>
      </c>
      <c r="E42" s="103">
        <v>0.51382166829433507</v>
      </c>
    </row>
    <row r="43" spans="2:9" x14ac:dyDescent="0.25">
      <c r="B43" s="19" t="s">
        <v>81</v>
      </c>
      <c r="C43" s="125">
        <v>44291.55</v>
      </c>
      <c r="D43" s="130">
        <v>93150</v>
      </c>
      <c r="E43" s="103">
        <v>0.4754863123993559</v>
      </c>
      <c r="F43" t="s">
        <v>18</v>
      </c>
      <c r="G43" s="11" t="s">
        <v>18</v>
      </c>
      <c r="H43" s="103">
        <v>0.4754863123993559</v>
      </c>
    </row>
    <row r="44" spans="2:9" x14ac:dyDescent="0.25">
      <c r="B44" s="20" t="s">
        <v>82</v>
      </c>
      <c r="C44" s="125">
        <v>43879.08</v>
      </c>
      <c r="D44" s="131">
        <v>74050</v>
      </c>
      <c r="E44" s="103">
        <v>0.59256016205266715</v>
      </c>
      <c r="F44" t="s">
        <v>19</v>
      </c>
      <c r="G44" s="11" t="s">
        <v>19</v>
      </c>
      <c r="H44" s="103">
        <v>0.59256016205266715</v>
      </c>
    </row>
    <row r="45" spans="2:9" x14ac:dyDescent="0.25">
      <c r="B45" s="20" t="s">
        <v>83</v>
      </c>
      <c r="C45" s="125">
        <v>125593.56</v>
      </c>
      <c r="D45" s="131">
        <v>483200</v>
      </c>
      <c r="E45" s="103">
        <v>0.25992044701986755</v>
      </c>
      <c r="F45" t="s">
        <v>20</v>
      </c>
      <c r="G45" s="11" t="s">
        <v>20</v>
      </c>
      <c r="H45" s="103">
        <v>0.25992044701986755</v>
      </c>
    </row>
    <row r="46" spans="2:9" x14ac:dyDescent="0.25">
      <c r="B46" s="20" t="s">
        <v>84</v>
      </c>
      <c r="C46" s="125">
        <v>164971.93</v>
      </c>
      <c r="D46" s="131">
        <v>148650</v>
      </c>
      <c r="E46" s="103">
        <v>1.1098010763538513</v>
      </c>
      <c r="F46" t="s">
        <v>21</v>
      </c>
      <c r="G46" s="11" t="s">
        <v>21</v>
      </c>
      <c r="H46" s="103">
        <v>1.1098010763538513</v>
      </c>
    </row>
    <row r="47" spans="2:9" x14ac:dyDescent="0.25">
      <c r="B47" s="20" t="s">
        <v>85</v>
      </c>
      <c r="C47" s="125">
        <v>37955.25</v>
      </c>
      <c r="D47" s="131">
        <v>75150</v>
      </c>
      <c r="E47" s="103">
        <v>0.50505988023952098</v>
      </c>
      <c r="F47" t="s">
        <v>22</v>
      </c>
      <c r="G47" s="11" t="s">
        <v>22</v>
      </c>
      <c r="H47" s="103">
        <v>0.50505988023952098</v>
      </c>
    </row>
    <row r="48" spans="2:9" x14ac:dyDescent="0.25">
      <c r="B48" s="20" t="s">
        <v>86</v>
      </c>
      <c r="C48" s="125">
        <v>53306.04</v>
      </c>
      <c r="D48" s="131">
        <v>417250</v>
      </c>
      <c r="E48" s="103">
        <v>0.12775563810665069</v>
      </c>
      <c r="F48" t="s">
        <v>23</v>
      </c>
      <c r="G48" s="11" t="s">
        <v>23</v>
      </c>
      <c r="H48" s="103">
        <v>0.12775563810665069</v>
      </c>
    </row>
    <row r="49" spans="2:8" x14ac:dyDescent="0.25">
      <c r="B49" s="20" t="s">
        <v>87</v>
      </c>
      <c r="C49" s="125">
        <v>34018.379999999997</v>
      </c>
      <c r="D49" s="131">
        <v>81450</v>
      </c>
      <c r="E49" s="103">
        <v>0.41765966850828729</v>
      </c>
      <c r="F49" t="s">
        <v>24</v>
      </c>
      <c r="G49" s="11" t="s">
        <v>24</v>
      </c>
      <c r="H49" s="103">
        <v>0.41765966850828729</v>
      </c>
    </row>
    <row r="50" spans="2:8" x14ac:dyDescent="0.25">
      <c r="B50" s="20" t="s">
        <v>88</v>
      </c>
      <c r="C50" s="125">
        <v>2098.7299999999996</v>
      </c>
      <c r="D50" s="131">
        <v>3900</v>
      </c>
      <c r="E50" s="103">
        <v>0.53813589743589729</v>
      </c>
      <c r="F50" t="s">
        <v>31</v>
      </c>
      <c r="G50" s="11" t="s">
        <v>25</v>
      </c>
      <c r="H50" s="103">
        <v>0.63206255639097741</v>
      </c>
    </row>
    <row r="51" spans="2:8" x14ac:dyDescent="0.25">
      <c r="B51" s="20" t="s">
        <v>89</v>
      </c>
      <c r="C51" s="125">
        <v>105080.4</v>
      </c>
      <c r="D51" s="131">
        <v>166250</v>
      </c>
      <c r="E51" s="103">
        <v>0.63206255639097741</v>
      </c>
      <c r="F51" t="s">
        <v>25</v>
      </c>
      <c r="G51" s="11" t="s">
        <v>26</v>
      </c>
      <c r="H51" s="103">
        <v>1.349381607629428</v>
      </c>
    </row>
    <row r="52" spans="2:8" x14ac:dyDescent="0.25">
      <c r="B52" s="20" t="s">
        <v>90</v>
      </c>
      <c r="C52" s="125">
        <v>99044.61</v>
      </c>
      <c r="D52" s="131">
        <v>73399.999999999985</v>
      </c>
      <c r="E52" s="103">
        <v>1.349381607629428</v>
      </c>
      <c r="F52" t="s">
        <v>26</v>
      </c>
      <c r="G52" s="11" t="s">
        <v>27</v>
      </c>
      <c r="H52" s="103">
        <v>3.0327173059024042</v>
      </c>
    </row>
    <row r="53" spans="2:8" x14ac:dyDescent="0.25">
      <c r="B53" s="20" t="s">
        <v>91</v>
      </c>
      <c r="C53" s="125">
        <v>250893.67</v>
      </c>
      <c r="D53" s="131">
        <v>82729</v>
      </c>
      <c r="E53" s="103">
        <v>3.0327173059024042</v>
      </c>
      <c r="F53" t="s">
        <v>27</v>
      </c>
      <c r="G53" s="11" t="s">
        <v>28</v>
      </c>
      <c r="H53" s="103">
        <v>1.5745838334353948</v>
      </c>
    </row>
    <row r="54" spans="2:8" x14ac:dyDescent="0.25">
      <c r="B54" s="20" t="s">
        <v>92</v>
      </c>
      <c r="C54" s="125">
        <v>128564.76999999999</v>
      </c>
      <c r="D54" s="131">
        <v>81650</v>
      </c>
      <c r="E54" s="103">
        <v>1.5745838334353948</v>
      </c>
      <c r="F54" t="s">
        <v>28</v>
      </c>
      <c r="G54" s="11" t="s">
        <v>29</v>
      </c>
      <c r="H54" s="103">
        <v>0.30861358104986891</v>
      </c>
    </row>
    <row r="55" spans="2:8" x14ac:dyDescent="0.25">
      <c r="B55" s="20" t="s">
        <v>93</v>
      </c>
      <c r="C55" s="126">
        <v>19712.809999999998</v>
      </c>
      <c r="D55" s="131">
        <v>13200</v>
      </c>
      <c r="E55" s="103">
        <v>1.4933946969696967</v>
      </c>
      <c r="F55" t="s">
        <v>32</v>
      </c>
      <c r="G55" s="11" t="s">
        <v>30</v>
      </c>
      <c r="H55" s="103">
        <v>0.3183913326110509</v>
      </c>
    </row>
    <row r="56" spans="2:8" x14ac:dyDescent="0.25">
      <c r="B56" s="28" t="s">
        <v>94</v>
      </c>
      <c r="C56" s="127">
        <v>268568.5</v>
      </c>
      <c r="D56" s="132">
        <v>870242</v>
      </c>
      <c r="E56" s="103">
        <v>0.30861358104986891</v>
      </c>
      <c r="F56" t="s">
        <v>29</v>
      </c>
      <c r="G56" s="11" t="s">
        <v>31</v>
      </c>
      <c r="H56" s="103">
        <v>0.53813589743589729</v>
      </c>
    </row>
    <row r="57" spans="2:8" ht="15.75" thickBot="1" x14ac:dyDescent="0.3">
      <c r="B57" s="29" t="s">
        <v>95</v>
      </c>
      <c r="C57" s="128">
        <v>14693.759999999998</v>
      </c>
      <c r="D57" s="133">
        <v>46150</v>
      </c>
      <c r="E57" s="103">
        <v>0.3183913326110509</v>
      </c>
      <c r="F57" t="s">
        <v>30</v>
      </c>
      <c r="G57" s="11" t="s">
        <v>32</v>
      </c>
      <c r="H57" s="103">
        <v>1.4933946969696967</v>
      </c>
    </row>
    <row r="58" spans="2:8" ht="15.75" thickBot="1" x14ac:dyDescent="0.3">
      <c r="B58" s="1" t="s">
        <v>96</v>
      </c>
      <c r="C58" s="140">
        <v>632568.26</v>
      </c>
      <c r="D58" s="147">
        <v>1691400</v>
      </c>
      <c r="E58" s="103">
        <v>0.37399093059004374</v>
      </c>
      <c r="H58" s="103"/>
    </row>
    <row r="59" spans="2:8" x14ac:dyDescent="0.25">
      <c r="B59" s="2" t="s">
        <v>97</v>
      </c>
      <c r="C59" s="141">
        <v>88135.53</v>
      </c>
      <c r="D59" s="148">
        <v>156099.99999999997</v>
      </c>
      <c r="E59" s="103">
        <v>0.56460941704035883</v>
      </c>
      <c r="F59" t="s">
        <v>35</v>
      </c>
      <c r="G59" s="94" t="s">
        <v>34</v>
      </c>
      <c r="H59" s="103">
        <v>0.19776771217712186</v>
      </c>
    </row>
    <row r="60" spans="2:8" x14ac:dyDescent="0.25">
      <c r="B60" s="3" t="s">
        <v>98</v>
      </c>
      <c r="C60" s="142">
        <v>32157.030000000006</v>
      </c>
      <c r="D60" s="148">
        <v>162599.99999999997</v>
      </c>
      <c r="E60" s="103">
        <v>0.19776771217712186</v>
      </c>
      <c r="F60" t="s">
        <v>34</v>
      </c>
      <c r="G60" s="94" t="s">
        <v>35</v>
      </c>
      <c r="H60" s="103">
        <v>0.56460941704035883</v>
      </c>
    </row>
    <row r="61" spans="2:8" x14ac:dyDescent="0.25">
      <c r="B61" s="3" t="s">
        <v>99</v>
      </c>
      <c r="C61" s="142">
        <v>46011.22</v>
      </c>
      <c r="D61" s="148">
        <v>95099.999999999985</v>
      </c>
      <c r="E61" s="103">
        <v>0.48381934805467935</v>
      </c>
      <c r="F61" t="s">
        <v>36</v>
      </c>
      <c r="G61" s="94" t="s">
        <v>36</v>
      </c>
      <c r="H61" s="103">
        <v>0.48381934805467935</v>
      </c>
    </row>
    <row r="62" spans="2:8" x14ac:dyDescent="0.25">
      <c r="B62" s="3" t="s">
        <v>100</v>
      </c>
      <c r="C62" s="142">
        <v>47932.31</v>
      </c>
      <c r="D62" s="148">
        <v>192700</v>
      </c>
      <c r="E62" s="103">
        <v>0.24874058121432277</v>
      </c>
      <c r="F62" t="s">
        <v>37</v>
      </c>
      <c r="G62" s="94" t="s">
        <v>37</v>
      </c>
      <c r="H62" s="103">
        <v>0.24874058121432277</v>
      </c>
    </row>
    <row r="63" spans="2:8" x14ac:dyDescent="0.25">
      <c r="B63" s="3" t="s">
        <v>101</v>
      </c>
      <c r="C63" s="142">
        <v>11367.52</v>
      </c>
      <c r="D63" s="148">
        <v>45150</v>
      </c>
      <c r="E63" s="103">
        <v>0.25177231450719822</v>
      </c>
      <c r="F63" t="s">
        <v>39</v>
      </c>
      <c r="G63" s="94" t="s">
        <v>38</v>
      </c>
      <c r="H63" s="103">
        <v>0.14542792247122954</v>
      </c>
    </row>
    <row r="64" spans="2:8" x14ac:dyDescent="0.25">
      <c r="B64" s="3" t="s">
        <v>102</v>
      </c>
      <c r="C64" s="142">
        <v>24010.149999999998</v>
      </c>
      <c r="D64" s="148">
        <v>165100</v>
      </c>
      <c r="E64" s="103">
        <v>0.14542792247122954</v>
      </c>
      <c r="F64" t="s">
        <v>38</v>
      </c>
      <c r="G64" s="94" t="s">
        <v>39</v>
      </c>
      <c r="H64" s="103">
        <v>0.25177231450719822</v>
      </c>
    </row>
    <row r="65" spans="2:8" x14ac:dyDescent="0.25">
      <c r="B65" s="3" t="s">
        <v>103</v>
      </c>
      <c r="C65" s="142">
        <v>259058.48</v>
      </c>
      <c r="D65" s="148">
        <v>206750</v>
      </c>
      <c r="E65" s="103">
        <v>1.253003530834341</v>
      </c>
      <c r="F65" t="s">
        <v>33</v>
      </c>
      <c r="G65" s="94" t="s">
        <v>33</v>
      </c>
      <c r="H65" s="103">
        <v>1.253003530834341</v>
      </c>
    </row>
    <row r="66" spans="2:8" ht="15.75" thickBot="1" x14ac:dyDescent="0.3">
      <c r="B66" s="3" t="s">
        <v>104</v>
      </c>
      <c r="C66" s="142">
        <v>123896.02</v>
      </c>
      <c r="D66" s="149">
        <v>667900.00000000012</v>
      </c>
      <c r="E66" s="103">
        <v>0.18550085342117081</v>
      </c>
      <c r="F66" t="s">
        <v>40</v>
      </c>
      <c r="G66" s="94" t="s">
        <v>40</v>
      </c>
      <c r="H66" s="103">
        <v>0.18550085342117081</v>
      </c>
    </row>
    <row r="67" spans="2:8" ht="15.75" thickBot="1" x14ac:dyDescent="0.3">
      <c r="B67" s="4" t="s">
        <v>105</v>
      </c>
      <c r="C67" s="143">
        <v>955649.21000000008</v>
      </c>
      <c r="D67" s="150">
        <v>2581300</v>
      </c>
      <c r="E67" s="103">
        <v>0.37022012551814981</v>
      </c>
      <c r="H67" s="103"/>
    </row>
    <row r="68" spans="2:8" x14ac:dyDescent="0.25">
      <c r="B68" s="5" t="s">
        <v>106</v>
      </c>
      <c r="C68" s="144">
        <v>81748.22</v>
      </c>
      <c r="D68" s="151">
        <v>230300</v>
      </c>
      <c r="E68" s="103">
        <v>0.35496404689535388</v>
      </c>
      <c r="F68" t="s">
        <v>41</v>
      </c>
      <c r="G68" s="94" t="s">
        <v>41</v>
      </c>
      <c r="H68" s="103">
        <v>0.35496404689535388</v>
      </c>
    </row>
    <row r="69" spans="2:8" x14ac:dyDescent="0.25">
      <c r="B69" s="6" t="s">
        <v>107</v>
      </c>
      <c r="C69" s="145">
        <v>206549.33</v>
      </c>
      <c r="D69" s="152">
        <v>308400.00000000006</v>
      </c>
      <c r="E69" s="103">
        <v>0.66974490920881957</v>
      </c>
      <c r="F69" t="s">
        <v>42</v>
      </c>
      <c r="G69" s="94" t="s">
        <v>42</v>
      </c>
      <c r="H69" s="103">
        <v>0.66974490920881957</v>
      </c>
    </row>
    <row r="70" spans="2:8" x14ac:dyDescent="0.25">
      <c r="B70" s="6" t="s">
        <v>108</v>
      </c>
      <c r="C70" s="145">
        <v>158798.90000000002</v>
      </c>
      <c r="D70" s="152">
        <v>203499.99999999997</v>
      </c>
      <c r="E70" s="103">
        <v>0.78033857493857517</v>
      </c>
      <c r="F70" t="s">
        <v>47</v>
      </c>
      <c r="G70" s="94" t="s">
        <v>43</v>
      </c>
      <c r="H70" s="103">
        <v>0.46312891036321979</v>
      </c>
    </row>
    <row r="71" spans="2:8" x14ac:dyDescent="0.25">
      <c r="B71" s="6" t="s">
        <v>109</v>
      </c>
      <c r="C71" s="145">
        <v>103145.71</v>
      </c>
      <c r="D71" s="152">
        <v>321900.00000000006</v>
      </c>
      <c r="E71" s="103">
        <v>0.32042780366573465</v>
      </c>
      <c r="F71" t="s">
        <v>44</v>
      </c>
      <c r="G71" s="94" t="s">
        <v>44</v>
      </c>
      <c r="H71" s="103">
        <v>0.32042780366573465</v>
      </c>
    </row>
    <row r="72" spans="2:8" x14ac:dyDescent="0.25">
      <c r="B72" s="6" t="s">
        <v>110</v>
      </c>
      <c r="C72" s="145">
        <v>94801</v>
      </c>
      <c r="D72" s="152">
        <v>502499.95999999996</v>
      </c>
      <c r="E72" s="103">
        <v>0.18865872148527138</v>
      </c>
      <c r="F72" t="s">
        <v>48</v>
      </c>
      <c r="G72" s="94" t="s">
        <v>45</v>
      </c>
      <c r="H72" s="103">
        <v>0.47464120781527536</v>
      </c>
    </row>
    <row r="73" spans="2:8" x14ac:dyDescent="0.25">
      <c r="B73" s="7" t="s">
        <v>111</v>
      </c>
      <c r="C73" s="145">
        <v>106889.20000000001</v>
      </c>
      <c r="D73" s="152">
        <v>225200</v>
      </c>
      <c r="E73" s="103">
        <v>0.47464120781527536</v>
      </c>
      <c r="F73" t="s">
        <v>45</v>
      </c>
      <c r="G73" s="94" t="s">
        <v>46</v>
      </c>
      <c r="H73" s="103">
        <v>0.16596714993576803</v>
      </c>
    </row>
    <row r="74" spans="2:8" x14ac:dyDescent="0.25">
      <c r="B74" s="6" t="s">
        <v>112</v>
      </c>
      <c r="C74" s="145">
        <v>90435.5</v>
      </c>
      <c r="D74" s="152">
        <v>544900</v>
      </c>
      <c r="E74" s="103">
        <v>0.16596714993576803</v>
      </c>
      <c r="F74" t="s">
        <v>46</v>
      </c>
      <c r="G74" s="94" t="s">
        <v>47</v>
      </c>
      <c r="H74" s="103">
        <v>0.78033857493857517</v>
      </c>
    </row>
    <row r="75" spans="2:8" ht="15.75" thickBot="1" x14ac:dyDescent="0.3">
      <c r="B75" s="8" t="s">
        <v>113</v>
      </c>
      <c r="C75" s="146">
        <v>113281.35</v>
      </c>
      <c r="D75" s="153">
        <v>244600.04000000007</v>
      </c>
      <c r="E75" s="103">
        <v>0.46312891036321979</v>
      </c>
      <c r="F75" t="s">
        <v>43</v>
      </c>
      <c r="G75" s="94" t="s">
        <v>48</v>
      </c>
      <c r="H75" s="103">
        <v>0.18865872148527138</v>
      </c>
    </row>
  </sheetData>
  <conditionalFormatting sqref="I18:BC21">
    <cfRule type="cellIs" dxfId="42" priority="1" operator="greaterThan">
      <formula>0</formula>
    </cfRule>
    <cfRule type="cellIs" dxfId="4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AFB9-6223-496C-A98D-4FEBD59B3DFA}">
  <dimension ref="B2:BP75"/>
  <sheetViews>
    <sheetView workbookViewId="0">
      <selection activeCell="A2" sqref="A2"/>
    </sheetView>
  </sheetViews>
  <sheetFormatPr defaultRowHeight="15" x14ac:dyDescent="0.25"/>
  <cols>
    <col min="2" max="2" width="17.5703125" customWidth="1"/>
    <col min="3" max="3" width="16.140625" bestFit="1" customWidth="1"/>
    <col min="4" max="4" width="16.7109375" bestFit="1" customWidth="1"/>
    <col min="9" max="17" width="8.85546875" bestFit="1" customWidth="1"/>
    <col min="18" max="18" width="9.85546875" bestFit="1" customWidth="1"/>
    <col min="34" max="34" width="9.5703125" bestFit="1" customWidth="1"/>
    <col min="35" max="35" width="10.5703125" bestFit="1" customWidth="1"/>
    <col min="36" max="39" width="9.5703125" bestFit="1" customWidth="1"/>
    <col min="40" max="41" width="10.5703125" bestFit="1" customWidth="1"/>
    <col min="42" max="42" width="9.5703125" bestFit="1" customWidth="1"/>
    <col min="43" max="44" width="10.5703125" bestFit="1" customWidth="1"/>
    <col min="45" max="46" width="9.5703125" bestFit="1" customWidth="1"/>
    <col min="47" max="48" width="10.5703125" bestFit="1" customWidth="1"/>
    <col min="49" max="51" width="9.5703125" bestFit="1" customWidth="1"/>
    <col min="52" max="53" width="10.5703125" bestFit="1" customWidth="1"/>
    <col min="54" max="54" width="9.5703125" bestFit="1" customWidth="1"/>
    <col min="55" max="55" width="10.5703125" bestFit="1" customWidth="1"/>
  </cols>
  <sheetData>
    <row r="2" spans="2:68" x14ac:dyDescent="0.25">
      <c r="B2" s="11" t="s">
        <v>124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1" t="s">
        <v>8</v>
      </c>
      <c r="J2" s="11" t="s">
        <v>9</v>
      </c>
      <c r="K2" s="11" t="s">
        <v>10</v>
      </c>
      <c r="L2" s="11" t="s">
        <v>114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94" t="s">
        <v>34</v>
      </c>
      <c r="AI2" s="94" t="s">
        <v>35</v>
      </c>
      <c r="AJ2" s="94" t="s">
        <v>36</v>
      </c>
      <c r="AK2" s="94" t="s">
        <v>37</v>
      </c>
      <c r="AL2" s="94" t="s">
        <v>38</v>
      </c>
      <c r="AM2" s="94" t="s">
        <v>39</v>
      </c>
      <c r="AN2" s="94" t="s">
        <v>33</v>
      </c>
      <c r="AO2" s="94" t="s">
        <v>40</v>
      </c>
      <c r="AP2" s="94" t="s">
        <v>41</v>
      </c>
      <c r="AQ2" s="94" t="s">
        <v>42</v>
      </c>
      <c r="AR2" s="94" t="s">
        <v>43</v>
      </c>
      <c r="AS2" s="94" t="s">
        <v>44</v>
      </c>
      <c r="AT2" s="94" t="s">
        <v>45</v>
      </c>
      <c r="AU2" s="94" t="s">
        <v>46</v>
      </c>
      <c r="AV2" s="94" t="s">
        <v>47</v>
      </c>
      <c r="AW2" s="94" t="s">
        <v>48</v>
      </c>
      <c r="AX2" s="94" t="s">
        <v>49</v>
      </c>
      <c r="AY2" s="94" t="s">
        <v>50</v>
      </c>
      <c r="AZ2" s="94" t="s">
        <v>51</v>
      </c>
      <c r="BA2" s="94" t="s">
        <v>52</v>
      </c>
      <c r="BB2" s="94" t="s">
        <v>53</v>
      </c>
      <c r="BC2" s="94" t="s">
        <v>54</v>
      </c>
    </row>
    <row r="3" spans="2:68" x14ac:dyDescent="0.25">
      <c r="B3" s="90" t="s">
        <v>62</v>
      </c>
      <c r="C3" s="179">
        <v>1349.8600000000001</v>
      </c>
      <c r="D3" s="179">
        <v>35614.57</v>
      </c>
      <c r="E3" s="179">
        <v>44595.26</v>
      </c>
      <c r="F3" s="179">
        <v>2135.0200000000004</v>
      </c>
      <c r="G3" s="179">
        <v>11199.999999999998</v>
      </c>
      <c r="H3" s="179">
        <v>1969.5500000000002</v>
      </c>
      <c r="I3" s="93">
        <v>15315.110000000004</v>
      </c>
      <c r="J3" s="93">
        <v>39924.79</v>
      </c>
      <c r="K3" s="93">
        <v>63433.850000000013</v>
      </c>
      <c r="L3" s="93">
        <v>9733.1299999999992</v>
      </c>
      <c r="M3" s="93">
        <v>39745.07</v>
      </c>
      <c r="N3" s="93">
        <v>7866.1400000000021</v>
      </c>
      <c r="O3" s="93">
        <v>4622.9399999999987</v>
      </c>
      <c r="P3" s="93">
        <v>3344.76</v>
      </c>
      <c r="Q3" s="93">
        <v>15902.959999999997</v>
      </c>
      <c r="R3" s="93">
        <v>612.90000000000009</v>
      </c>
      <c r="S3" s="93">
        <v>15724.329999999998</v>
      </c>
      <c r="T3" s="93">
        <v>40212.200000000012</v>
      </c>
      <c r="U3" s="93">
        <v>19786.849999999999</v>
      </c>
      <c r="V3" s="93">
        <v>41279.51999999999</v>
      </c>
      <c r="W3" s="93">
        <v>16837.020000000004</v>
      </c>
      <c r="X3" s="93">
        <v>19493.129999999997</v>
      </c>
      <c r="Y3" s="93">
        <v>30321.589999999997</v>
      </c>
      <c r="Z3" s="93">
        <v>38448.19</v>
      </c>
      <c r="AA3" s="93">
        <v>18260.319999999996</v>
      </c>
      <c r="AB3" s="93">
        <v>26824.11</v>
      </c>
      <c r="AC3" s="93">
        <v>17385.670000000002</v>
      </c>
      <c r="AD3" s="93">
        <v>39854.25</v>
      </c>
      <c r="AE3" s="93">
        <v>5216.37</v>
      </c>
      <c r="AF3" s="93">
        <v>475.14</v>
      </c>
      <c r="AG3" s="93">
        <v>21.32</v>
      </c>
      <c r="AH3" s="208">
        <v>11612.56</v>
      </c>
      <c r="AI3" s="208">
        <v>28199.32</v>
      </c>
      <c r="AJ3" s="208">
        <v>12450.26</v>
      </c>
      <c r="AK3" s="208">
        <v>10198.61</v>
      </c>
      <c r="AL3" s="208">
        <v>21729.010000000006</v>
      </c>
      <c r="AM3" s="208">
        <v>8243.42</v>
      </c>
      <c r="AN3" s="208">
        <v>20369.170000000002</v>
      </c>
      <c r="AO3" s="208">
        <v>18816.39</v>
      </c>
      <c r="AP3" s="208">
        <v>25141.18</v>
      </c>
      <c r="AQ3" s="208">
        <v>36450.35</v>
      </c>
      <c r="AR3" s="208">
        <v>24745.62</v>
      </c>
      <c r="AS3" s="208">
        <v>34654.049999999996</v>
      </c>
      <c r="AT3" s="208">
        <v>19624.75</v>
      </c>
      <c r="AU3" s="208">
        <v>22519.210000000003</v>
      </c>
      <c r="AV3" s="208">
        <v>17900.5</v>
      </c>
      <c r="AW3" s="208">
        <v>24605.799999999996</v>
      </c>
      <c r="AX3" s="208">
        <v>29064.040000000005</v>
      </c>
      <c r="AY3" s="208">
        <v>14812.62</v>
      </c>
      <c r="AZ3" s="208">
        <v>25260</v>
      </c>
      <c r="BA3" s="208">
        <v>16575.919999999998</v>
      </c>
      <c r="BB3" s="208">
        <v>24933.02</v>
      </c>
      <c r="BC3" s="208">
        <v>23666.97</v>
      </c>
      <c r="BD3" s="209"/>
      <c r="BE3" s="89"/>
      <c r="BF3" s="89"/>
      <c r="BG3" s="89"/>
    </row>
    <row r="4" spans="2:68" x14ac:dyDescent="0.25">
      <c r="B4" s="90" t="s">
        <v>63</v>
      </c>
      <c r="C4" s="179">
        <v>1064.75</v>
      </c>
      <c r="D4" s="179">
        <v>11067.380000000003</v>
      </c>
      <c r="E4" s="179">
        <v>23115.190000000002</v>
      </c>
      <c r="F4" s="179">
        <v>1616.24</v>
      </c>
      <c r="G4" s="179">
        <v>5094.66</v>
      </c>
      <c r="H4" s="179">
        <v>45.77</v>
      </c>
      <c r="I4" s="93">
        <v>10221.19</v>
      </c>
      <c r="J4" s="93">
        <v>4933.5200000000004</v>
      </c>
      <c r="K4" s="93">
        <v>19058.670000000002</v>
      </c>
      <c r="L4" s="93">
        <v>3572.8100000000004</v>
      </c>
      <c r="M4" s="93">
        <v>14507.74</v>
      </c>
      <c r="N4" s="93">
        <v>39074.560000000005</v>
      </c>
      <c r="O4" s="93">
        <v>12949.63</v>
      </c>
      <c r="P4" s="93">
        <v>4405.05</v>
      </c>
      <c r="Q4" s="93">
        <v>42271.219999999994</v>
      </c>
      <c r="R4" s="93">
        <v>0</v>
      </c>
      <c r="S4" s="93">
        <v>21062.550000000003</v>
      </c>
      <c r="T4" s="93">
        <v>8697.42</v>
      </c>
      <c r="U4" s="93">
        <v>11826.019999999999</v>
      </c>
      <c r="V4" s="93">
        <v>17199.37</v>
      </c>
      <c r="W4" s="93">
        <v>14413.63</v>
      </c>
      <c r="X4" s="93">
        <v>22001.4</v>
      </c>
      <c r="Y4" s="93">
        <v>8760.6</v>
      </c>
      <c r="Z4" s="93">
        <v>161223.70999999996</v>
      </c>
      <c r="AA4" s="93">
        <v>23938.34</v>
      </c>
      <c r="AB4" s="93">
        <v>53094.130000000005</v>
      </c>
      <c r="AC4" s="93">
        <v>34594.359999999993</v>
      </c>
      <c r="AD4" s="93">
        <v>28288.340000000004</v>
      </c>
      <c r="AE4" s="93">
        <v>5484.93</v>
      </c>
      <c r="AF4" s="93">
        <v>0</v>
      </c>
      <c r="AG4" s="93">
        <v>0</v>
      </c>
      <c r="AH4" s="208">
        <v>34558.820000000007</v>
      </c>
      <c r="AI4" s="208">
        <v>107781.07</v>
      </c>
      <c r="AJ4" s="208">
        <v>6076.2000000000007</v>
      </c>
      <c r="AK4" s="208">
        <v>36319.86</v>
      </c>
      <c r="AL4" s="208">
        <v>36357.33</v>
      </c>
      <c r="AM4" s="208">
        <v>20643.910000000003</v>
      </c>
      <c r="AN4" s="208">
        <v>92725.260000000009</v>
      </c>
      <c r="AO4" s="208">
        <v>104740.83</v>
      </c>
      <c r="AP4" s="208">
        <v>72301.300000000017</v>
      </c>
      <c r="AQ4" s="208">
        <v>118467.87999999999</v>
      </c>
      <c r="AR4" s="208">
        <v>108482.18</v>
      </c>
      <c r="AS4" s="208">
        <v>51650.049999999996</v>
      </c>
      <c r="AT4" s="208">
        <v>61736.15</v>
      </c>
      <c r="AU4" s="208">
        <v>168862.52</v>
      </c>
      <c r="AV4" s="208">
        <v>55570.45</v>
      </c>
      <c r="AW4" s="208">
        <v>81146.350000000006</v>
      </c>
      <c r="AX4" s="208">
        <v>43974.700000000004</v>
      </c>
      <c r="AY4" s="208">
        <v>97668.38</v>
      </c>
      <c r="AZ4" s="208">
        <v>23753.74</v>
      </c>
      <c r="BA4" s="208">
        <v>46015.99</v>
      </c>
      <c r="BB4" s="208">
        <v>57905.490000000005</v>
      </c>
      <c r="BC4" s="208">
        <v>90478.840000000011</v>
      </c>
      <c r="BD4" s="209"/>
      <c r="BE4" s="89"/>
      <c r="BF4" s="89"/>
      <c r="BG4" s="89"/>
    </row>
    <row r="5" spans="2:68" x14ac:dyDescent="0.25">
      <c r="B5" s="90" t="s">
        <v>64</v>
      </c>
      <c r="C5" s="179">
        <v>0</v>
      </c>
      <c r="D5" s="179">
        <v>17978.629999999997</v>
      </c>
      <c r="E5" s="179">
        <v>50078</v>
      </c>
      <c r="F5" s="179">
        <v>0</v>
      </c>
      <c r="G5" s="179">
        <v>2208.2800000000002</v>
      </c>
      <c r="H5" s="179">
        <v>447540.57</v>
      </c>
      <c r="I5" s="93">
        <v>0</v>
      </c>
      <c r="J5" s="93">
        <v>16991.5</v>
      </c>
      <c r="K5" s="93">
        <v>29302.5</v>
      </c>
      <c r="L5" s="93">
        <v>0</v>
      </c>
      <c r="M5" s="93">
        <v>2002</v>
      </c>
      <c r="N5" s="93">
        <v>83487.37</v>
      </c>
      <c r="O5" s="93">
        <v>167821.06</v>
      </c>
      <c r="P5" s="93">
        <v>143809.26</v>
      </c>
      <c r="Q5" s="93">
        <v>199721.62999999998</v>
      </c>
      <c r="R5" s="93">
        <v>534100.17000000016</v>
      </c>
      <c r="S5" s="93">
        <v>1682.1</v>
      </c>
      <c r="T5" s="93">
        <v>5330.56</v>
      </c>
      <c r="U5" s="93">
        <v>36897.21</v>
      </c>
      <c r="V5" s="93">
        <v>0</v>
      </c>
      <c r="W5" s="93">
        <v>0</v>
      </c>
      <c r="X5" s="93">
        <v>1122.08</v>
      </c>
      <c r="Y5" s="93">
        <v>278.25</v>
      </c>
      <c r="Z5" s="93">
        <v>141430.78</v>
      </c>
      <c r="AA5" s="93">
        <v>136811.32</v>
      </c>
      <c r="AB5" s="93">
        <v>180311.53</v>
      </c>
      <c r="AC5" s="180">
        <v>226780.61999999997</v>
      </c>
      <c r="AD5" s="93">
        <v>35825.979999999996</v>
      </c>
      <c r="AE5" s="93">
        <v>72531.28</v>
      </c>
      <c r="AF5" s="93">
        <v>811649.39999999991</v>
      </c>
      <c r="AG5" s="93">
        <v>860965.96</v>
      </c>
      <c r="AH5" s="208">
        <v>75300.06</v>
      </c>
      <c r="AI5" s="208">
        <v>181976.99000000002</v>
      </c>
      <c r="AJ5" s="208">
        <v>12816.55</v>
      </c>
      <c r="AK5" s="208">
        <v>27952.19</v>
      </c>
      <c r="AL5" s="208">
        <v>78241.990000000005</v>
      </c>
      <c r="AM5" s="208">
        <v>38951.06</v>
      </c>
      <c r="AN5" s="208">
        <v>182658.32</v>
      </c>
      <c r="AO5" s="208">
        <v>108006.44</v>
      </c>
      <c r="AP5" s="208">
        <v>70838.280000000013</v>
      </c>
      <c r="AQ5" s="208">
        <v>49759.17</v>
      </c>
      <c r="AR5" s="208">
        <v>172650.59000000003</v>
      </c>
      <c r="AS5" s="208">
        <v>44416.2</v>
      </c>
      <c r="AT5" s="208">
        <v>91952.76</v>
      </c>
      <c r="AU5" s="208">
        <v>239886.62</v>
      </c>
      <c r="AV5" s="208">
        <v>132544.73000000001</v>
      </c>
      <c r="AW5" s="208">
        <v>91734.16</v>
      </c>
      <c r="AX5" s="208">
        <v>72460.599999999991</v>
      </c>
      <c r="AY5" s="208">
        <v>59875.08</v>
      </c>
      <c r="AZ5" s="208">
        <v>186862.05</v>
      </c>
      <c r="BA5" s="208">
        <v>207928.81</v>
      </c>
      <c r="BB5" s="208">
        <v>35851.439999999995</v>
      </c>
      <c r="BC5" s="208">
        <v>282134.55</v>
      </c>
      <c r="BD5" s="209"/>
      <c r="BE5" s="89"/>
      <c r="BF5" s="89"/>
      <c r="BG5" s="89"/>
    </row>
    <row r="6" spans="2:68" x14ac:dyDescent="0.25">
      <c r="B6" s="182" t="s">
        <v>58</v>
      </c>
      <c r="C6" s="93">
        <v>402.73</v>
      </c>
      <c r="D6" s="93">
        <v>48601.320000000007</v>
      </c>
      <c r="E6" s="93">
        <v>57836.77</v>
      </c>
      <c r="F6" s="93">
        <v>2092.6799999999998</v>
      </c>
      <c r="G6" s="93">
        <v>7894.32</v>
      </c>
      <c r="H6" s="93">
        <v>25472.799999999999</v>
      </c>
      <c r="I6" s="93">
        <v>36737.96</v>
      </c>
      <c r="J6" s="93">
        <v>31010.39</v>
      </c>
      <c r="K6" s="93">
        <v>53628.24</v>
      </c>
      <c r="L6" s="93">
        <v>6037.64</v>
      </c>
      <c r="M6" s="93">
        <v>49781.18</v>
      </c>
      <c r="N6" s="93">
        <v>26790.84</v>
      </c>
      <c r="O6" s="93">
        <v>9746.69</v>
      </c>
      <c r="P6" s="93">
        <v>5977.9</v>
      </c>
      <c r="Q6" s="93">
        <v>17256.53</v>
      </c>
      <c r="R6" s="93">
        <v>2323.7800000000002</v>
      </c>
      <c r="S6" s="93">
        <v>28208.880000000001</v>
      </c>
      <c r="T6" s="93">
        <v>23980.27</v>
      </c>
      <c r="U6" s="93">
        <v>34005.49</v>
      </c>
      <c r="V6" s="93">
        <v>44204.54</v>
      </c>
      <c r="W6" s="93">
        <v>17936.57</v>
      </c>
      <c r="X6" s="93">
        <v>13069.56</v>
      </c>
      <c r="Y6" s="93">
        <v>29395.33</v>
      </c>
      <c r="Z6" s="93">
        <v>20151.310000000001</v>
      </c>
      <c r="AA6" s="93">
        <v>21935.33</v>
      </c>
      <c r="AB6" s="93">
        <v>25861.93</v>
      </c>
      <c r="AC6" s="93">
        <v>28696.53</v>
      </c>
      <c r="AD6" s="93">
        <v>30947.29</v>
      </c>
      <c r="AE6" s="93">
        <v>4399.74</v>
      </c>
      <c r="AF6" s="93">
        <v>18544.419999999998</v>
      </c>
      <c r="AG6" s="93">
        <v>17274.919999999998</v>
      </c>
      <c r="AH6" s="208">
        <v>6832.32</v>
      </c>
      <c r="AI6" s="208">
        <v>15732.289999999999</v>
      </c>
      <c r="AJ6" s="208">
        <v>-1117.52</v>
      </c>
      <c r="AK6" s="208">
        <v>2877.46</v>
      </c>
      <c r="AL6" s="208">
        <v>10450.06</v>
      </c>
      <c r="AM6" s="208">
        <v>3199.78</v>
      </c>
      <c r="AN6" s="208">
        <v>14346.16</v>
      </c>
      <c r="AO6" s="208">
        <v>23530.3</v>
      </c>
      <c r="AP6" s="208">
        <v>22606.15</v>
      </c>
      <c r="AQ6" s="208">
        <v>18339.419999999998</v>
      </c>
      <c r="AR6" s="208">
        <v>9688.82</v>
      </c>
      <c r="AS6" s="208">
        <v>15424.35</v>
      </c>
      <c r="AT6" s="208">
        <v>10178.790000000001</v>
      </c>
      <c r="AU6" s="208">
        <v>10343.89</v>
      </c>
      <c r="AV6" s="208">
        <v>12474.75</v>
      </c>
      <c r="AW6" s="208">
        <v>15785.26</v>
      </c>
      <c r="AX6" s="208">
        <v>24701.119999999999</v>
      </c>
      <c r="AY6" s="208">
        <v>63305.7</v>
      </c>
      <c r="AZ6" s="208">
        <v>26560.460000000003</v>
      </c>
      <c r="BA6" s="208">
        <v>16389.47</v>
      </c>
      <c r="BB6" s="208">
        <v>23710.400000000001</v>
      </c>
      <c r="BC6" s="208">
        <v>17835.419999999998</v>
      </c>
      <c r="BD6" s="209"/>
      <c r="BE6" s="89"/>
      <c r="BF6" s="89"/>
      <c r="BG6" s="89"/>
    </row>
    <row r="7" spans="2:68" x14ac:dyDescent="0.25">
      <c r="B7" s="182" t="s">
        <v>115</v>
      </c>
      <c r="I7" s="155">
        <v>0.45663708428246014</v>
      </c>
      <c r="J7" s="155">
        <v>0.23988746820809248</v>
      </c>
      <c r="K7" s="155">
        <v>0.93</v>
      </c>
      <c r="L7" s="155">
        <v>0.26</v>
      </c>
      <c r="M7" s="155">
        <v>0.94</v>
      </c>
      <c r="N7" s="155" t="s">
        <v>125</v>
      </c>
      <c r="O7" s="188" t="s">
        <v>125</v>
      </c>
      <c r="P7" s="155">
        <v>7.28</v>
      </c>
      <c r="Q7" s="155">
        <v>0.56000000000000005</v>
      </c>
      <c r="R7" s="188" t="s">
        <v>125</v>
      </c>
      <c r="S7" s="154">
        <v>0.57999999999999996</v>
      </c>
      <c r="T7" s="154">
        <v>0.69</v>
      </c>
      <c r="U7" s="154">
        <v>0.41</v>
      </c>
      <c r="V7" s="154">
        <v>1.1399999999999999</v>
      </c>
      <c r="W7" s="154">
        <v>0.56000000000000005</v>
      </c>
      <c r="X7" s="154">
        <v>0.15</v>
      </c>
      <c r="Y7" s="154">
        <v>0.67</v>
      </c>
      <c r="Z7" s="154">
        <v>0.66</v>
      </c>
      <c r="AA7" s="154">
        <v>1.41</v>
      </c>
      <c r="AB7" s="154">
        <v>2.98</v>
      </c>
      <c r="AC7" s="154">
        <v>1.57</v>
      </c>
      <c r="AD7" s="154">
        <v>0.35</v>
      </c>
      <c r="AE7" s="154">
        <v>0.51</v>
      </c>
      <c r="AF7" s="154">
        <v>6.03</v>
      </c>
      <c r="AG7" s="154">
        <v>1.49</v>
      </c>
      <c r="AH7" s="181">
        <v>0.32261174661746622</v>
      </c>
      <c r="AI7" s="181">
        <v>0.58598289557975647</v>
      </c>
      <c r="AJ7" s="181">
        <v>0.78302891692954801</v>
      </c>
      <c r="AK7" s="181">
        <v>0.2769325376232486</v>
      </c>
      <c r="AL7" s="181">
        <v>0.17253385826771653</v>
      </c>
      <c r="AM7" s="181">
        <v>0.25177231450719822</v>
      </c>
      <c r="AN7" s="181">
        <v>1.3733000241837969</v>
      </c>
      <c r="AO7" s="181">
        <v>0.49994705794280575</v>
      </c>
      <c r="AP7" s="154">
        <v>0.51024172818063396</v>
      </c>
      <c r="AQ7" s="154">
        <v>0.70090616083009061</v>
      </c>
      <c r="AR7" s="154">
        <v>0.8201034227140761</v>
      </c>
      <c r="AS7" s="154">
        <v>0.54858052190121143</v>
      </c>
      <c r="AT7" s="154">
        <v>0.94020759325044401</v>
      </c>
      <c r="AU7" s="154">
        <v>0.16596714993576803</v>
      </c>
      <c r="AV7" s="154">
        <v>0.99312019656019668</v>
      </c>
      <c r="AW7" s="154">
        <v>0.25644945324970775</v>
      </c>
    </row>
    <row r="10" spans="2:68" x14ac:dyDescent="0.25">
      <c r="B10" s="11" t="s">
        <v>126</v>
      </c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1" t="s">
        <v>8</v>
      </c>
      <c r="J10" s="11" t="s">
        <v>9</v>
      </c>
      <c r="K10" s="11" t="s">
        <v>10</v>
      </c>
      <c r="L10" s="11" t="s">
        <v>114</v>
      </c>
      <c r="M10" s="11" t="s">
        <v>12</v>
      </c>
      <c r="N10" s="11" t="s">
        <v>13</v>
      </c>
      <c r="O10" s="11" t="s">
        <v>14</v>
      </c>
      <c r="P10" s="11" t="s">
        <v>15</v>
      </c>
      <c r="Q10" s="11" t="s">
        <v>16</v>
      </c>
      <c r="R10" s="11" t="s">
        <v>17</v>
      </c>
      <c r="S10" s="11" t="s">
        <v>18</v>
      </c>
      <c r="T10" s="11" t="s">
        <v>19</v>
      </c>
      <c r="U10" s="11" t="s">
        <v>20</v>
      </c>
      <c r="V10" s="11" t="s">
        <v>21</v>
      </c>
      <c r="W10" s="11" t="s">
        <v>22</v>
      </c>
      <c r="X10" s="11" t="s">
        <v>23</v>
      </c>
      <c r="Y10" s="11" t="s">
        <v>24</v>
      </c>
      <c r="Z10" s="11" t="s">
        <v>25</v>
      </c>
      <c r="AA10" s="11" t="s">
        <v>26</v>
      </c>
      <c r="AB10" s="11" t="s">
        <v>27</v>
      </c>
      <c r="AC10" s="11" t="s">
        <v>28</v>
      </c>
      <c r="AD10" s="11" t="s">
        <v>29</v>
      </c>
      <c r="AE10" s="11" t="s">
        <v>30</v>
      </c>
      <c r="AF10" s="11" t="s">
        <v>31</v>
      </c>
      <c r="AG10" s="11" t="s">
        <v>32</v>
      </c>
      <c r="AH10" s="94" t="s">
        <v>34</v>
      </c>
      <c r="AI10" s="94" t="s">
        <v>35</v>
      </c>
      <c r="AJ10" s="94" t="s">
        <v>36</v>
      </c>
      <c r="AK10" s="94" t="s">
        <v>37</v>
      </c>
      <c r="AL10" s="94" t="s">
        <v>38</v>
      </c>
      <c r="AM10" s="94" t="s">
        <v>39</v>
      </c>
      <c r="AN10" s="94" t="s">
        <v>33</v>
      </c>
      <c r="AO10" s="94" t="s">
        <v>40</v>
      </c>
      <c r="AP10" s="94" t="s">
        <v>41</v>
      </c>
      <c r="AQ10" s="94" t="s">
        <v>42</v>
      </c>
      <c r="AR10" s="94" t="s">
        <v>43</v>
      </c>
      <c r="AS10" s="94" t="s">
        <v>44</v>
      </c>
      <c r="AT10" s="94" t="s">
        <v>45</v>
      </c>
      <c r="AU10" s="94" t="s">
        <v>46</v>
      </c>
      <c r="AV10" s="94" t="s">
        <v>47</v>
      </c>
      <c r="AW10" s="94" t="s">
        <v>48</v>
      </c>
      <c r="AX10" s="94" t="s">
        <v>49</v>
      </c>
      <c r="AY10" s="94" t="s">
        <v>50</v>
      </c>
      <c r="AZ10" s="94" t="s">
        <v>51</v>
      </c>
      <c r="BA10" s="94" t="s">
        <v>52</v>
      </c>
      <c r="BB10" s="94" t="s">
        <v>53</v>
      </c>
      <c r="BC10" s="94" t="s">
        <v>54</v>
      </c>
    </row>
    <row r="11" spans="2:68" x14ac:dyDescent="0.25">
      <c r="B11" s="13" t="s">
        <v>62</v>
      </c>
      <c r="C11" s="93"/>
      <c r="D11" s="93"/>
      <c r="E11" s="93"/>
      <c r="F11" s="93"/>
      <c r="G11" s="93"/>
      <c r="H11" s="93"/>
      <c r="I11" s="93">
        <v>21021.859999999997</v>
      </c>
      <c r="J11" s="93">
        <v>40448.179999999993</v>
      </c>
      <c r="K11" s="93">
        <v>65337.05</v>
      </c>
      <c r="L11" s="93">
        <v>10511.57</v>
      </c>
      <c r="M11" s="93">
        <v>38810.429999999993</v>
      </c>
      <c r="N11" s="93">
        <v>16707.57</v>
      </c>
      <c r="O11" s="93">
        <v>8870.3000000000011</v>
      </c>
      <c r="P11" s="93">
        <v>7748.6600000000008</v>
      </c>
      <c r="Q11" s="93">
        <v>18825.580000000002</v>
      </c>
      <c r="R11" s="93">
        <v>254.44</v>
      </c>
      <c r="S11" s="183">
        <v>11310.16</v>
      </c>
      <c r="T11" s="183">
        <v>9586.6500000000015</v>
      </c>
      <c r="U11" s="183">
        <v>14113.169999999998</v>
      </c>
      <c r="V11" s="183">
        <v>14721.61</v>
      </c>
      <c r="W11" s="183">
        <v>8606.77</v>
      </c>
      <c r="X11" s="183">
        <v>10127.770000000002</v>
      </c>
      <c r="Y11" s="183">
        <v>12218.689999999999</v>
      </c>
      <c r="Z11" s="183">
        <v>9765.52</v>
      </c>
      <c r="AA11" s="183">
        <v>10089.299999999999</v>
      </c>
      <c r="AB11" s="183">
        <v>8808.86</v>
      </c>
      <c r="AC11" s="183">
        <v>15054.47</v>
      </c>
      <c r="AD11" s="183">
        <v>16466.089999999997</v>
      </c>
      <c r="AE11" s="183">
        <v>3488.11</v>
      </c>
      <c r="AF11" s="183">
        <v>0</v>
      </c>
      <c r="AG11" s="183">
        <v>396.88</v>
      </c>
      <c r="AH11" s="208">
        <v>7290.2300000000005</v>
      </c>
      <c r="AI11" s="208">
        <v>27548.18</v>
      </c>
      <c r="AJ11" s="208">
        <v>6783.2099999999991</v>
      </c>
      <c r="AK11" s="208">
        <v>13479.58</v>
      </c>
      <c r="AL11" s="208">
        <v>14337.590000000002</v>
      </c>
      <c r="AM11" s="208">
        <v>9087.2100000000028</v>
      </c>
      <c r="AN11" s="208">
        <v>21910.61</v>
      </c>
      <c r="AO11" s="208">
        <v>24750.400000000001</v>
      </c>
      <c r="AP11" s="208">
        <v>22268.18</v>
      </c>
      <c r="AQ11" s="208">
        <v>23288.18</v>
      </c>
      <c r="AR11" s="208">
        <v>23827.8</v>
      </c>
      <c r="AS11" s="208">
        <v>25908.84</v>
      </c>
      <c r="AT11" s="210">
        <v>21894.94</v>
      </c>
      <c r="AU11" s="208">
        <v>24130.68</v>
      </c>
      <c r="AV11" s="208">
        <v>21528.55</v>
      </c>
      <c r="AW11" s="208">
        <v>21110.219999999998</v>
      </c>
      <c r="AX11" s="208">
        <v>22262.949999999997</v>
      </c>
      <c r="AY11" s="210">
        <v>23126.5</v>
      </c>
      <c r="AZ11" s="208">
        <v>24276.71</v>
      </c>
      <c r="BA11" s="208">
        <v>18430.259999999998</v>
      </c>
      <c r="BB11" s="208">
        <v>19970.569999999996</v>
      </c>
      <c r="BC11" s="208">
        <v>22814.47</v>
      </c>
      <c r="BD11" s="209"/>
      <c r="BE11" s="209"/>
      <c r="BF11" s="189"/>
      <c r="BM11" s="189"/>
      <c r="BN11" s="189"/>
      <c r="BO11" s="189"/>
      <c r="BP11" s="189"/>
    </row>
    <row r="12" spans="2:68" x14ac:dyDescent="0.25">
      <c r="B12" s="13" t="s">
        <v>63</v>
      </c>
      <c r="C12" s="93"/>
      <c r="D12" s="93"/>
      <c r="E12" s="93"/>
      <c r="F12" s="93"/>
      <c r="G12" s="93"/>
      <c r="H12" s="93"/>
      <c r="I12" s="93">
        <v>4247.26</v>
      </c>
      <c r="J12" s="93">
        <v>2169.3000000000002</v>
      </c>
      <c r="K12" s="93">
        <v>6839.54</v>
      </c>
      <c r="L12" s="93">
        <v>3191.28</v>
      </c>
      <c r="M12" s="93">
        <v>4191.4799999999996</v>
      </c>
      <c r="N12" s="93">
        <v>31844.780000000002</v>
      </c>
      <c r="O12" s="93">
        <v>5222.5200000000004</v>
      </c>
      <c r="P12" s="93">
        <v>7603.66</v>
      </c>
      <c r="Q12" s="93">
        <v>31531.23</v>
      </c>
      <c r="R12" s="93">
        <v>0</v>
      </c>
      <c r="S12" s="183">
        <v>3633.07</v>
      </c>
      <c r="T12" s="183">
        <v>6938.04</v>
      </c>
      <c r="U12" s="183">
        <v>1990.48</v>
      </c>
      <c r="V12" s="183">
        <v>2317.3000000000002</v>
      </c>
      <c r="W12" s="183">
        <v>2845.05</v>
      </c>
      <c r="X12" s="183">
        <v>3575.5600000000004</v>
      </c>
      <c r="Y12" s="183">
        <v>2270.6</v>
      </c>
      <c r="Z12" s="183">
        <v>67233.77</v>
      </c>
      <c r="AA12" s="183">
        <v>57108.840000000004</v>
      </c>
      <c r="AB12" s="183">
        <v>26030.81</v>
      </c>
      <c r="AC12" s="183">
        <v>38745.96</v>
      </c>
      <c r="AD12" s="183">
        <v>49773.42</v>
      </c>
      <c r="AE12" s="183">
        <v>8191.55</v>
      </c>
      <c r="AF12" s="183">
        <v>0</v>
      </c>
      <c r="AG12" s="183">
        <v>0</v>
      </c>
      <c r="AH12" s="210">
        <v>3014.3961599999998</v>
      </c>
      <c r="AI12" s="210">
        <v>9344.2116000000005</v>
      </c>
      <c r="AJ12" s="210">
        <v>2012.3990400000002</v>
      </c>
      <c r="AK12" s="210">
        <v>4898.4046800000006</v>
      </c>
      <c r="AL12" s="210">
        <v>4934.1578399999999</v>
      </c>
      <c r="AM12" s="210">
        <v>3175.1146799999997</v>
      </c>
      <c r="AN12" s="210">
        <v>7855.2879599999997</v>
      </c>
      <c r="AO12" s="210">
        <v>8518.2667200000014</v>
      </c>
      <c r="AP12" s="210">
        <v>9210.4172400000007</v>
      </c>
      <c r="AQ12" s="210">
        <v>8519.5394400000005</v>
      </c>
      <c r="AR12" s="210">
        <v>8682.8065200000001</v>
      </c>
      <c r="AS12" s="210">
        <v>9474.9256800000003</v>
      </c>
      <c r="AT12" s="210">
        <v>8077.4362799999981</v>
      </c>
      <c r="AU12" s="210">
        <v>9904.4843999999994</v>
      </c>
      <c r="AV12" s="210">
        <v>7501.1926800000001</v>
      </c>
      <c r="AW12" s="210">
        <v>8478.1655999999984</v>
      </c>
      <c r="AX12" s="210">
        <v>8325.0718799999995</v>
      </c>
      <c r="AY12" s="210">
        <v>8159.4856800000007</v>
      </c>
      <c r="AZ12" s="210">
        <v>10129.779600000002</v>
      </c>
      <c r="BA12" s="210">
        <v>6540.2916000000005</v>
      </c>
      <c r="BB12" s="210">
        <v>7091.4589200000009</v>
      </c>
      <c r="BC12" s="210">
        <v>8233.3845599999986</v>
      </c>
      <c r="BD12" s="209"/>
      <c r="BE12" s="209"/>
      <c r="BF12" s="189"/>
      <c r="BM12" s="189"/>
      <c r="BN12" s="189"/>
      <c r="BO12" s="189"/>
      <c r="BP12" s="189"/>
    </row>
    <row r="13" spans="2:68" x14ac:dyDescent="0.25">
      <c r="B13" s="13" t="s">
        <v>64</v>
      </c>
      <c r="C13" s="93"/>
      <c r="D13" s="93"/>
      <c r="E13" s="93"/>
      <c r="F13" s="93"/>
      <c r="G13" s="93"/>
      <c r="H13" s="93"/>
      <c r="I13" s="186">
        <v>0</v>
      </c>
      <c r="J13" s="186">
        <v>1600</v>
      </c>
      <c r="K13" s="186">
        <v>2695</v>
      </c>
      <c r="L13" s="186">
        <v>1600</v>
      </c>
      <c r="M13" s="186">
        <v>1666.63</v>
      </c>
      <c r="N13" s="187">
        <v>92379.839999999997</v>
      </c>
      <c r="O13" s="186">
        <v>151244.53999999998</v>
      </c>
      <c r="P13" s="185">
        <v>83029.69</v>
      </c>
      <c r="Q13" s="186">
        <v>240875.00999999998</v>
      </c>
      <c r="R13" s="255">
        <v>510385.96</v>
      </c>
      <c r="S13" s="256">
        <v>0</v>
      </c>
      <c r="T13" s="256">
        <v>0</v>
      </c>
      <c r="U13" s="183">
        <v>0</v>
      </c>
      <c r="V13" s="183">
        <v>0</v>
      </c>
      <c r="W13" s="183">
        <v>0</v>
      </c>
      <c r="X13" s="183">
        <v>4800</v>
      </c>
      <c r="Y13" s="183">
        <v>0</v>
      </c>
      <c r="Z13" s="183">
        <v>87858.8</v>
      </c>
      <c r="AA13" s="184">
        <v>137699.58000000002</v>
      </c>
      <c r="AB13" s="184">
        <v>190691.49</v>
      </c>
      <c r="AC13" s="184">
        <v>224503.69999999998</v>
      </c>
      <c r="AD13" s="183">
        <v>60703.7</v>
      </c>
      <c r="AE13" s="183">
        <v>75719.570000000007</v>
      </c>
      <c r="AF13" s="183">
        <v>792281.5</v>
      </c>
      <c r="AG13" s="184">
        <v>900923.51</v>
      </c>
      <c r="AH13" s="208">
        <v>7638.63</v>
      </c>
      <c r="AI13" s="208">
        <v>34110.379999999997</v>
      </c>
      <c r="AJ13" s="208">
        <v>5558.83</v>
      </c>
      <c r="AK13" s="208">
        <v>11721.369999999999</v>
      </c>
      <c r="AL13" s="208">
        <v>12080.11</v>
      </c>
      <c r="AM13" s="208">
        <v>7880.2600000000011</v>
      </c>
      <c r="AN13" s="208">
        <v>28238.229999999996</v>
      </c>
      <c r="AO13" s="208">
        <v>24400.29</v>
      </c>
      <c r="AP13" s="208">
        <v>21499</v>
      </c>
      <c r="AQ13" s="208">
        <v>21546</v>
      </c>
      <c r="AR13" s="208">
        <v>20924.099999999999</v>
      </c>
      <c r="AS13" s="208">
        <v>26061.409999999996</v>
      </c>
      <c r="AT13" s="208">
        <v>26703.97</v>
      </c>
      <c r="AU13" s="208">
        <v>23695.140000000003</v>
      </c>
      <c r="AV13" s="208">
        <v>22034.68</v>
      </c>
      <c r="AW13" s="208">
        <v>19403.979999999996</v>
      </c>
      <c r="AX13" s="208">
        <v>25767.690000000002</v>
      </c>
      <c r="AY13" s="210">
        <v>25942.550000000003</v>
      </c>
      <c r="AZ13" s="208">
        <v>30987.45</v>
      </c>
      <c r="BA13" s="208">
        <v>16214.02</v>
      </c>
      <c r="BB13" s="208">
        <v>15881.28</v>
      </c>
      <c r="BC13" s="208">
        <v>20001.02</v>
      </c>
      <c r="BD13" s="209"/>
      <c r="BE13" s="209"/>
      <c r="BF13" s="189"/>
      <c r="BM13" s="189"/>
      <c r="BN13" s="189"/>
      <c r="BO13" s="189"/>
      <c r="BP13" s="189"/>
    </row>
    <row r="14" spans="2:68" x14ac:dyDescent="0.25">
      <c r="B14" s="14" t="s">
        <v>65</v>
      </c>
      <c r="C14" s="93"/>
      <c r="D14" s="93"/>
      <c r="E14" s="93"/>
      <c r="F14" s="93"/>
      <c r="G14" s="93"/>
      <c r="H14" s="93"/>
      <c r="I14" s="93">
        <v>24869.91</v>
      </c>
      <c r="J14" s="93">
        <v>33563.83</v>
      </c>
      <c r="K14" s="93">
        <v>61725.96</v>
      </c>
      <c r="L14" s="93">
        <v>3825.33</v>
      </c>
      <c r="M14" s="93">
        <v>37726.699999999997</v>
      </c>
      <c r="N14" s="93">
        <v>19171.099999999999</v>
      </c>
      <c r="O14" s="93">
        <v>13282.14</v>
      </c>
      <c r="P14" s="93">
        <v>8871.6299999999992</v>
      </c>
      <c r="Q14" s="93">
        <v>24761.1</v>
      </c>
      <c r="R14" s="257">
        <v>18209.52</v>
      </c>
      <c r="S14" s="257">
        <v>34578.26</v>
      </c>
      <c r="T14" s="257">
        <v>27391.97</v>
      </c>
      <c r="U14" s="93">
        <v>38576.51</v>
      </c>
      <c r="V14" s="93">
        <v>43429.81</v>
      </c>
      <c r="W14" s="93">
        <v>18769.68</v>
      </c>
      <c r="X14" s="93">
        <v>19708.079999999998</v>
      </c>
      <c r="Y14" s="93">
        <v>30371.19</v>
      </c>
      <c r="Z14" s="93">
        <v>17085.62</v>
      </c>
      <c r="AA14" s="93">
        <v>21612.030000000002</v>
      </c>
      <c r="AB14" s="93">
        <v>19504.32</v>
      </c>
      <c r="AC14" s="93">
        <v>26990.32</v>
      </c>
      <c r="AD14" s="93">
        <v>25936.29</v>
      </c>
      <c r="AE14" s="93">
        <v>7140.83</v>
      </c>
      <c r="AF14" s="93">
        <v>18125.34</v>
      </c>
      <c r="AG14" s="93">
        <v>25456.18</v>
      </c>
      <c r="AH14" s="208">
        <v>3741.33</v>
      </c>
      <c r="AI14" s="208">
        <v>6382.28</v>
      </c>
      <c r="AJ14" s="208">
        <v>1303.6199999999999</v>
      </c>
      <c r="AK14" s="208">
        <v>6059.64</v>
      </c>
      <c r="AL14" s="208">
        <v>5405.13</v>
      </c>
      <c r="AM14" s="208">
        <v>5817.28</v>
      </c>
      <c r="AN14" s="208">
        <v>9421.4500000000007</v>
      </c>
      <c r="AO14" s="208">
        <v>18648.330000000002</v>
      </c>
      <c r="AP14" s="208">
        <v>11129.63</v>
      </c>
      <c r="AQ14" s="208">
        <v>11923.27</v>
      </c>
      <c r="AR14" s="208">
        <v>6892.44</v>
      </c>
      <c r="AS14" s="208">
        <v>13066.56</v>
      </c>
      <c r="AT14" s="208">
        <v>13156.58</v>
      </c>
      <c r="AU14" s="208">
        <v>13819.79</v>
      </c>
      <c r="AV14" s="208">
        <v>9766.11</v>
      </c>
      <c r="AW14" s="208">
        <v>9646.7999999999993</v>
      </c>
      <c r="AX14" s="208">
        <v>18392.939999999999</v>
      </c>
      <c r="AY14" s="208">
        <v>25592.23</v>
      </c>
      <c r="AZ14" s="208">
        <v>21799.040000000001</v>
      </c>
      <c r="BA14" s="208">
        <v>14532.7</v>
      </c>
      <c r="BB14" s="208">
        <v>14532.7</v>
      </c>
      <c r="BC14" s="208">
        <v>18165.87</v>
      </c>
      <c r="BD14" s="209"/>
      <c r="BE14" s="209"/>
      <c r="BF14" s="189"/>
      <c r="BM14" s="189"/>
      <c r="BN14" s="189"/>
      <c r="BO14" s="189"/>
      <c r="BP14" s="189"/>
    </row>
    <row r="16" spans="2:68" x14ac:dyDescent="0.25"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</row>
    <row r="17" spans="2:55" x14ac:dyDescent="0.25">
      <c r="B17" s="11" t="s">
        <v>67</v>
      </c>
      <c r="C17" s="16" t="s">
        <v>2</v>
      </c>
      <c r="D17" s="16" t="s">
        <v>3</v>
      </c>
      <c r="E17" s="16" t="s">
        <v>4</v>
      </c>
      <c r="F17" s="16" t="s">
        <v>5</v>
      </c>
      <c r="G17" s="16" t="s">
        <v>6</v>
      </c>
      <c r="H17" s="16" t="s">
        <v>7</v>
      </c>
      <c r="I17" s="11" t="s">
        <v>8</v>
      </c>
      <c r="J17" s="11" t="s">
        <v>9</v>
      </c>
      <c r="K17" s="11" t="s">
        <v>10</v>
      </c>
      <c r="L17" s="11" t="s">
        <v>114</v>
      </c>
      <c r="M17" s="11" t="s">
        <v>12</v>
      </c>
      <c r="N17" s="11" t="s">
        <v>13</v>
      </c>
      <c r="O17" s="11" t="s">
        <v>14</v>
      </c>
      <c r="P17" s="11" t="s">
        <v>15</v>
      </c>
      <c r="Q17" s="11" t="s">
        <v>16</v>
      </c>
      <c r="R17" s="11" t="s">
        <v>17</v>
      </c>
      <c r="S17" s="11" t="s">
        <v>18</v>
      </c>
      <c r="T17" s="11" t="s">
        <v>19</v>
      </c>
      <c r="U17" s="11" t="s">
        <v>20</v>
      </c>
      <c r="V17" s="11" t="s">
        <v>21</v>
      </c>
      <c r="W17" s="11" t="s">
        <v>22</v>
      </c>
      <c r="X17" s="11" t="s">
        <v>23</v>
      </c>
      <c r="Y17" s="11" t="s">
        <v>24</v>
      </c>
      <c r="Z17" s="11" t="s">
        <v>25</v>
      </c>
      <c r="AA17" s="11" t="s">
        <v>26</v>
      </c>
      <c r="AB17" s="11" t="s">
        <v>27</v>
      </c>
      <c r="AC17" s="11" t="s">
        <v>28</v>
      </c>
      <c r="AD17" s="11" t="s">
        <v>29</v>
      </c>
      <c r="AE17" s="11" t="s">
        <v>30</v>
      </c>
      <c r="AF17" s="11" t="s">
        <v>31</v>
      </c>
      <c r="AG17" s="11" t="s">
        <v>32</v>
      </c>
      <c r="AH17" s="94" t="s">
        <v>34</v>
      </c>
      <c r="AI17" s="94" t="s">
        <v>35</v>
      </c>
      <c r="AJ17" s="94" t="s">
        <v>36</v>
      </c>
      <c r="AK17" s="94" t="s">
        <v>37</v>
      </c>
      <c r="AL17" s="94" t="s">
        <v>38</v>
      </c>
      <c r="AM17" s="94" t="s">
        <v>39</v>
      </c>
      <c r="AN17" s="94" t="s">
        <v>33</v>
      </c>
      <c r="AO17" s="94" t="s">
        <v>40</v>
      </c>
      <c r="AP17" s="94" t="s">
        <v>41</v>
      </c>
      <c r="AQ17" s="94" t="s">
        <v>42</v>
      </c>
      <c r="AR17" s="94" t="s">
        <v>43</v>
      </c>
      <c r="AS17" s="94" t="s">
        <v>44</v>
      </c>
      <c r="AT17" s="94" t="s">
        <v>45</v>
      </c>
      <c r="AU17" s="94" t="s">
        <v>46</v>
      </c>
      <c r="AV17" s="94" t="s">
        <v>47</v>
      </c>
      <c r="AW17" s="94" t="s">
        <v>48</v>
      </c>
      <c r="AX17" s="94" t="s">
        <v>49</v>
      </c>
      <c r="AY17" s="94" t="s">
        <v>50</v>
      </c>
      <c r="AZ17" s="94" t="s">
        <v>51</v>
      </c>
      <c r="BA17" s="94" t="s">
        <v>52</v>
      </c>
      <c r="BB17" s="94" t="s">
        <v>53</v>
      </c>
      <c r="BC17" s="94" t="s">
        <v>54</v>
      </c>
    </row>
    <row r="18" spans="2:55" x14ac:dyDescent="0.25">
      <c r="B18" s="13" t="s">
        <v>62</v>
      </c>
      <c r="I18" s="89">
        <v>5706.7499999999927</v>
      </c>
      <c r="J18" s="89">
        <v>523.38999999999214</v>
      </c>
      <c r="K18" s="89">
        <v>1903.1999999999898</v>
      </c>
      <c r="L18" s="89">
        <v>778.44000000000051</v>
      </c>
      <c r="M18" s="89">
        <v>-934.64000000000669</v>
      </c>
      <c r="N18" s="89">
        <v>8841.4299999999967</v>
      </c>
      <c r="O18" s="89">
        <v>4247.3600000000024</v>
      </c>
      <c r="P18" s="89">
        <v>4403.9000000000005</v>
      </c>
      <c r="Q18" s="89">
        <v>2922.6200000000044</v>
      </c>
      <c r="R18" s="89">
        <v>-358.46000000000009</v>
      </c>
      <c r="S18" s="89">
        <v>-4414.1699999999983</v>
      </c>
      <c r="T18" s="89">
        <v>-30625.55000000001</v>
      </c>
      <c r="U18" s="89">
        <v>-5673.68</v>
      </c>
      <c r="V18" s="89">
        <v>-26557.909999999989</v>
      </c>
      <c r="W18" s="89">
        <v>-8230.2500000000036</v>
      </c>
      <c r="X18" s="89">
        <v>-9365.3599999999951</v>
      </c>
      <c r="Y18" s="89">
        <v>-18102.899999999998</v>
      </c>
      <c r="Z18" s="89">
        <v>-28682.670000000002</v>
      </c>
      <c r="AA18" s="89">
        <v>-8171.0199999999968</v>
      </c>
      <c r="AB18" s="89">
        <v>-18015.25</v>
      </c>
      <c r="AC18" s="89">
        <v>-2331.2000000000025</v>
      </c>
      <c r="AD18" s="89">
        <v>-23388.160000000003</v>
      </c>
      <c r="AE18" s="89">
        <v>-1728.2599999999998</v>
      </c>
      <c r="AF18" s="89">
        <v>-475.14</v>
      </c>
      <c r="AG18" s="89">
        <v>375.56</v>
      </c>
      <c r="AH18" s="89">
        <v>-4322.329999999999</v>
      </c>
      <c r="AI18" s="89">
        <v>-651.13999999999942</v>
      </c>
      <c r="AJ18" s="89">
        <v>-5667.0500000000011</v>
      </c>
      <c r="AK18" s="89">
        <v>3280.9699999999993</v>
      </c>
      <c r="AL18" s="89">
        <v>-7391.4200000000037</v>
      </c>
      <c r="AM18" s="89">
        <v>843.79000000000269</v>
      </c>
      <c r="AN18" s="89">
        <v>1541.4399999999987</v>
      </c>
      <c r="AO18" s="89">
        <v>5934.010000000002</v>
      </c>
      <c r="AP18" s="89">
        <v>-2873</v>
      </c>
      <c r="AQ18" s="89">
        <v>-13162.169999999998</v>
      </c>
      <c r="AR18" s="89">
        <v>-917.81999999999971</v>
      </c>
      <c r="AS18" s="89">
        <v>-8745.2099999999955</v>
      </c>
      <c r="AT18" s="89">
        <v>2270.1899999999987</v>
      </c>
      <c r="AU18" s="89">
        <v>1611.4699999999975</v>
      </c>
      <c r="AV18" s="89">
        <v>3628.0499999999993</v>
      </c>
      <c r="AW18" s="89">
        <v>-3495.5799999999981</v>
      </c>
      <c r="AX18" s="89">
        <v>-6801.0900000000074</v>
      </c>
      <c r="AY18" s="89">
        <v>8313.8799999999992</v>
      </c>
      <c r="AZ18" s="89">
        <v>-983.29000000000087</v>
      </c>
      <c r="BA18" s="89">
        <v>1854.3400000000001</v>
      </c>
      <c r="BB18" s="89">
        <v>-4962.4500000000044</v>
      </c>
      <c r="BC18" s="89">
        <v>-852.5</v>
      </c>
    </row>
    <row r="19" spans="2:55" x14ac:dyDescent="0.25">
      <c r="B19" s="13" t="s">
        <v>63</v>
      </c>
      <c r="I19" s="89">
        <v>-5973.93</v>
      </c>
      <c r="J19" s="89">
        <v>-2764.2200000000003</v>
      </c>
      <c r="K19" s="89">
        <v>-12219.130000000001</v>
      </c>
      <c r="L19" s="89">
        <v>-381.5300000000002</v>
      </c>
      <c r="M19" s="89">
        <v>-10316.26</v>
      </c>
      <c r="N19" s="89">
        <v>-7229.7800000000025</v>
      </c>
      <c r="O19" s="89">
        <v>-7727.1099999999988</v>
      </c>
      <c r="P19" s="89">
        <v>3198.6099999999997</v>
      </c>
      <c r="Q19" s="89">
        <v>-10739.989999999994</v>
      </c>
      <c r="R19" s="89">
        <v>0</v>
      </c>
      <c r="S19" s="89">
        <v>-17429.480000000003</v>
      </c>
      <c r="T19" s="89">
        <v>-1759.38</v>
      </c>
      <c r="U19" s="89">
        <v>-9835.5399999999991</v>
      </c>
      <c r="V19" s="89">
        <v>-14882.07</v>
      </c>
      <c r="W19" s="89">
        <v>-11568.579999999998</v>
      </c>
      <c r="X19" s="89">
        <v>-18425.84</v>
      </c>
      <c r="Y19" s="89">
        <v>-6490</v>
      </c>
      <c r="Z19" s="89">
        <v>-93989.939999999959</v>
      </c>
      <c r="AA19" s="89">
        <v>33170.5</v>
      </c>
      <c r="AB19" s="89">
        <v>-27063.320000000003</v>
      </c>
      <c r="AC19" s="89">
        <v>4151.6000000000058</v>
      </c>
      <c r="AD19" s="89">
        <v>21485.079999999994</v>
      </c>
      <c r="AE19" s="89">
        <v>2706.62</v>
      </c>
      <c r="AF19" s="89">
        <v>0</v>
      </c>
      <c r="AG19" s="89">
        <v>0</v>
      </c>
      <c r="AH19" s="89">
        <v>-31544.423840000007</v>
      </c>
      <c r="AI19" s="89">
        <v>-98436.858400000012</v>
      </c>
      <c r="AJ19" s="89">
        <v>-4063.8009600000005</v>
      </c>
      <c r="AK19" s="89">
        <v>-31421.455320000001</v>
      </c>
      <c r="AL19" s="89">
        <v>-31423.172160000002</v>
      </c>
      <c r="AM19" s="89">
        <v>-17468.795320000005</v>
      </c>
      <c r="AN19" s="89">
        <v>-84869.972040000008</v>
      </c>
      <c r="AO19" s="89">
        <v>-96222.563280000002</v>
      </c>
      <c r="AP19" s="89">
        <v>-63090.882760000015</v>
      </c>
      <c r="AQ19" s="89">
        <v>-109948.34055999998</v>
      </c>
      <c r="AR19" s="89">
        <v>-99799.373479999995</v>
      </c>
      <c r="AS19" s="89">
        <v>-42175.124319999995</v>
      </c>
      <c r="AT19" s="89">
        <v>-53658.71372</v>
      </c>
      <c r="AU19" s="89">
        <v>-158958.0356</v>
      </c>
      <c r="AV19" s="89">
        <v>-48069.257319999997</v>
      </c>
      <c r="AW19" s="89">
        <v>-72668.184400000013</v>
      </c>
      <c r="AX19" s="89">
        <v>-35649.628120000008</v>
      </c>
      <c r="AY19" s="89">
        <v>-89508.894320000007</v>
      </c>
      <c r="AZ19" s="89">
        <v>-13623.9604</v>
      </c>
      <c r="BA19" s="89">
        <v>-39475.698399999994</v>
      </c>
      <c r="BB19" s="89">
        <v>-50814.031080000001</v>
      </c>
      <c r="BC19" s="89">
        <v>-82245.45544000002</v>
      </c>
    </row>
    <row r="20" spans="2:55" x14ac:dyDescent="0.25">
      <c r="B20" s="13" t="s">
        <v>64</v>
      </c>
      <c r="I20" s="89">
        <v>0</v>
      </c>
      <c r="J20" s="89">
        <v>-15391.5</v>
      </c>
      <c r="K20" s="89">
        <v>-26607.5</v>
      </c>
      <c r="L20" s="89">
        <v>1600</v>
      </c>
      <c r="M20" s="89">
        <v>-335.36999999999989</v>
      </c>
      <c r="N20" s="89">
        <v>8892.4700000000012</v>
      </c>
      <c r="O20" s="89">
        <v>-16576.520000000019</v>
      </c>
      <c r="P20" s="89">
        <v>-60779.570000000007</v>
      </c>
      <c r="Q20" s="89">
        <v>41153.380000000005</v>
      </c>
      <c r="R20" s="89">
        <v>-23714.210000000137</v>
      </c>
      <c r="S20" s="89">
        <v>-1682.1</v>
      </c>
      <c r="T20" s="89">
        <v>-5330.56</v>
      </c>
      <c r="U20" s="89">
        <v>-36897.21</v>
      </c>
      <c r="V20" s="89">
        <v>0</v>
      </c>
      <c r="W20" s="89">
        <v>0</v>
      </c>
      <c r="X20" s="89">
        <v>3677.92</v>
      </c>
      <c r="Y20" s="89">
        <v>-278.25</v>
      </c>
      <c r="Z20" s="89">
        <v>-53571.979999999996</v>
      </c>
      <c r="AA20" s="89">
        <v>888.26000000000931</v>
      </c>
      <c r="AB20" s="89">
        <v>10379.959999999992</v>
      </c>
      <c r="AC20" s="89">
        <v>-2276.9199999999837</v>
      </c>
      <c r="AD20" s="89">
        <v>24877.72</v>
      </c>
      <c r="AE20" s="89">
        <v>3188.2900000000081</v>
      </c>
      <c r="AF20" s="89">
        <v>-19367.899999999907</v>
      </c>
      <c r="AG20" s="89">
        <v>39957.550000000047</v>
      </c>
      <c r="AH20" s="89">
        <v>-67661.429999999993</v>
      </c>
      <c r="AI20" s="89">
        <v>-147866.61000000002</v>
      </c>
      <c r="AJ20" s="89">
        <v>-7257.7199999999993</v>
      </c>
      <c r="AK20" s="89">
        <v>-16230.82</v>
      </c>
      <c r="AL20" s="89">
        <v>-66161.88</v>
      </c>
      <c r="AM20" s="89">
        <v>-31070.799999999996</v>
      </c>
      <c r="AN20" s="89">
        <v>-154420.09000000003</v>
      </c>
      <c r="AO20" s="89">
        <v>-83606.149999999994</v>
      </c>
      <c r="AP20" s="89">
        <v>-49339.280000000013</v>
      </c>
      <c r="AQ20" s="89">
        <v>-28213.17</v>
      </c>
      <c r="AR20" s="89">
        <v>-151726.49000000002</v>
      </c>
      <c r="AS20" s="89">
        <v>-18354.79</v>
      </c>
      <c r="AT20" s="89">
        <v>-65248.789999999994</v>
      </c>
      <c r="AU20" s="89">
        <v>-216191.47999999998</v>
      </c>
      <c r="AV20" s="89">
        <v>-110510.05000000002</v>
      </c>
      <c r="AW20" s="89">
        <v>-72330.180000000008</v>
      </c>
      <c r="AX20" s="89">
        <v>-46692.909999999989</v>
      </c>
      <c r="AY20" s="89">
        <v>-33932.53</v>
      </c>
      <c r="AZ20" s="89">
        <v>-155874.59999999998</v>
      </c>
      <c r="BA20" s="89">
        <v>-191714.79</v>
      </c>
      <c r="BB20" s="89">
        <v>-19970.159999999996</v>
      </c>
      <c r="BC20" s="89">
        <v>-262133.53</v>
      </c>
    </row>
    <row r="21" spans="2:55" x14ac:dyDescent="0.25">
      <c r="B21" s="14" t="s">
        <v>65</v>
      </c>
      <c r="I21" s="89">
        <v>-11868.05</v>
      </c>
      <c r="J21" s="89">
        <v>2553.4400000000023</v>
      </c>
      <c r="K21" s="89">
        <v>8097.7200000000012</v>
      </c>
      <c r="L21" s="89">
        <v>-2212.3100000000004</v>
      </c>
      <c r="M21" s="89">
        <v>-12054.480000000003</v>
      </c>
      <c r="N21" s="89">
        <v>-7619.7400000000016</v>
      </c>
      <c r="O21" s="89">
        <v>3535.4499999999989</v>
      </c>
      <c r="P21" s="89">
        <v>2893.7299999999996</v>
      </c>
      <c r="Q21" s="89">
        <v>7504.57</v>
      </c>
      <c r="R21" s="89">
        <v>15885.74</v>
      </c>
      <c r="S21" s="89">
        <v>6369.380000000001</v>
      </c>
      <c r="T21" s="89">
        <v>3411.7000000000007</v>
      </c>
      <c r="U21" s="89">
        <v>4571.0200000000041</v>
      </c>
      <c r="V21" s="89">
        <v>-774.7300000000032</v>
      </c>
      <c r="W21" s="89">
        <v>833.11000000000058</v>
      </c>
      <c r="X21" s="89">
        <v>6638.5199999999986</v>
      </c>
      <c r="Y21" s="89">
        <v>975.85999999999694</v>
      </c>
      <c r="Z21" s="89">
        <v>-3065.6900000000023</v>
      </c>
      <c r="AA21" s="89">
        <v>-323.29999999999927</v>
      </c>
      <c r="AB21" s="89">
        <v>-6357.6100000000006</v>
      </c>
      <c r="AC21" s="89">
        <v>-1706.2099999999991</v>
      </c>
      <c r="AD21" s="89">
        <v>-5011</v>
      </c>
      <c r="AE21" s="89">
        <v>2741.09</v>
      </c>
      <c r="AF21" s="89">
        <v>-419.07999999999811</v>
      </c>
      <c r="AG21" s="89">
        <v>8181.260000000002</v>
      </c>
      <c r="AH21" s="89">
        <v>-3090.99</v>
      </c>
      <c r="AI21" s="89">
        <v>-9350.0099999999984</v>
      </c>
      <c r="AJ21" s="89">
        <v>2421.14</v>
      </c>
      <c r="AK21" s="89">
        <v>3182.1800000000003</v>
      </c>
      <c r="AL21" s="89">
        <v>-5044.9299999999994</v>
      </c>
      <c r="AM21" s="89">
        <v>2617.4999999999995</v>
      </c>
      <c r="AN21" s="89">
        <v>-4924.7099999999991</v>
      </c>
      <c r="AO21" s="89">
        <v>-4881.9699999999975</v>
      </c>
      <c r="AP21" s="89">
        <v>-11476.520000000002</v>
      </c>
      <c r="AQ21" s="89">
        <v>-6416.1499999999978</v>
      </c>
      <c r="AR21" s="89">
        <v>-2796.38</v>
      </c>
      <c r="AS21" s="89">
        <v>-2357.7900000000009</v>
      </c>
      <c r="AT21" s="89">
        <v>2977.7899999999991</v>
      </c>
      <c r="AU21" s="89">
        <v>3475.9000000000015</v>
      </c>
      <c r="AV21" s="89">
        <v>-2708.6399999999994</v>
      </c>
      <c r="AW21" s="89">
        <v>-6138.4600000000009</v>
      </c>
      <c r="AX21" s="89">
        <v>-6308.18</v>
      </c>
      <c r="AY21" s="89">
        <v>-37713.47</v>
      </c>
      <c r="AZ21" s="89">
        <v>-4761.4200000000019</v>
      </c>
      <c r="BA21" s="89">
        <v>-1856.7700000000004</v>
      </c>
      <c r="BB21" s="89">
        <v>-9177.7000000000007</v>
      </c>
      <c r="BC21" s="89">
        <v>330.45000000000073</v>
      </c>
    </row>
    <row r="23" spans="2:55" x14ac:dyDescent="0.25">
      <c r="B23" s="13" t="s">
        <v>127</v>
      </c>
    </row>
    <row r="24" spans="2:55" x14ac:dyDescent="0.25">
      <c r="B24" s="90" t="s">
        <v>62</v>
      </c>
      <c r="C24" s="93">
        <v>2120.5599999999995</v>
      </c>
      <c r="D24" s="93">
        <v>-2255.0699999999997</v>
      </c>
      <c r="E24" s="93">
        <v>-10636.259999999995</v>
      </c>
      <c r="F24" s="93">
        <v>-2582.2200000000003</v>
      </c>
      <c r="G24" s="93">
        <v>-4613.2499999999982</v>
      </c>
      <c r="H24" s="93">
        <v>-65.400000000000318</v>
      </c>
      <c r="I24" s="93">
        <v>9411.5400000000009</v>
      </c>
      <c r="J24" s="93">
        <v>10938.140000000007</v>
      </c>
      <c r="K24" s="93">
        <v>11300.469999999965</v>
      </c>
      <c r="L24" s="93">
        <v>774.04000000000087</v>
      </c>
      <c r="M24" s="93">
        <v>3850.179999999993</v>
      </c>
      <c r="N24" s="93">
        <v>2435.0599999999968</v>
      </c>
      <c r="O24" s="93">
        <v>-15.239999999998872</v>
      </c>
      <c r="P24" s="93">
        <v>986.56999999999971</v>
      </c>
      <c r="Q24" s="93">
        <v>-3295.9999999999964</v>
      </c>
      <c r="R24" s="93">
        <v>284.42999999999995</v>
      </c>
      <c r="S24" s="93">
        <v>-460.43999999999869</v>
      </c>
      <c r="T24" s="93">
        <v>-26016.400000000009</v>
      </c>
      <c r="U24" s="93">
        <v>-8143.3399999999983</v>
      </c>
      <c r="V24" s="93">
        <v>-14979.839999999989</v>
      </c>
      <c r="W24" s="93">
        <v>1815.6499999999978</v>
      </c>
      <c r="X24" s="93">
        <v>-2027.3899999999994</v>
      </c>
      <c r="Y24" s="93">
        <v>-10392.990000000002</v>
      </c>
      <c r="Z24" s="93">
        <v>-20232.259999999998</v>
      </c>
      <c r="AA24" s="93">
        <v>7434.940000000006</v>
      </c>
      <c r="AB24" s="93">
        <v>-16586.05</v>
      </c>
      <c r="AC24" s="93">
        <v>20408.199999999993</v>
      </c>
      <c r="AD24" s="93">
        <v>-9454.0000000000036</v>
      </c>
      <c r="AE24" s="93">
        <v>-3305.49</v>
      </c>
      <c r="AF24" s="93">
        <v>-34.689999999999941</v>
      </c>
      <c r="AG24" s="93">
        <v>209.81</v>
      </c>
      <c r="AH24" s="93">
        <v>-438.06999999999971</v>
      </c>
      <c r="AI24" s="93">
        <v>-3039.6800000000039</v>
      </c>
      <c r="AJ24" s="93">
        <v>-10719</v>
      </c>
      <c r="AK24" s="93">
        <v>-4638.4900000000007</v>
      </c>
      <c r="AL24" s="93">
        <v>-5573.5100000000057</v>
      </c>
      <c r="AM24" s="93">
        <v>-1644.9600000000009</v>
      </c>
      <c r="AN24" s="93">
        <v>-2886.0499999999993</v>
      </c>
      <c r="AO24" s="93">
        <v>3908.0900000000038</v>
      </c>
      <c r="AP24" s="93">
        <v>-6862.8899999999994</v>
      </c>
      <c r="AQ24" s="93">
        <v>-8641.369999999999</v>
      </c>
      <c r="AR24" s="93">
        <v>-5591.9400000000023</v>
      </c>
      <c r="AS24" s="93">
        <v>-7089.6399999999921</v>
      </c>
      <c r="AT24" s="93">
        <v>-4049.0799999999981</v>
      </c>
      <c r="AU24" s="93">
        <v>-9681.1600000000017</v>
      </c>
      <c r="AV24" s="93">
        <v>-4242.4700000000012</v>
      </c>
      <c r="AW24" s="93">
        <v>-5734.6599999999962</v>
      </c>
      <c r="AX24" s="93">
        <v>-4637.7100000000064</v>
      </c>
      <c r="AY24" s="93">
        <v>-1642.4900000000016</v>
      </c>
      <c r="AZ24" s="93">
        <v>-4404.130000000001</v>
      </c>
      <c r="BA24" s="93">
        <v>7010.1500000000015</v>
      </c>
      <c r="BB24" s="93">
        <v>-6927.09</v>
      </c>
      <c r="BC24" s="93">
        <v>-8927.3500000000022</v>
      </c>
    </row>
    <row r="25" spans="2:55" x14ac:dyDescent="0.25">
      <c r="B25" s="90" t="s">
        <v>63</v>
      </c>
      <c r="C25" s="93">
        <v>75.980000000000018</v>
      </c>
      <c r="D25" s="93">
        <v>-5714.2000000000035</v>
      </c>
      <c r="E25" s="93">
        <v>14370.049999999996</v>
      </c>
      <c r="F25" s="93">
        <v>1425.0399999999997</v>
      </c>
      <c r="G25" s="93">
        <v>4831.2199999999993</v>
      </c>
      <c r="H25" s="93">
        <v>251.04</v>
      </c>
      <c r="I25" s="93">
        <v>-5660.7500000000009</v>
      </c>
      <c r="J25" s="93">
        <v>3607.9599999999991</v>
      </c>
      <c r="K25" s="93">
        <v>8853.6499999999978</v>
      </c>
      <c r="L25" s="93">
        <v>4983.12</v>
      </c>
      <c r="M25" s="93">
        <v>-2717.8599999999988</v>
      </c>
      <c r="N25" s="93">
        <v>4402.3900000000067</v>
      </c>
      <c r="O25" s="93">
        <v>-4441.6099999999988</v>
      </c>
      <c r="P25" s="93">
        <v>3745.2599999999993</v>
      </c>
      <c r="Q25" s="93">
        <v>4424.2000000000044</v>
      </c>
      <c r="R25" s="93">
        <v>0</v>
      </c>
      <c r="S25" s="93">
        <v>3561.3099999999977</v>
      </c>
      <c r="T25" s="93">
        <v>-4156.16</v>
      </c>
      <c r="U25" s="93">
        <v>-8004.5999999999985</v>
      </c>
      <c r="V25" s="93">
        <v>-10361.609999999997</v>
      </c>
      <c r="W25" s="93">
        <v>-5987.7199999999993</v>
      </c>
      <c r="X25" s="93">
        <v>-6503.58</v>
      </c>
      <c r="Y25" s="93">
        <v>-407.44000000000051</v>
      </c>
      <c r="Z25" s="93">
        <v>-74299.699999999968</v>
      </c>
      <c r="AA25" s="93">
        <v>10129.09</v>
      </c>
      <c r="AB25" s="93">
        <v>-19388.450000000004</v>
      </c>
      <c r="AC25" s="93">
        <v>21039.360000000008</v>
      </c>
      <c r="AD25" s="93">
        <v>-1907.7800000000061</v>
      </c>
      <c r="AE25" s="93">
        <v>4683.2099999999991</v>
      </c>
      <c r="AF25" s="93">
        <v>0</v>
      </c>
      <c r="AG25" s="93">
        <v>0</v>
      </c>
      <c r="AH25" s="93">
        <v>1304.7599999999875</v>
      </c>
      <c r="AI25" s="93">
        <v>-8858.14</v>
      </c>
      <c r="AJ25" s="93">
        <v>13290.23</v>
      </c>
      <c r="AK25" s="93">
        <v>6730.68</v>
      </c>
      <c r="AL25" s="93">
        <v>3216.1899999999951</v>
      </c>
      <c r="AM25" s="93">
        <v>2566.8399999999929</v>
      </c>
      <c r="AN25" s="93">
        <v>19568.979999999996</v>
      </c>
      <c r="AO25" s="93">
        <v>-710.55000000000291</v>
      </c>
      <c r="AP25" s="93">
        <v>-1210.9100000000035</v>
      </c>
      <c r="AQ25" s="93">
        <v>4513.3000000000175</v>
      </c>
      <c r="AR25" s="93">
        <v>18506.849999999991</v>
      </c>
      <c r="AS25" s="93">
        <v>-12583.19999999999</v>
      </c>
      <c r="AT25" s="93">
        <v>-23325.810000000005</v>
      </c>
      <c r="AU25" s="93">
        <v>-2514.8899999999849</v>
      </c>
      <c r="AV25" s="93">
        <v>2759.8100000000049</v>
      </c>
      <c r="AW25" s="93">
        <v>-6764.8000000000029</v>
      </c>
      <c r="AX25" s="93">
        <v>-4921.9600000000064</v>
      </c>
      <c r="AY25" s="93">
        <v>-79008.27</v>
      </c>
      <c r="AZ25" s="93">
        <v>-2341.4500000000044</v>
      </c>
      <c r="BA25" s="93">
        <v>-9640</v>
      </c>
      <c r="BB25" s="93">
        <v>-5997.7000000000116</v>
      </c>
      <c r="BC25" s="93">
        <v>13121.119999999995</v>
      </c>
    </row>
    <row r="26" spans="2:55" x14ac:dyDescent="0.25">
      <c r="B26" s="90" t="s">
        <v>64</v>
      </c>
      <c r="C26" s="93">
        <v>0</v>
      </c>
      <c r="D26" s="93">
        <v>5114.8100000000049</v>
      </c>
      <c r="E26" s="93">
        <v>-8106</v>
      </c>
      <c r="F26" s="93">
        <v>0</v>
      </c>
      <c r="G26" s="93">
        <v>2296.1199999999994</v>
      </c>
      <c r="H26" s="93">
        <v>-4974.9200000000419</v>
      </c>
      <c r="I26" s="93">
        <v>0</v>
      </c>
      <c r="J26" s="93">
        <v>-13207.94</v>
      </c>
      <c r="K26" s="93">
        <v>-10331.619999999999</v>
      </c>
      <c r="L26" s="93">
        <v>0</v>
      </c>
      <c r="M26" s="93">
        <v>18111.46</v>
      </c>
      <c r="N26" s="93">
        <v>-52477.219999999994</v>
      </c>
      <c r="O26" s="93">
        <v>-35175.25</v>
      </c>
      <c r="P26" s="93">
        <v>-31219.430000000008</v>
      </c>
      <c r="Q26" s="93">
        <v>-120972.89999999998</v>
      </c>
      <c r="R26" s="93">
        <v>-36334.570000000182</v>
      </c>
      <c r="S26" s="93">
        <v>-1009.2599999999999</v>
      </c>
      <c r="T26" s="93">
        <v>-5330.56</v>
      </c>
      <c r="U26" s="93">
        <v>-14708.5</v>
      </c>
      <c r="V26" s="93">
        <v>0</v>
      </c>
      <c r="W26" s="93">
        <v>114.98</v>
      </c>
      <c r="X26" s="93">
        <v>-407.07999999999993</v>
      </c>
      <c r="Y26" s="93">
        <v>0</v>
      </c>
      <c r="Z26" s="93">
        <v>-13502.479999999996</v>
      </c>
      <c r="AA26" s="93">
        <v>-4026.4800000000105</v>
      </c>
      <c r="AB26" s="93">
        <v>40865.120000000024</v>
      </c>
      <c r="AC26" s="93">
        <v>-1316.5699999999488</v>
      </c>
      <c r="AD26" s="93">
        <v>11572.030000000006</v>
      </c>
      <c r="AE26" s="93">
        <v>4246.2099999999919</v>
      </c>
      <c r="AF26" s="93">
        <v>-9101.7399999998743</v>
      </c>
      <c r="AG26" s="93">
        <v>14273.190000000061</v>
      </c>
      <c r="AH26" s="93">
        <v>-10753.829999999994</v>
      </c>
      <c r="AI26" s="93">
        <v>-69020.020000000019</v>
      </c>
      <c r="AJ26" s="93">
        <v>-1751.8400000000001</v>
      </c>
      <c r="AK26" s="93">
        <v>-9613.3799999999974</v>
      </c>
      <c r="AL26" s="93">
        <v>40409.62999999999</v>
      </c>
      <c r="AM26" s="93">
        <v>-8866.7999999999956</v>
      </c>
      <c r="AN26" s="93">
        <v>70213.389999999985</v>
      </c>
      <c r="AO26" s="93">
        <v>158383.15000000002</v>
      </c>
      <c r="AP26" s="93">
        <v>4886.3799999999901</v>
      </c>
      <c r="AQ26" s="93">
        <v>9636.4199999999983</v>
      </c>
      <c r="AR26" s="93">
        <v>133405.67000000004</v>
      </c>
      <c r="AS26" s="93">
        <v>-3568.0399999999936</v>
      </c>
      <c r="AT26" s="93">
        <v>-32602.069999999992</v>
      </c>
      <c r="AU26" s="93">
        <v>-166267.20000000001</v>
      </c>
      <c r="AV26" s="93">
        <v>-95617.16</v>
      </c>
      <c r="AW26" s="93">
        <v>-32532.480000000003</v>
      </c>
      <c r="AX26" s="93">
        <v>206817.68000000005</v>
      </c>
      <c r="AY26" s="93">
        <v>3401.2799999999988</v>
      </c>
      <c r="AZ26" s="93">
        <v>-78767.290000000008</v>
      </c>
      <c r="BA26" s="93">
        <v>-36506.559999999998</v>
      </c>
      <c r="BB26" s="93">
        <v>-25367.839999999997</v>
      </c>
      <c r="BC26" s="93">
        <v>-167216.87</v>
      </c>
    </row>
    <row r="27" spans="2:55" x14ac:dyDescent="0.25">
      <c r="B27" s="182" t="s">
        <v>58</v>
      </c>
      <c r="C27" s="93">
        <v>565.4</v>
      </c>
      <c r="D27" s="93">
        <v>6208.429999999993</v>
      </c>
      <c r="E27" s="93">
        <v>-6527.57</v>
      </c>
      <c r="F27" s="93">
        <v>-331.17999999999984</v>
      </c>
      <c r="G27" s="93">
        <v>-12.909999999999854</v>
      </c>
      <c r="H27" s="93">
        <v>-7240.8599999999969</v>
      </c>
      <c r="I27" s="93">
        <v>-1943.239999999998</v>
      </c>
      <c r="J27" s="93">
        <v>11951.150000000001</v>
      </c>
      <c r="K27" s="93">
        <v>28785.060000000005</v>
      </c>
      <c r="L27" s="93">
        <v>52.809999999999491</v>
      </c>
      <c r="M27" s="93">
        <v>-2141.6699999999983</v>
      </c>
      <c r="N27" s="93">
        <v>-11371.26</v>
      </c>
      <c r="O27" s="93">
        <v>-6656.56</v>
      </c>
      <c r="P27" s="93">
        <v>-1543.7200000000003</v>
      </c>
      <c r="Q27" s="93">
        <v>-12039.899999999998</v>
      </c>
      <c r="R27" s="93">
        <v>14763.97</v>
      </c>
      <c r="S27" s="93">
        <v>1827.3999999999978</v>
      </c>
      <c r="T27" s="93">
        <v>622.47000000000116</v>
      </c>
      <c r="U27" s="93">
        <v>-1736.5699999999997</v>
      </c>
      <c r="V27" s="93">
        <v>2897.5</v>
      </c>
      <c r="W27" s="93">
        <v>-8145.1999999999989</v>
      </c>
      <c r="X27" s="93">
        <v>7181.8099999999995</v>
      </c>
      <c r="Y27" s="93">
        <v>678.97999999999956</v>
      </c>
      <c r="Z27" s="93">
        <v>-6527.09</v>
      </c>
      <c r="AA27" s="93">
        <v>-1874.0400000000009</v>
      </c>
      <c r="AB27" s="93">
        <v>-3316.3300000000017</v>
      </c>
      <c r="AC27" s="93">
        <v>-5555.52</v>
      </c>
      <c r="AD27" s="93">
        <v>4757.9499999999971</v>
      </c>
      <c r="AE27" s="93">
        <v>1305.2399999999998</v>
      </c>
      <c r="AF27" s="93">
        <v>-2677.7799999999988</v>
      </c>
      <c r="AG27" s="93">
        <v>29892.060000000005</v>
      </c>
      <c r="AH27" s="93">
        <v>6359.0400000000009</v>
      </c>
      <c r="AI27" s="93">
        <v>-14341.199999999999</v>
      </c>
      <c r="AJ27" s="93">
        <v>6731.4499999999989</v>
      </c>
      <c r="AK27" s="93">
        <v>7156.2600000000011</v>
      </c>
      <c r="AL27" s="93">
        <v>7754.7800000000007</v>
      </c>
      <c r="AM27" s="93">
        <v>2967.27</v>
      </c>
      <c r="AN27" s="93">
        <v>-15707.73</v>
      </c>
      <c r="AO27" s="93">
        <v>-7982.9299999999985</v>
      </c>
      <c r="AP27" s="93">
        <v>-4404.6400000000031</v>
      </c>
      <c r="AQ27" s="93">
        <v>6608.260000000002</v>
      </c>
      <c r="AR27" s="93">
        <v>26030.410000000003</v>
      </c>
      <c r="AS27" s="93">
        <v>2230.1799999999985</v>
      </c>
      <c r="AT27" s="93">
        <v>8770.619999999999</v>
      </c>
      <c r="AU27" s="93">
        <v>8313.89</v>
      </c>
      <c r="AV27" s="93">
        <v>4442.369999999999</v>
      </c>
      <c r="AW27" s="93">
        <v>2417.159999999998</v>
      </c>
      <c r="AX27" s="93">
        <v>-5738.4199999999983</v>
      </c>
      <c r="AY27" s="93">
        <v>-69004.569999999992</v>
      </c>
      <c r="AZ27" s="93">
        <v>-7131.2900000000045</v>
      </c>
      <c r="BA27" s="93">
        <v>-2280.010000000002</v>
      </c>
      <c r="BB27" s="93">
        <v>-3800.4900000000016</v>
      </c>
      <c r="BC27" s="93">
        <v>-2562.2499999999982</v>
      </c>
    </row>
    <row r="28" spans="2:55" x14ac:dyDescent="0.25"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</row>
    <row r="29" spans="2:55" x14ac:dyDescent="0.25">
      <c r="B29" t="s">
        <v>128</v>
      </c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</row>
    <row r="30" spans="2:55" ht="15.75" thickBot="1" x14ac:dyDescent="0.3">
      <c r="AN30" s="94"/>
    </row>
    <row r="31" spans="2:55" ht="15.75" thickBot="1" x14ac:dyDescent="0.3">
      <c r="B31" s="18" t="s">
        <v>0</v>
      </c>
      <c r="C31" s="40">
        <v>628149.94000000006</v>
      </c>
      <c r="D31" s="136">
        <v>1192750</v>
      </c>
      <c r="E31" s="103">
        <v>0.5266400670718927</v>
      </c>
    </row>
    <row r="32" spans="2:55" x14ac:dyDescent="0.25">
      <c r="B32" s="19" t="s">
        <v>71</v>
      </c>
      <c r="C32" s="211" t="s">
        <v>129</v>
      </c>
      <c r="D32" s="212" t="s">
        <v>130</v>
      </c>
      <c r="E32" s="181" t="s">
        <v>122</v>
      </c>
      <c r="F32" t="s">
        <v>13</v>
      </c>
    </row>
    <row r="33" spans="2:8" x14ac:dyDescent="0.25">
      <c r="B33" s="20" t="s">
        <v>72</v>
      </c>
      <c r="C33" s="213">
        <v>7309.05</v>
      </c>
      <c r="D33" s="214" t="s">
        <v>130</v>
      </c>
      <c r="E33" s="181" t="s">
        <v>122</v>
      </c>
      <c r="F33" t="s">
        <v>14</v>
      </c>
    </row>
    <row r="34" spans="2:8" x14ac:dyDescent="0.25">
      <c r="B34" s="20" t="s">
        <v>73</v>
      </c>
      <c r="C34" s="213">
        <v>21842.49</v>
      </c>
      <c r="D34" s="215">
        <v>3000</v>
      </c>
      <c r="E34" s="181">
        <v>7.2808300000000008</v>
      </c>
      <c r="F34" t="s">
        <v>15</v>
      </c>
    </row>
    <row r="35" spans="2:8" x14ac:dyDescent="0.25">
      <c r="B35" s="20" t="s">
        <v>74</v>
      </c>
      <c r="C35" s="213">
        <v>90307.57</v>
      </c>
      <c r="D35" s="215">
        <v>160000</v>
      </c>
      <c r="E35" s="181">
        <v>0.56442231250000008</v>
      </c>
      <c r="F35" t="s">
        <v>16</v>
      </c>
    </row>
    <row r="36" spans="2:8" x14ac:dyDescent="0.25">
      <c r="B36" s="20" t="s">
        <v>75</v>
      </c>
      <c r="C36" s="213">
        <v>60244.12</v>
      </c>
      <c r="D36" s="214" t="s">
        <v>130</v>
      </c>
      <c r="E36" s="181" t="s">
        <v>122</v>
      </c>
      <c r="F36" t="s">
        <v>17</v>
      </c>
    </row>
    <row r="37" spans="2:8" x14ac:dyDescent="0.25">
      <c r="B37" s="20" t="s">
        <v>76</v>
      </c>
      <c r="C37" s="213">
        <v>50115.92</v>
      </c>
      <c r="D37" s="215">
        <v>109750</v>
      </c>
      <c r="E37" s="181">
        <v>0.45663708428246014</v>
      </c>
      <c r="F37" t="s">
        <v>8</v>
      </c>
    </row>
    <row r="38" spans="2:8" x14ac:dyDescent="0.25">
      <c r="B38" s="20" t="s">
        <v>77</v>
      </c>
      <c r="C38" s="213">
        <v>103751.33</v>
      </c>
      <c r="D38" s="215">
        <v>432500</v>
      </c>
      <c r="E38" s="181">
        <v>0.23988746820809248</v>
      </c>
      <c r="F38" t="s">
        <v>9</v>
      </c>
    </row>
    <row r="39" spans="2:8" x14ac:dyDescent="0.25">
      <c r="B39" s="20" t="s">
        <v>78</v>
      </c>
      <c r="C39" s="213">
        <v>65021.440000000002</v>
      </c>
      <c r="D39" s="215">
        <v>69950</v>
      </c>
      <c r="E39" s="181">
        <v>0.92954167262330234</v>
      </c>
      <c r="F39" t="s">
        <v>10</v>
      </c>
    </row>
    <row r="40" spans="2:8" x14ac:dyDescent="0.25">
      <c r="B40" s="20" t="s">
        <v>79</v>
      </c>
      <c r="C40" s="213">
        <v>63713.98</v>
      </c>
      <c r="D40" s="215">
        <v>241850</v>
      </c>
      <c r="E40" s="181">
        <v>0.26344420095100268</v>
      </c>
      <c r="F40" t="s">
        <v>11</v>
      </c>
    </row>
    <row r="41" spans="2:8" ht="15.75" thickBot="1" x14ac:dyDescent="0.3">
      <c r="B41" s="21" t="s">
        <v>80</v>
      </c>
      <c r="C41" s="216">
        <v>165844.04</v>
      </c>
      <c r="D41" s="217">
        <v>175700</v>
      </c>
      <c r="E41" s="181">
        <v>0.94390461013090499</v>
      </c>
      <c r="F41" t="s">
        <v>12</v>
      </c>
    </row>
    <row r="42" spans="2:8" ht="15.75" thickBot="1" x14ac:dyDescent="0.3">
      <c r="B42" s="27" t="s">
        <v>1</v>
      </c>
      <c r="C42" s="39">
        <v>1594637.6000000003</v>
      </c>
      <c r="D42" s="129">
        <v>2710421</v>
      </c>
      <c r="E42" s="181">
        <v>0.58833576038556379</v>
      </c>
    </row>
    <row r="43" spans="2:8" x14ac:dyDescent="0.25">
      <c r="B43" s="19" t="s">
        <v>81</v>
      </c>
      <c r="C43" s="125">
        <v>54204.600000000006</v>
      </c>
      <c r="D43" s="130">
        <v>93150</v>
      </c>
      <c r="E43" s="181">
        <v>0.58190660225442836</v>
      </c>
      <c r="F43" t="s">
        <v>18</v>
      </c>
      <c r="G43" s="11"/>
      <c r="H43" s="181"/>
    </row>
    <row r="44" spans="2:8" x14ac:dyDescent="0.25">
      <c r="B44" s="20" t="s">
        <v>82</v>
      </c>
      <c r="C44" s="125">
        <v>50986.53</v>
      </c>
      <c r="D44" s="131">
        <v>74050</v>
      </c>
      <c r="E44" s="181">
        <v>0.68854193112761641</v>
      </c>
      <c r="F44" t="s">
        <v>19</v>
      </c>
      <c r="G44" s="11"/>
      <c r="H44" s="181"/>
    </row>
    <row r="45" spans="2:8" x14ac:dyDescent="0.25">
      <c r="B45" s="20" t="s">
        <v>83</v>
      </c>
      <c r="C45" s="125">
        <v>196057.31</v>
      </c>
      <c r="D45" s="131">
        <v>483200</v>
      </c>
      <c r="E45" s="181">
        <v>0.40574774420529802</v>
      </c>
      <c r="F45" t="s">
        <v>20</v>
      </c>
      <c r="G45" s="11"/>
      <c r="H45" s="181"/>
    </row>
    <row r="46" spans="2:8" x14ac:dyDescent="0.25">
      <c r="B46" s="20" t="s">
        <v>84</v>
      </c>
      <c r="C46" s="125">
        <v>169943.41</v>
      </c>
      <c r="D46" s="131">
        <v>148650</v>
      </c>
      <c r="E46" s="181">
        <v>1.1432452741338714</v>
      </c>
      <c r="F46" t="s">
        <v>21</v>
      </c>
      <c r="G46" s="11"/>
      <c r="H46" s="181"/>
    </row>
    <row r="47" spans="2:8" x14ac:dyDescent="0.25">
      <c r="B47" s="20" t="s">
        <v>85</v>
      </c>
      <c r="C47" s="125">
        <v>42061.91</v>
      </c>
      <c r="D47" s="131">
        <v>75150</v>
      </c>
      <c r="E47" s="181">
        <v>0.55970605455755162</v>
      </c>
      <c r="F47" t="s">
        <v>22</v>
      </c>
      <c r="G47" s="11"/>
      <c r="H47" s="181"/>
    </row>
    <row r="48" spans="2:8" x14ac:dyDescent="0.25">
      <c r="B48" s="20" t="s">
        <v>86</v>
      </c>
      <c r="C48" s="125">
        <v>63853.710000000006</v>
      </c>
      <c r="D48" s="131">
        <v>417250</v>
      </c>
      <c r="E48" s="181">
        <v>0.15303465548232476</v>
      </c>
      <c r="F48" t="s">
        <v>23</v>
      </c>
      <c r="G48" s="11"/>
      <c r="H48" s="181"/>
    </row>
    <row r="49" spans="2:8" x14ac:dyDescent="0.25">
      <c r="B49" s="20" t="s">
        <v>87</v>
      </c>
      <c r="C49" s="125">
        <v>54784.39</v>
      </c>
      <c r="D49" s="131">
        <v>81450</v>
      </c>
      <c r="E49" s="181">
        <v>0.67261375076734187</v>
      </c>
      <c r="F49" t="s">
        <v>24</v>
      </c>
      <c r="G49" s="11"/>
      <c r="H49" s="181"/>
    </row>
    <row r="50" spans="2:8" x14ac:dyDescent="0.25">
      <c r="B50" s="20" t="s">
        <v>88</v>
      </c>
      <c r="C50" s="125">
        <v>23529.47</v>
      </c>
      <c r="D50" s="131">
        <v>3900</v>
      </c>
      <c r="E50" s="181">
        <v>6.0331974358974358</v>
      </c>
      <c r="F50" t="s">
        <v>31</v>
      </c>
      <c r="G50" s="11"/>
      <c r="H50" s="181"/>
    </row>
    <row r="51" spans="2:8" x14ac:dyDescent="0.25">
      <c r="B51" s="20" t="s">
        <v>89</v>
      </c>
      <c r="C51" s="125">
        <v>109563.9</v>
      </c>
      <c r="D51" s="131">
        <v>166250</v>
      </c>
      <c r="E51" s="181">
        <v>0.65903097744360895</v>
      </c>
      <c r="F51" t="s">
        <v>25</v>
      </c>
      <c r="G51" s="11"/>
      <c r="H51" s="181"/>
    </row>
    <row r="52" spans="2:8" x14ac:dyDescent="0.25">
      <c r="B52" s="20" t="s">
        <v>90</v>
      </c>
      <c r="C52" s="125">
        <v>103519.82</v>
      </c>
      <c r="D52" s="131">
        <v>73399.999999999985</v>
      </c>
      <c r="E52" s="181">
        <v>1.4103517711171667</v>
      </c>
      <c r="F52" t="s">
        <v>26</v>
      </c>
      <c r="G52" s="11"/>
      <c r="H52" s="181"/>
    </row>
    <row r="53" spans="2:8" x14ac:dyDescent="0.25">
      <c r="B53" s="20" t="s">
        <v>91</v>
      </c>
      <c r="C53" s="125">
        <v>246133.33000000002</v>
      </c>
      <c r="D53" s="131">
        <v>82729</v>
      </c>
      <c r="E53" s="181">
        <v>2.9751759358870533</v>
      </c>
      <c r="F53" t="s">
        <v>27</v>
      </c>
      <c r="G53" s="11"/>
      <c r="H53" s="181"/>
    </row>
    <row r="54" spans="2:8" x14ac:dyDescent="0.25">
      <c r="B54" s="20" t="s">
        <v>92</v>
      </c>
      <c r="C54" s="125">
        <v>128564.76999999999</v>
      </c>
      <c r="D54" s="131">
        <v>81650</v>
      </c>
      <c r="E54" s="181">
        <v>1.5745838334353948</v>
      </c>
      <c r="F54" t="s">
        <v>28</v>
      </c>
      <c r="G54" s="11"/>
      <c r="H54" s="181"/>
    </row>
    <row r="55" spans="2:8" x14ac:dyDescent="0.25">
      <c r="B55" s="20" t="s">
        <v>93</v>
      </c>
      <c r="C55" s="126">
        <v>19712.809999999998</v>
      </c>
      <c r="D55" s="131">
        <v>13200</v>
      </c>
      <c r="E55" s="181">
        <v>1.4933946969696967</v>
      </c>
      <c r="F55" t="s">
        <v>32</v>
      </c>
      <c r="G55" s="11"/>
      <c r="H55" s="181"/>
    </row>
    <row r="56" spans="2:8" x14ac:dyDescent="0.25">
      <c r="B56" s="28" t="s">
        <v>94</v>
      </c>
      <c r="C56" s="127">
        <v>308126.34000000003</v>
      </c>
      <c r="D56" s="132">
        <v>870242</v>
      </c>
      <c r="E56" s="181">
        <v>0.35406971853806185</v>
      </c>
      <c r="F56" t="s">
        <v>29</v>
      </c>
      <c r="G56" s="11"/>
      <c r="H56" s="181"/>
    </row>
    <row r="57" spans="2:8" ht="15.75" thickBot="1" x14ac:dyDescent="0.3">
      <c r="B57" s="29" t="s">
        <v>95</v>
      </c>
      <c r="C57" s="128">
        <v>23595.3</v>
      </c>
      <c r="D57" s="133">
        <v>46150</v>
      </c>
      <c r="E57" s="181">
        <v>0.51127410617551461</v>
      </c>
      <c r="F57" t="s">
        <v>30</v>
      </c>
      <c r="G57" s="11"/>
      <c r="H57" s="181"/>
    </row>
    <row r="58" spans="2:8" ht="15.75" thickBot="1" x14ac:dyDescent="0.3">
      <c r="B58" s="1" t="s">
        <v>96</v>
      </c>
      <c r="C58" s="66">
        <v>929456.83</v>
      </c>
      <c r="D58" s="147">
        <v>1691400</v>
      </c>
      <c r="E58" s="103">
        <v>0.54951923258838831</v>
      </c>
      <c r="H58" s="181"/>
    </row>
    <row r="59" spans="2:8" x14ac:dyDescent="0.25">
      <c r="B59" s="2" t="s">
        <v>97</v>
      </c>
      <c r="C59" s="194">
        <v>91471.93</v>
      </c>
      <c r="D59" s="199">
        <v>156100</v>
      </c>
      <c r="E59" s="181">
        <v>0.58598289557975647</v>
      </c>
      <c r="F59" t="s">
        <v>35</v>
      </c>
      <c r="G59" s="94" t="s">
        <v>34</v>
      </c>
      <c r="H59" s="181">
        <v>0.32261174661746622</v>
      </c>
    </row>
    <row r="60" spans="2:8" x14ac:dyDescent="0.25">
      <c r="B60" s="3" t="s">
        <v>98</v>
      </c>
      <c r="C60" s="195">
        <v>52456.67</v>
      </c>
      <c r="D60" s="199">
        <v>162599.99999999997</v>
      </c>
      <c r="E60" s="181">
        <v>0.32261174661746622</v>
      </c>
      <c r="F60" t="s">
        <v>34</v>
      </c>
      <c r="G60" s="94" t="s">
        <v>35</v>
      </c>
      <c r="H60" s="181">
        <v>0.58598289557975647</v>
      </c>
    </row>
    <row r="61" spans="2:8" x14ac:dyDescent="0.25">
      <c r="B61" s="3" t="s">
        <v>99</v>
      </c>
      <c r="C61" s="195">
        <v>74466.05</v>
      </c>
      <c r="D61" s="199">
        <v>95099.999999999985</v>
      </c>
      <c r="E61" s="181">
        <v>0.78302891692954801</v>
      </c>
      <c r="F61" t="s">
        <v>36</v>
      </c>
      <c r="G61" s="94" t="s">
        <v>36</v>
      </c>
      <c r="H61" s="181">
        <v>0.78302891692954801</v>
      </c>
    </row>
    <row r="62" spans="2:8" x14ac:dyDescent="0.25">
      <c r="B62" s="3" t="s">
        <v>100</v>
      </c>
      <c r="C62" s="195">
        <v>53364.9</v>
      </c>
      <c r="D62" s="199">
        <v>192700</v>
      </c>
      <c r="E62" s="181">
        <v>0.2769325376232486</v>
      </c>
      <c r="F62" t="s">
        <v>37</v>
      </c>
      <c r="G62" s="94" t="s">
        <v>37</v>
      </c>
      <c r="H62" s="181">
        <v>0.2769325376232486</v>
      </c>
    </row>
    <row r="63" spans="2:8" x14ac:dyDescent="0.25">
      <c r="B63" s="3" t="s">
        <v>101</v>
      </c>
      <c r="C63" s="195">
        <v>11367.52</v>
      </c>
      <c r="D63" s="199">
        <v>45150</v>
      </c>
      <c r="E63" s="181">
        <v>0.25177231450719822</v>
      </c>
      <c r="F63" t="s">
        <v>39</v>
      </c>
      <c r="G63" s="94" t="s">
        <v>38</v>
      </c>
      <c r="H63" s="181">
        <v>0.17253385826771653</v>
      </c>
    </row>
    <row r="64" spans="2:8" x14ac:dyDescent="0.25">
      <c r="B64" s="3" t="s">
        <v>102</v>
      </c>
      <c r="C64" s="195">
        <v>28485.34</v>
      </c>
      <c r="D64" s="199">
        <v>165100</v>
      </c>
      <c r="E64" s="181">
        <v>0.17253385826771653</v>
      </c>
      <c r="F64" t="s">
        <v>38</v>
      </c>
      <c r="G64" s="94" t="s">
        <v>39</v>
      </c>
      <c r="H64" s="181">
        <v>0.25177231450719822</v>
      </c>
    </row>
    <row r="65" spans="2:8" x14ac:dyDescent="0.25">
      <c r="B65" s="3" t="s">
        <v>103</v>
      </c>
      <c r="C65" s="195">
        <v>283929.78000000003</v>
      </c>
      <c r="D65" s="199">
        <v>206750</v>
      </c>
      <c r="E65" s="181">
        <v>1.3733000241837969</v>
      </c>
      <c r="F65" t="s">
        <v>33</v>
      </c>
      <c r="G65" s="94" t="s">
        <v>33</v>
      </c>
      <c r="H65" s="181">
        <v>1.3733000241837969</v>
      </c>
    </row>
    <row r="66" spans="2:8" ht="15.75" thickBot="1" x14ac:dyDescent="0.3">
      <c r="B66" s="3" t="s">
        <v>104</v>
      </c>
      <c r="C66" s="195">
        <v>333914.64</v>
      </c>
      <c r="D66" s="200">
        <v>667900.00000000012</v>
      </c>
      <c r="E66" s="181">
        <v>0.49994705794280575</v>
      </c>
      <c r="F66" t="s">
        <v>40</v>
      </c>
      <c r="G66" s="94" t="s">
        <v>40</v>
      </c>
      <c r="H66" s="181">
        <v>0.49994705794280575</v>
      </c>
    </row>
    <row r="67" spans="2:8" ht="15.75" thickBot="1" x14ac:dyDescent="0.3">
      <c r="B67" s="4" t="s">
        <v>105</v>
      </c>
      <c r="C67" s="67">
        <v>1343989.58</v>
      </c>
      <c r="D67" s="201">
        <v>2581300</v>
      </c>
      <c r="E67" s="181">
        <v>0.52066384379963582</v>
      </c>
      <c r="H67" s="181"/>
    </row>
    <row r="68" spans="2:8" x14ac:dyDescent="0.25">
      <c r="B68" s="5" t="s">
        <v>106</v>
      </c>
      <c r="C68" s="196">
        <v>117508.67</v>
      </c>
      <c r="D68" s="202">
        <v>230300</v>
      </c>
      <c r="E68" s="181">
        <v>0.51024172818063396</v>
      </c>
      <c r="F68" t="s">
        <v>41</v>
      </c>
      <c r="G68" s="94" t="s">
        <v>41</v>
      </c>
      <c r="H68" s="181">
        <v>0.51024172818063396</v>
      </c>
    </row>
    <row r="69" spans="2:8" x14ac:dyDescent="0.25">
      <c r="B69" s="6" t="s">
        <v>107</v>
      </c>
      <c r="C69" s="197">
        <v>216159.46</v>
      </c>
      <c r="D69" s="203">
        <v>308400.00000000006</v>
      </c>
      <c r="E69" s="181">
        <v>0.70090616083009061</v>
      </c>
      <c r="F69" t="s">
        <v>42</v>
      </c>
      <c r="G69" s="94" t="s">
        <v>42</v>
      </c>
      <c r="H69" s="181">
        <v>0.70090616083009061</v>
      </c>
    </row>
    <row r="70" spans="2:8" x14ac:dyDescent="0.25">
      <c r="B70" s="6" t="s">
        <v>108</v>
      </c>
      <c r="C70" s="197">
        <v>202099.96</v>
      </c>
      <c r="D70" s="203">
        <v>203499.99999999997</v>
      </c>
      <c r="E70" s="181">
        <v>0.99312019656019668</v>
      </c>
      <c r="F70" t="s">
        <v>47</v>
      </c>
      <c r="G70" s="94" t="s">
        <v>43</v>
      </c>
      <c r="H70" s="181">
        <v>0.8201034227140761</v>
      </c>
    </row>
    <row r="71" spans="2:8" x14ac:dyDescent="0.25">
      <c r="B71" s="6" t="s">
        <v>109</v>
      </c>
      <c r="C71" s="197">
        <v>176588.07</v>
      </c>
      <c r="D71" s="203">
        <v>321900.00000000006</v>
      </c>
      <c r="E71" s="181">
        <v>0.54858052190121143</v>
      </c>
      <c r="F71" t="s">
        <v>44</v>
      </c>
      <c r="G71" s="94" t="s">
        <v>44</v>
      </c>
      <c r="H71" s="181">
        <v>0.54858052190121143</v>
      </c>
    </row>
    <row r="72" spans="2:8" x14ac:dyDescent="0.25">
      <c r="B72" s="6" t="s">
        <v>110</v>
      </c>
      <c r="C72" s="197">
        <v>128865.84</v>
      </c>
      <c r="D72" s="203">
        <v>502499.95999999996</v>
      </c>
      <c r="E72" s="181">
        <v>0.25644945324970775</v>
      </c>
      <c r="F72" t="s">
        <v>48</v>
      </c>
      <c r="G72" s="94" t="s">
        <v>45</v>
      </c>
      <c r="H72" s="181">
        <v>0.94020759325044401</v>
      </c>
    </row>
    <row r="73" spans="2:8" x14ac:dyDescent="0.25">
      <c r="B73" s="7" t="s">
        <v>111</v>
      </c>
      <c r="C73" s="197">
        <v>211734.75</v>
      </c>
      <c r="D73" s="203">
        <v>225200</v>
      </c>
      <c r="E73" s="181">
        <v>0.94020759325044401</v>
      </c>
      <c r="F73" t="s">
        <v>45</v>
      </c>
      <c r="G73" s="94" t="s">
        <v>46</v>
      </c>
      <c r="H73" s="181">
        <v>0.16596714993576803</v>
      </c>
    </row>
    <row r="74" spans="2:8" x14ac:dyDescent="0.25">
      <c r="B74" s="6" t="s">
        <v>112</v>
      </c>
      <c r="C74" s="197">
        <v>90435.5</v>
      </c>
      <c r="D74" s="203">
        <v>544900</v>
      </c>
      <c r="E74" s="181">
        <v>0.16596714993576803</v>
      </c>
      <c r="F74" t="s">
        <v>46</v>
      </c>
      <c r="G74" s="94" t="s">
        <v>47</v>
      </c>
      <c r="H74" s="181">
        <v>0.99312019656019668</v>
      </c>
    </row>
    <row r="75" spans="2:8" ht="15.75" thickBot="1" x14ac:dyDescent="0.3">
      <c r="B75" s="8" t="s">
        <v>113</v>
      </c>
      <c r="C75" s="198">
        <v>200597.33</v>
      </c>
      <c r="D75" s="204">
        <v>244600.04000000007</v>
      </c>
      <c r="E75" s="181">
        <v>0.8201034227140761</v>
      </c>
      <c r="F75" t="s">
        <v>43</v>
      </c>
      <c r="G75" s="94" t="s">
        <v>48</v>
      </c>
      <c r="H75" s="181">
        <v>0.25644945324970775</v>
      </c>
    </row>
  </sheetData>
  <conditionalFormatting sqref="C24:BC27">
    <cfRule type="cellIs" dxfId="40" priority="1" operator="lessThan">
      <formula>0</formula>
    </cfRule>
  </conditionalFormatting>
  <conditionalFormatting sqref="I18:BC21">
    <cfRule type="cellIs" dxfId="39" priority="2" operator="greaterThan">
      <formula>0</formula>
    </cfRule>
    <cfRule type="cellIs" dxfId="38" priority="3" operator="lessThan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4864-BAB9-4FC7-9B1B-03678FC14E85}">
  <dimension ref="A2:BC82"/>
  <sheetViews>
    <sheetView workbookViewId="0">
      <pane xSplit="2" topLeftCell="C1" activePane="topRight" state="frozen"/>
      <selection pane="topRight" sqref="A1:XFD1048576"/>
    </sheetView>
  </sheetViews>
  <sheetFormatPr defaultRowHeight="15" x14ac:dyDescent="0.25"/>
  <cols>
    <col min="2" max="2" width="20.140625" bestFit="1" customWidth="1"/>
    <col min="3" max="3" width="8" bestFit="1" customWidth="1"/>
    <col min="4" max="4" width="13.28515625" customWidth="1"/>
    <col min="5" max="5" width="11.5703125" customWidth="1"/>
    <col min="6" max="6" width="8.7109375" bestFit="1" customWidth="1"/>
    <col min="7" max="7" width="8.85546875" bestFit="1" customWidth="1"/>
    <col min="8" max="8" width="10.42578125" bestFit="1" customWidth="1"/>
    <col min="9" max="10" width="9.28515625" bestFit="1" customWidth="1"/>
    <col min="11" max="12" width="13.28515625" bestFit="1" customWidth="1"/>
    <col min="13" max="20" width="9.28515625" bestFit="1" customWidth="1"/>
    <col min="22" max="33" width="9.28515625" bestFit="1" customWidth="1"/>
    <col min="50" max="50" width="9.28515625" bestFit="1" customWidth="1"/>
    <col min="52" max="52" width="9.28515625" bestFit="1" customWidth="1"/>
    <col min="59" max="59" width="23.7109375" bestFit="1" customWidth="1"/>
  </cols>
  <sheetData>
    <row r="2" spans="1:55" x14ac:dyDescent="0.25">
      <c r="B2" s="11" t="s">
        <v>124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1" t="s">
        <v>8</v>
      </c>
      <c r="J2" s="11" t="s">
        <v>9</v>
      </c>
      <c r="K2" s="11" t="s">
        <v>10</v>
      </c>
      <c r="L2" s="11" t="s">
        <v>114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94" t="s">
        <v>34</v>
      </c>
      <c r="AI2" s="94" t="s">
        <v>35</v>
      </c>
      <c r="AJ2" s="94" t="s">
        <v>36</v>
      </c>
      <c r="AK2" s="94" t="s">
        <v>37</v>
      </c>
      <c r="AL2" s="94" t="s">
        <v>38</v>
      </c>
      <c r="AM2" s="94" t="s">
        <v>39</v>
      </c>
      <c r="AN2" s="94" t="s">
        <v>33</v>
      </c>
      <c r="AO2" s="94" t="s">
        <v>40</v>
      </c>
      <c r="AP2" s="94" t="s">
        <v>41</v>
      </c>
      <c r="AQ2" s="94" t="s">
        <v>42</v>
      </c>
      <c r="AR2" s="94" t="s">
        <v>43</v>
      </c>
      <c r="AS2" s="94" t="s">
        <v>44</v>
      </c>
      <c r="AT2" s="94" t="s">
        <v>45</v>
      </c>
      <c r="AU2" s="94" t="s">
        <v>46</v>
      </c>
      <c r="AV2" s="94" t="s">
        <v>47</v>
      </c>
      <c r="AW2" s="94" t="s">
        <v>48</v>
      </c>
      <c r="AX2" s="94" t="s">
        <v>49</v>
      </c>
      <c r="AY2" s="94" t="s">
        <v>50</v>
      </c>
      <c r="AZ2" s="94" t="s">
        <v>51</v>
      </c>
      <c r="BA2" s="94" t="s">
        <v>52</v>
      </c>
      <c r="BB2" s="94" t="s">
        <v>53</v>
      </c>
      <c r="BC2" s="94" t="s">
        <v>54</v>
      </c>
    </row>
    <row r="3" spans="1:55" x14ac:dyDescent="0.25">
      <c r="B3" s="90" t="s">
        <v>62</v>
      </c>
      <c r="C3" s="229">
        <v>3948.41</v>
      </c>
      <c r="D3" s="229">
        <v>28934.680000000004</v>
      </c>
      <c r="E3" s="229">
        <v>41911.180000000008</v>
      </c>
      <c r="F3" s="229">
        <v>2131.44</v>
      </c>
      <c r="G3" s="229">
        <v>8103.130000000001</v>
      </c>
      <c r="H3" s="229">
        <v>942.57</v>
      </c>
      <c r="I3" s="93">
        <v>21509.250000000004</v>
      </c>
      <c r="J3" s="93">
        <v>42725.670000000006</v>
      </c>
      <c r="K3" s="93">
        <v>70218.75</v>
      </c>
      <c r="L3" s="93">
        <v>12404.77</v>
      </c>
      <c r="M3" s="93">
        <v>33909.740000000005</v>
      </c>
      <c r="N3" s="93">
        <v>8050.95</v>
      </c>
      <c r="O3" s="93">
        <v>4028.9400000000005</v>
      </c>
      <c r="P3" s="93">
        <v>4334.0199999999995</v>
      </c>
      <c r="Q3" s="93">
        <v>6291.1600000000008</v>
      </c>
      <c r="R3" s="93">
        <v>162.4</v>
      </c>
      <c r="S3" s="207">
        <v>16588.93</v>
      </c>
      <c r="T3" s="207">
        <v>27872.61</v>
      </c>
      <c r="U3" s="207">
        <v>15872.210000000001</v>
      </c>
      <c r="V3" s="207">
        <v>37032.290000000008</v>
      </c>
      <c r="W3" s="207">
        <v>17122.41</v>
      </c>
      <c r="X3" s="207">
        <v>14652.960000000001</v>
      </c>
      <c r="Y3" s="207">
        <v>19968.269999999997</v>
      </c>
      <c r="Z3" s="207">
        <v>38793.710000000006</v>
      </c>
      <c r="AA3" s="207">
        <v>23233.829999999998</v>
      </c>
      <c r="AB3" s="207">
        <v>23670</v>
      </c>
      <c r="AC3" s="207">
        <v>31838.010000000002</v>
      </c>
      <c r="AD3" s="207">
        <v>35929.19</v>
      </c>
      <c r="AE3" s="207">
        <v>5316.6</v>
      </c>
      <c r="AF3" s="207">
        <v>527.52</v>
      </c>
      <c r="AG3" s="207">
        <v>7.85</v>
      </c>
      <c r="AH3" s="93">
        <v>14266.14</v>
      </c>
      <c r="AI3" s="93">
        <v>39623.54</v>
      </c>
      <c r="AJ3" s="93">
        <v>6777.04</v>
      </c>
      <c r="AK3" s="93">
        <v>5906.8799999999992</v>
      </c>
      <c r="AL3" s="93">
        <v>22711.33</v>
      </c>
      <c r="AM3" s="93">
        <v>3631.5099999999998</v>
      </c>
      <c r="AN3" s="93">
        <v>16885.03</v>
      </c>
      <c r="AO3" s="93">
        <v>27285.54</v>
      </c>
      <c r="AP3" s="93">
        <v>26707.230000000003</v>
      </c>
      <c r="AQ3" s="93">
        <v>34502.299999999996</v>
      </c>
      <c r="AR3" s="93">
        <v>22577.950000000004</v>
      </c>
      <c r="AS3" s="93">
        <v>27828.300000000003</v>
      </c>
      <c r="AT3" s="93">
        <v>24865.279999999999</v>
      </c>
      <c r="AU3" s="93">
        <v>20475.190000000006</v>
      </c>
      <c r="AV3" s="93">
        <v>23860.47</v>
      </c>
      <c r="AW3" s="93">
        <v>27672.9</v>
      </c>
      <c r="AX3" s="93">
        <v>21933.39</v>
      </c>
      <c r="AY3" s="93">
        <v>25156.82</v>
      </c>
      <c r="AZ3" s="93">
        <v>21457.919999999998</v>
      </c>
      <c r="BA3" s="93">
        <v>20760.390000000003</v>
      </c>
      <c r="BB3" s="93">
        <v>30621.759999999998</v>
      </c>
      <c r="BC3" s="93">
        <v>16055.900000000001</v>
      </c>
    </row>
    <row r="4" spans="1:55" x14ac:dyDescent="0.25">
      <c r="B4" s="90" t="s">
        <v>63</v>
      </c>
      <c r="C4" s="229">
        <v>874.97</v>
      </c>
      <c r="D4" s="229">
        <v>4237.83</v>
      </c>
      <c r="E4" s="229">
        <v>14239.960000000001</v>
      </c>
      <c r="F4" s="229">
        <v>1120.1699999999998</v>
      </c>
      <c r="G4" s="229">
        <v>9139.41</v>
      </c>
      <c r="H4" s="229">
        <v>13.77</v>
      </c>
      <c r="I4" s="93">
        <v>5674.53</v>
      </c>
      <c r="J4" s="93">
        <v>6016.71</v>
      </c>
      <c r="K4" s="93">
        <v>12811.99</v>
      </c>
      <c r="L4" s="93">
        <v>6567.2400000000007</v>
      </c>
      <c r="M4" s="93">
        <v>6380.1800000000012</v>
      </c>
      <c r="N4" s="93">
        <v>28696.220000000005</v>
      </c>
      <c r="O4" s="93">
        <v>13896.349999999999</v>
      </c>
      <c r="P4" s="93">
        <v>3732.43</v>
      </c>
      <c r="Q4" s="93">
        <v>32402.369999999995</v>
      </c>
      <c r="R4" s="93">
        <v>0</v>
      </c>
      <c r="S4" s="207">
        <v>18161.96</v>
      </c>
      <c r="T4" s="207">
        <v>6456.5599999999995</v>
      </c>
      <c r="U4" s="207">
        <v>5373.06</v>
      </c>
      <c r="V4" s="207">
        <v>6824.5400000000009</v>
      </c>
      <c r="W4" s="207">
        <v>8343</v>
      </c>
      <c r="X4" s="207">
        <v>17915.22</v>
      </c>
      <c r="Y4" s="207">
        <v>6947.3</v>
      </c>
      <c r="Z4" s="207">
        <v>100164.73000000001</v>
      </c>
      <c r="AA4" s="207">
        <v>22150.98</v>
      </c>
      <c r="AB4" s="207">
        <v>23531.82</v>
      </c>
      <c r="AC4" s="207">
        <v>27652.04</v>
      </c>
      <c r="AD4" s="207">
        <v>19285.480000000003</v>
      </c>
      <c r="AE4" s="207">
        <v>8461.69</v>
      </c>
      <c r="AF4" s="207">
        <v>0</v>
      </c>
      <c r="AG4" s="207">
        <v>0</v>
      </c>
      <c r="AH4" s="93">
        <v>26387.640000000003</v>
      </c>
      <c r="AI4" s="93">
        <v>68581.87</v>
      </c>
      <c r="AJ4" s="93">
        <v>10698.679999999998</v>
      </c>
      <c r="AK4" s="93">
        <v>43849.61</v>
      </c>
      <c r="AL4" s="93">
        <v>24402.32</v>
      </c>
      <c r="AM4" s="93">
        <v>29943.530000000002</v>
      </c>
      <c r="AN4" s="93">
        <v>40672.15</v>
      </c>
      <c r="AO4" s="93">
        <v>107551.23999999999</v>
      </c>
      <c r="AP4" s="93">
        <v>75483.31</v>
      </c>
      <c r="AQ4" s="93">
        <v>84496.85000000002</v>
      </c>
      <c r="AR4" s="93">
        <v>142017.38999999998</v>
      </c>
      <c r="AS4" s="93">
        <v>31068.87</v>
      </c>
      <c r="AT4" s="93">
        <v>73817.36</v>
      </c>
      <c r="AU4" s="93">
        <v>157610.16000000003</v>
      </c>
      <c r="AV4" s="93">
        <v>70649.02</v>
      </c>
      <c r="AW4" s="93">
        <v>83956.160000000003</v>
      </c>
      <c r="AX4" s="93">
        <v>39232.68</v>
      </c>
      <c r="AY4" s="93">
        <v>186036.22999999998</v>
      </c>
      <c r="AZ4" s="93">
        <v>27562.93</v>
      </c>
      <c r="BA4" s="93">
        <v>39472.730000000003</v>
      </c>
      <c r="BB4" s="93">
        <v>73834.760000000009</v>
      </c>
      <c r="BC4" s="93">
        <v>68821.84</v>
      </c>
    </row>
    <row r="5" spans="1:55" x14ac:dyDescent="0.25">
      <c r="B5" s="90" t="s">
        <v>64</v>
      </c>
      <c r="C5" s="229">
        <v>223.44</v>
      </c>
      <c r="D5" s="229">
        <v>1564.75</v>
      </c>
      <c r="E5" s="229">
        <v>16972.5</v>
      </c>
      <c r="F5" s="229">
        <v>0</v>
      </c>
      <c r="G5" s="229">
        <v>3908.73</v>
      </c>
      <c r="H5" s="229">
        <v>438508.81999999995</v>
      </c>
      <c r="I5" s="93">
        <v>0</v>
      </c>
      <c r="J5" s="93">
        <v>3968.48</v>
      </c>
      <c r="K5" s="93">
        <v>32520.93</v>
      </c>
      <c r="L5" s="93">
        <v>0</v>
      </c>
      <c r="M5" s="93">
        <v>7339.5</v>
      </c>
      <c r="N5" s="93">
        <v>47488.42</v>
      </c>
      <c r="O5" s="93">
        <v>160652.33000000002</v>
      </c>
      <c r="P5" s="93">
        <v>148084.97</v>
      </c>
      <c r="Q5" s="93">
        <v>56682.329999999994</v>
      </c>
      <c r="R5" s="93">
        <v>515205.75</v>
      </c>
      <c r="S5" s="207">
        <v>42</v>
      </c>
      <c r="T5" s="207">
        <v>15447.3</v>
      </c>
      <c r="U5" s="207">
        <v>51678.86</v>
      </c>
      <c r="V5" s="207">
        <v>0</v>
      </c>
      <c r="W5" s="207">
        <v>0</v>
      </c>
      <c r="X5" s="207">
        <v>5456.64</v>
      </c>
      <c r="Y5" s="207">
        <v>42</v>
      </c>
      <c r="Z5" s="207">
        <v>87681.12000000001</v>
      </c>
      <c r="AA5" s="207">
        <v>185804.51</v>
      </c>
      <c r="AB5" s="207">
        <v>168381.31</v>
      </c>
      <c r="AC5" s="207">
        <v>313853.18</v>
      </c>
      <c r="AD5" s="207">
        <v>27479.48</v>
      </c>
      <c r="AE5" s="207">
        <v>74724.180000000008</v>
      </c>
      <c r="AF5" s="207">
        <v>719322.60999999987</v>
      </c>
      <c r="AG5" s="207">
        <v>841787.79</v>
      </c>
      <c r="AH5" s="93">
        <v>42604.95</v>
      </c>
      <c r="AI5" s="93">
        <v>90536.9</v>
      </c>
      <c r="AJ5" s="93">
        <v>22661.82</v>
      </c>
      <c r="AK5" s="93">
        <v>21584.54</v>
      </c>
      <c r="AL5" s="93">
        <v>46664.99</v>
      </c>
      <c r="AM5" s="93">
        <v>34820.49</v>
      </c>
      <c r="AN5" s="93">
        <v>122368.33</v>
      </c>
      <c r="AO5" s="93">
        <v>143447.38</v>
      </c>
      <c r="AP5" s="93">
        <v>74242.8</v>
      </c>
      <c r="AQ5" s="93">
        <v>105372.63999999998</v>
      </c>
      <c r="AR5" s="93">
        <v>221180.67000000004</v>
      </c>
      <c r="AS5" s="93">
        <v>36794.36</v>
      </c>
      <c r="AT5" s="93">
        <v>61781.750000000007</v>
      </c>
      <c r="AU5" s="93">
        <v>79007.960000000006</v>
      </c>
      <c r="AV5" s="93">
        <v>75149.069999999992</v>
      </c>
      <c r="AW5" s="93">
        <v>49589.62</v>
      </c>
      <c r="AX5" s="93">
        <v>93899.31</v>
      </c>
      <c r="AY5" s="93">
        <v>67648.89</v>
      </c>
      <c r="AZ5" s="93">
        <v>88495.93</v>
      </c>
      <c r="BA5" s="93">
        <v>55340.73</v>
      </c>
      <c r="BB5" s="93">
        <v>18418.580000000005</v>
      </c>
      <c r="BC5" s="93">
        <v>233155.17</v>
      </c>
    </row>
    <row r="6" spans="1:55" x14ac:dyDescent="0.25">
      <c r="B6" s="182" t="s">
        <v>65</v>
      </c>
      <c r="C6" s="230">
        <v>693.25</v>
      </c>
      <c r="D6" s="230">
        <v>43938.29</v>
      </c>
      <c r="E6" s="93">
        <v>49688.800000000003</v>
      </c>
      <c r="F6" s="230">
        <v>2009.62</v>
      </c>
      <c r="G6" s="230">
        <v>6515.59</v>
      </c>
      <c r="H6" s="93">
        <v>15874.3</v>
      </c>
      <c r="I6" s="93">
        <v>9455.130000000001</v>
      </c>
      <c r="J6" s="93">
        <v>35611.64</v>
      </c>
      <c r="K6" s="93">
        <v>75940.2</v>
      </c>
      <c r="L6" s="93">
        <v>2374.9499999999998</v>
      </c>
      <c r="M6" s="93">
        <v>43204.299999999996</v>
      </c>
      <c r="N6" s="93">
        <v>14615.84</v>
      </c>
      <c r="O6" s="93">
        <v>11141.29</v>
      </c>
      <c r="P6" s="93">
        <v>8019.5</v>
      </c>
      <c r="Q6" s="93">
        <v>13826.94</v>
      </c>
      <c r="R6" s="93">
        <v>15687.94</v>
      </c>
      <c r="S6" s="93">
        <v>31182.1</v>
      </c>
      <c r="T6" s="93">
        <v>24451.119999999999</v>
      </c>
      <c r="U6" s="93">
        <v>39612.600000000006</v>
      </c>
      <c r="V6" s="93">
        <v>41121.360000000001</v>
      </c>
      <c r="W6" s="93">
        <v>10709.95</v>
      </c>
      <c r="X6" s="93">
        <v>16541.43</v>
      </c>
      <c r="Y6" s="93">
        <v>29294.73</v>
      </c>
      <c r="Z6" s="93">
        <v>15232.36</v>
      </c>
      <c r="AA6" s="93">
        <v>27654.639999999999</v>
      </c>
      <c r="AB6" s="93">
        <v>18725.919999999998</v>
      </c>
      <c r="AC6" s="93">
        <v>26401.19</v>
      </c>
      <c r="AD6" s="93">
        <v>21571</v>
      </c>
      <c r="AE6" s="93">
        <v>3973.01</v>
      </c>
      <c r="AF6" s="93">
        <v>23351.21</v>
      </c>
      <c r="AG6" s="93">
        <v>19256.86</v>
      </c>
      <c r="AH6" s="93">
        <v>8856.5499999999993</v>
      </c>
      <c r="AI6" s="93">
        <v>10821.61</v>
      </c>
      <c r="AJ6" s="93">
        <v>6025.9299999999994</v>
      </c>
      <c r="AK6" s="93">
        <v>6060.97</v>
      </c>
      <c r="AL6" s="93">
        <v>18770.72</v>
      </c>
      <c r="AM6" s="93">
        <v>9855.76</v>
      </c>
      <c r="AN6" s="93">
        <v>8120.4</v>
      </c>
      <c r="AO6" s="93">
        <v>17018.05</v>
      </c>
      <c r="AP6" s="93">
        <v>31339.41</v>
      </c>
      <c r="AQ6" s="93">
        <v>14493.19</v>
      </c>
      <c r="AR6" s="93">
        <v>13244.17</v>
      </c>
      <c r="AS6" s="93">
        <v>18444.97</v>
      </c>
      <c r="AT6" s="93">
        <v>29251.59</v>
      </c>
      <c r="AU6" s="93">
        <v>26778.95</v>
      </c>
      <c r="AV6" s="93">
        <v>15725.11</v>
      </c>
      <c r="AW6" s="93">
        <v>11249.32</v>
      </c>
      <c r="AX6" s="93">
        <v>18889.48</v>
      </c>
      <c r="AY6" s="93">
        <v>25573.859999999997</v>
      </c>
      <c r="AZ6" s="93">
        <v>25605.87</v>
      </c>
      <c r="BA6" s="93">
        <v>12111.3</v>
      </c>
      <c r="BB6" s="93">
        <v>13873.28</v>
      </c>
      <c r="BC6" s="93">
        <v>18491.509999999998</v>
      </c>
    </row>
    <row r="7" spans="1:55" x14ac:dyDescent="0.25">
      <c r="A7" t="s">
        <v>131</v>
      </c>
      <c r="B7" t="s">
        <v>132</v>
      </c>
      <c r="C7" s="93">
        <v>15054.59</v>
      </c>
      <c r="D7" s="93">
        <v>11210.41</v>
      </c>
      <c r="E7" s="93">
        <v>38201.699999999997</v>
      </c>
      <c r="F7" s="93">
        <v>2231.1</v>
      </c>
      <c r="G7" s="93">
        <v>11419.3</v>
      </c>
      <c r="H7" s="93">
        <v>20335.900000000001</v>
      </c>
      <c r="I7" s="93">
        <v>10185.56</v>
      </c>
      <c r="J7" s="93">
        <v>31909.439999999999</v>
      </c>
      <c r="K7" s="93">
        <v>0</v>
      </c>
      <c r="L7" s="93">
        <v>3481.64</v>
      </c>
      <c r="M7" s="93">
        <v>41541.06</v>
      </c>
      <c r="N7" s="93">
        <v>15749.11</v>
      </c>
      <c r="O7" s="93">
        <v>35494.019999999997</v>
      </c>
      <c r="P7" s="93">
        <v>7325.34</v>
      </c>
      <c r="Q7" s="93">
        <v>12966.48</v>
      </c>
      <c r="R7" s="93">
        <v>29304.15</v>
      </c>
      <c r="S7" s="93">
        <v>12810.57</v>
      </c>
      <c r="T7" s="93">
        <v>6417.5</v>
      </c>
      <c r="U7" s="93">
        <v>28568.13</v>
      </c>
      <c r="V7" s="93">
        <v>10218.700000000001</v>
      </c>
      <c r="W7" s="93">
        <v>21615.64</v>
      </c>
      <c r="X7" s="93">
        <v>27359.07</v>
      </c>
      <c r="Y7" s="93">
        <v>24147.67</v>
      </c>
      <c r="Z7" s="93">
        <v>27757.86</v>
      </c>
      <c r="AA7" s="93">
        <v>10591.11</v>
      </c>
      <c r="AB7" s="93">
        <v>2785.18</v>
      </c>
      <c r="AC7" s="93">
        <v>40009.199999999997</v>
      </c>
      <c r="AD7" s="93">
        <v>10218.4</v>
      </c>
      <c r="AE7" s="93">
        <v>8814.31</v>
      </c>
      <c r="AF7" s="93">
        <v>20078.91</v>
      </c>
      <c r="AG7" s="93">
        <v>13998.95</v>
      </c>
      <c r="AH7" s="93">
        <v>-3186.5099999999948</v>
      </c>
      <c r="AI7" s="93">
        <v>17383.899999999994</v>
      </c>
      <c r="AJ7" s="93">
        <v>10056.839999999997</v>
      </c>
      <c r="AK7" s="93">
        <v>17856.179999999949</v>
      </c>
      <c r="AL7" s="93">
        <v>7852.8700000000099</v>
      </c>
      <c r="AM7" s="93">
        <v>9581.2900000000009</v>
      </c>
      <c r="AN7" s="93">
        <v>14794.5</v>
      </c>
      <c r="AO7" s="93">
        <v>12965.370000000024</v>
      </c>
      <c r="AP7" s="93">
        <v>5376.7900000000081</v>
      </c>
      <c r="AQ7" s="93">
        <v>16860.739999999991</v>
      </c>
      <c r="AR7" s="93">
        <v>8402.1200000000244</v>
      </c>
      <c r="AS7" s="93">
        <v>16492.480000000025</v>
      </c>
      <c r="AT7" s="93">
        <v>14709.570000000007</v>
      </c>
      <c r="AU7" s="93">
        <v>20760.920000000013</v>
      </c>
      <c r="AV7" s="93">
        <v>14610.740000000049</v>
      </c>
      <c r="AW7" s="93">
        <v>6495.9199999999837</v>
      </c>
      <c r="AX7" s="93">
        <v>14410.12</v>
      </c>
      <c r="AY7" s="93">
        <v>56829.339999999989</v>
      </c>
      <c r="AZ7" s="93">
        <v>0</v>
      </c>
      <c r="BA7" s="93">
        <v>19214</v>
      </c>
      <c r="BB7" s="93">
        <v>15004.39</v>
      </c>
      <c r="BC7" s="93">
        <v>42241.16</v>
      </c>
    </row>
    <row r="8" spans="1:55" x14ac:dyDescent="0.25">
      <c r="B8" s="182" t="s">
        <v>115</v>
      </c>
      <c r="C8" s="182"/>
      <c r="D8" s="182"/>
      <c r="E8" s="182"/>
      <c r="F8" s="182"/>
      <c r="G8" s="182"/>
      <c r="H8" s="182"/>
      <c r="I8" s="155">
        <v>0.45663708428246014</v>
      </c>
      <c r="J8" s="155">
        <v>0.28196751445086704</v>
      </c>
      <c r="K8" s="155">
        <v>0.92954167262330234</v>
      </c>
      <c r="L8" s="155">
        <v>0.29968476328302662</v>
      </c>
      <c r="M8" s="155">
        <v>1.1486285714285716</v>
      </c>
      <c r="N8" s="155" t="s">
        <v>125</v>
      </c>
      <c r="O8" s="155" t="s">
        <v>125</v>
      </c>
      <c r="P8" s="155">
        <v>7.280829999999999</v>
      </c>
      <c r="Q8" s="155">
        <v>0.56442231250000008</v>
      </c>
      <c r="R8" s="155">
        <v>0.8899211002618278</v>
      </c>
      <c r="S8" s="154">
        <v>0.58190660225442836</v>
      </c>
      <c r="T8" s="154">
        <v>0.68854193112761641</v>
      </c>
      <c r="U8" s="154">
        <v>0.40574774420529802</v>
      </c>
      <c r="V8" s="154">
        <v>1.3287134880591995</v>
      </c>
      <c r="W8" s="154">
        <v>0.76043592814371264</v>
      </c>
      <c r="X8" s="154">
        <v>0.15303465548232476</v>
      </c>
      <c r="Y8" s="154">
        <v>0.67261375076734187</v>
      </c>
      <c r="Z8" s="154">
        <v>0.69566977443609013</v>
      </c>
      <c r="AA8" s="154">
        <v>1.4103517711171663</v>
      </c>
      <c r="AB8" s="154">
        <v>4.1403026275115922</v>
      </c>
      <c r="AC8" s="154">
        <v>5.3493309827456867</v>
      </c>
      <c r="AD8" s="154">
        <v>0.36773139829261114</v>
      </c>
      <c r="AE8" s="154">
        <v>0.74739371614301198</v>
      </c>
      <c r="AF8" s="154">
        <v>6.2565282051282054</v>
      </c>
      <c r="AG8" s="218">
        <v>1.4933946969696967</v>
      </c>
      <c r="AH8" s="154">
        <v>0.34894772447724487</v>
      </c>
      <c r="AI8" s="154">
        <v>0.75363862908392065</v>
      </c>
      <c r="AJ8" s="154">
        <v>0.64055825446898018</v>
      </c>
      <c r="AK8" s="154">
        <v>0.31606694343539177</v>
      </c>
      <c r="AL8" s="154">
        <v>0.24239945487583278</v>
      </c>
      <c r="AM8" s="154">
        <v>0.28682812846068662</v>
      </c>
      <c r="AN8" s="154">
        <v>1.3733000241837969</v>
      </c>
      <c r="AO8" s="154">
        <v>1.0346450666267402</v>
      </c>
      <c r="AP8" s="154">
        <v>0.73226717325227964</v>
      </c>
      <c r="AQ8" s="154">
        <v>0.77956112191958482</v>
      </c>
      <c r="AR8" s="154">
        <v>1.4999089942912518</v>
      </c>
      <c r="AS8" s="154">
        <v>0.83935358807082938</v>
      </c>
      <c r="AT8" s="154">
        <v>1.0721747335701599</v>
      </c>
      <c r="AU8" s="154">
        <v>0.1806805835933199</v>
      </c>
      <c r="AV8" s="154">
        <v>1.0365851105651107</v>
      </c>
      <c r="AW8" s="154">
        <v>0.29657234201570881</v>
      </c>
      <c r="AX8" s="154"/>
      <c r="AY8" s="154"/>
      <c r="AZ8" s="154"/>
      <c r="BA8" s="154"/>
      <c r="BB8" s="154"/>
      <c r="BC8" s="154"/>
    </row>
    <row r="9" spans="1:55" x14ac:dyDescent="0.25">
      <c r="B9" t="s">
        <v>133</v>
      </c>
      <c r="C9" s="93"/>
      <c r="D9" s="93"/>
      <c r="E9" s="230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205">
        <v>6290.0400000000009</v>
      </c>
      <c r="AI9" s="205">
        <v>10113.76</v>
      </c>
      <c r="AJ9" s="205">
        <v>6036.33</v>
      </c>
      <c r="AK9" s="205">
        <v>5517.07</v>
      </c>
      <c r="AL9" s="205">
        <v>4592.05</v>
      </c>
      <c r="AM9" s="205">
        <v>2807.12</v>
      </c>
      <c r="AN9" s="205">
        <v>11753.920000000002</v>
      </c>
      <c r="AO9" s="205">
        <v>4851.6099999999997</v>
      </c>
      <c r="AP9" s="205">
        <v>11272.029999999999</v>
      </c>
      <c r="AQ9" s="205">
        <v>9725.15</v>
      </c>
      <c r="AR9" s="205">
        <v>12053.74</v>
      </c>
      <c r="AS9" s="205">
        <v>15632.619999999999</v>
      </c>
      <c r="AT9" s="205">
        <v>12320.039999999999</v>
      </c>
      <c r="AU9" s="205">
        <v>9832.5</v>
      </c>
      <c r="AV9" s="205">
        <v>10107.83</v>
      </c>
      <c r="AW9" s="205">
        <v>8550.57</v>
      </c>
      <c r="AX9" s="205">
        <v>11466.08</v>
      </c>
      <c r="AY9" s="205">
        <v>10374.02</v>
      </c>
      <c r="AZ9" s="205">
        <v>13839.91</v>
      </c>
      <c r="BA9" s="205">
        <v>11266.55</v>
      </c>
      <c r="BB9" s="205">
        <v>4221.67</v>
      </c>
      <c r="BC9" s="205">
        <v>6218.25</v>
      </c>
    </row>
    <row r="10" spans="1:55" x14ac:dyDescent="0.25">
      <c r="C10" s="93"/>
      <c r="D10" s="93"/>
      <c r="E10" s="230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</row>
    <row r="11" spans="1:55" x14ac:dyDescent="0.25">
      <c r="B11" s="11" t="s">
        <v>134</v>
      </c>
      <c r="C11" s="11"/>
      <c r="D11" s="11"/>
      <c r="E11" s="11"/>
      <c r="F11" s="11"/>
      <c r="G11" s="11"/>
      <c r="H11" s="11"/>
      <c r="I11" s="11" t="s">
        <v>8</v>
      </c>
      <c r="J11" s="11" t="s">
        <v>9</v>
      </c>
      <c r="K11" s="11" t="s">
        <v>10</v>
      </c>
      <c r="L11" s="11" t="s">
        <v>114</v>
      </c>
      <c r="M11" s="11" t="s">
        <v>12</v>
      </c>
      <c r="N11" s="11" t="s">
        <v>13</v>
      </c>
      <c r="O11" s="11" t="s">
        <v>14</v>
      </c>
      <c r="P11" s="11" t="s">
        <v>15</v>
      </c>
      <c r="Q11" s="11" t="s">
        <v>16</v>
      </c>
      <c r="R11" s="11" t="s">
        <v>17</v>
      </c>
      <c r="S11" s="11" t="s">
        <v>18</v>
      </c>
      <c r="T11" s="11" t="s">
        <v>19</v>
      </c>
      <c r="U11" s="11" t="s">
        <v>20</v>
      </c>
      <c r="V11" s="11" t="s">
        <v>21</v>
      </c>
      <c r="W11" s="11" t="s">
        <v>22</v>
      </c>
      <c r="X11" s="11" t="s">
        <v>23</v>
      </c>
      <c r="Y11" s="11" t="s">
        <v>24</v>
      </c>
      <c r="Z11" s="11" t="s">
        <v>25</v>
      </c>
      <c r="AA11" s="11" t="s">
        <v>26</v>
      </c>
      <c r="AB11" s="11" t="s">
        <v>27</v>
      </c>
      <c r="AC11" s="11" t="s">
        <v>28</v>
      </c>
      <c r="AD11" s="11" t="s">
        <v>29</v>
      </c>
      <c r="AE11" s="11" t="s">
        <v>30</v>
      </c>
      <c r="AF11" s="11" t="s">
        <v>31</v>
      </c>
      <c r="AG11" s="11" t="s">
        <v>32</v>
      </c>
      <c r="AH11" s="94" t="s">
        <v>34</v>
      </c>
      <c r="AI11" s="94" t="s">
        <v>35</v>
      </c>
      <c r="AJ11" s="94" t="s">
        <v>36</v>
      </c>
      <c r="AK11" s="94" t="s">
        <v>37</v>
      </c>
      <c r="AL11" s="94" t="s">
        <v>38</v>
      </c>
      <c r="AM11" s="94" t="s">
        <v>39</v>
      </c>
      <c r="AN11" s="94" t="s">
        <v>33</v>
      </c>
      <c r="AO11" s="94" t="s">
        <v>40</v>
      </c>
      <c r="AP11" s="94" t="s">
        <v>41</v>
      </c>
      <c r="AQ11" s="94" t="s">
        <v>42</v>
      </c>
      <c r="AR11" s="94" t="s">
        <v>43</v>
      </c>
      <c r="AS11" s="94" t="s">
        <v>44</v>
      </c>
      <c r="AT11" s="94" t="s">
        <v>45</v>
      </c>
      <c r="AU11" s="94" t="s">
        <v>46</v>
      </c>
      <c r="AV11" s="94" t="s">
        <v>47</v>
      </c>
      <c r="AW11" s="94" t="s">
        <v>48</v>
      </c>
      <c r="AX11" s="94" t="s">
        <v>49</v>
      </c>
      <c r="AY11" s="94" t="s">
        <v>50</v>
      </c>
      <c r="AZ11" s="94" t="s">
        <v>51</v>
      </c>
      <c r="BA11" s="94" t="s">
        <v>52</v>
      </c>
      <c r="BB11" s="94" t="s">
        <v>53</v>
      </c>
      <c r="BC11" s="94" t="s">
        <v>54</v>
      </c>
    </row>
    <row r="12" spans="1:55" x14ac:dyDescent="0.25">
      <c r="B12" s="13" t="s">
        <v>62</v>
      </c>
      <c r="C12" s="13"/>
      <c r="D12" s="13"/>
      <c r="E12" s="13"/>
      <c r="F12" s="13"/>
      <c r="G12" s="13"/>
      <c r="H12" s="13"/>
      <c r="I12" s="206">
        <v>20343.73</v>
      </c>
      <c r="J12" s="93">
        <v>39138.46</v>
      </c>
      <c r="K12" s="93">
        <v>63223.260000000009</v>
      </c>
      <c r="L12" s="93">
        <v>10172.530000000001</v>
      </c>
      <c r="M12" s="93">
        <v>37554.020000000004</v>
      </c>
      <c r="N12" s="93">
        <v>16177.440000000002</v>
      </c>
      <c r="O12" s="93">
        <v>8503.1500000000015</v>
      </c>
      <c r="P12" s="93">
        <v>7498.5499999999993</v>
      </c>
      <c r="Q12" s="93">
        <v>18179.259999999998</v>
      </c>
      <c r="R12" s="93">
        <v>245.7</v>
      </c>
      <c r="S12" s="93">
        <v>10945.310000000001</v>
      </c>
      <c r="T12" s="93">
        <v>9277.39</v>
      </c>
      <c r="U12" s="93">
        <v>13657.899999999998</v>
      </c>
      <c r="V12" s="93">
        <v>14246.74</v>
      </c>
      <c r="W12" s="93">
        <v>8329.41</v>
      </c>
      <c r="X12" s="93">
        <v>9792.64</v>
      </c>
      <c r="Y12" s="93">
        <v>11814.390000000003</v>
      </c>
      <c r="Z12" s="93">
        <v>9414.1000000000022</v>
      </c>
      <c r="AA12" s="93">
        <v>9762.7599999999984</v>
      </c>
      <c r="AB12" s="93">
        <v>8526.0300000000007</v>
      </c>
      <c r="AC12" s="93">
        <v>14550.03</v>
      </c>
      <c r="AD12" s="93">
        <v>15911.47</v>
      </c>
      <c r="AE12" s="93">
        <v>3359.43</v>
      </c>
      <c r="AF12" s="93">
        <v>0</v>
      </c>
      <c r="AG12" s="93">
        <v>396.36</v>
      </c>
      <c r="AH12" s="208">
        <v>7055.07</v>
      </c>
      <c r="AI12" s="208">
        <v>26659.510000000002</v>
      </c>
      <c r="AJ12" s="208">
        <v>6580.7899999999991</v>
      </c>
      <c r="AK12" s="208">
        <v>13044.74</v>
      </c>
      <c r="AL12" s="208">
        <v>13875.09</v>
      </c>
      <c r="AM12" s="208">
        <v>8794.0499999999993</v>
      </c>
      <c r="AN12" s="208">
        <v>21203.819999999996</v>
      </c>
      <c r="AO12" s="208">
        <v>23952.03</v>
      </c>
      <c r="AP12" s="208">
        <v>21576.74</v>
      </c>
      <c r="AQ12" s="208">
        <v>22536.95</v>
      </c>
      <c r="AR12" s="208">
        <v>23059.170000000002</v>
      </c>
      <c r="AS12" s="208">
        <v>25073.08</v>
      </c>
      <c r="AT12" s="208">
        <v>21974.639999999999</v>
      </c>
      <c r="AU12" s="208">
        <v>23352.260000000002</v>
      </c>
      <c r="AV12" s="208">
        <v>20834.070000000003</v>
      </c>
      <c r="AW12" s="208">
        <v>20429.280000000002</v>
      </c>
      <c r="AX12" s="208">
        <v>21645.670000000002</v>
      </c>
      <c r="AY12" s="208">
        <v>30178.160000000003</v>
      </c>
      <c r="AZ12" s="208">
        <v>23491.870000000006</v>
      </c>
      <c r="BA12" s="208">
        <v>17836.629999999997</v>
      </c>
      <c r="BB12" s="208">
        <v>19327.580000000002</v>
      </c>
      <c r="BC12" s="208">
        <v>22078.859999999997</v>
      </c>
    </row>
    <row r="13" spans="1:55" x14ac:dyDescent="0.25">
      <c r="B13" s="13" t="s">
        <v>63</v>
      </c>
      <c r="C13" s="13"/>
      <c r="D13" s="13"/>
      <c r="E13" s="13"/>
      <c r="F13" s="13"/>
      <c r="G13" s="13"/>
      <c r="H13" s="13"/>
      <c r="I13" s="206">
        <v>4112.82</v>
      </c>
      <c r="J13" s="93">
        <v>2099.33</v>
      </c>
      <c r="K13" s="93">
        <v>6618.92</v>
      </c>
      <c r="L13" s="93">
        <v>3088.34</v>
      </c>
      <c r="M13" s="93">
        <v>4056.2799999999997</v>
      </c>
      <c r="N13" s="93">
        <v>30817.52</v>
      </c>
      <c r="O13" s="93">
        <v>5140.84</v>
      </c>
      <c r="P13" s="93">
        <v>7358.38</v>
      </c>
      <c r="Q13" s="93">
        <v>30606.889999999996</v>
      </c>
      <c r="R13" s="93">
        <v>0</v>
      </c>
      <c r="S13" s="235">
        <v>3515.86</v>
      </c>
      <c r="T13" s="93">
        <v>6714.22</v>
      </c>
      <c r="U13" s="93">
        <v>1926.27</v>
      </c>
      <c r="V13" s="93">
        <v>2242.54</v>
      </c>
      <c r="W13" s="93">
        <v>2753.28</v>
      </c>
      <c r="X13" s="93">
        <v>3460.2200000000003</v>
      </c>
      <c r="Y13" s="93">
        <v>2203.81</v>
      </c>
      <c r="Z13" s="93">
        <v>65064.76</v>
      </c>
      <c r="AA13" s="93">
        <v>55266.62</v>
      </c>
      <c r="AB13" s="93">
        <v>25191.11</v>
      </c>
      <c r="AC13" s="93">
        <v>37496.089999999997</v>
      </c>
      <c r="AD13" s="93">
        <v>48167.83</v>
      </c>
      <c r="AE13" s="93">
        <v>7927.31</v>
      </c>
      <c r="AF13" s="93">
        <v>0</v>
      </c>
      <c r="AG13" s="93">
        <v>0</v>
      </c>
      <c r="AH13" s="208">
        <v>2929.6171200000003</v>
      </c>
      <c r="AI13" s="208">
        <v>9056.7915599999997</v>
      </c>
      <c r="AJ13" s="208">
        <v>1953.67884</v>
      </c>
      <c r="AK13" s="208">
        <v>4753.1805599999998</v>
      </c>
      <c r="AL13" s="208">
        <v>4786.2243600000002</v>
      </c>
      <c r="AM13" s="208">
        <v>3082.20156</v>
      </c>
      <c r="AN13" s="208">
        <v>7623.8683199999996</v>
      </c>
      <c r="AO13" s="208">
        <v>8263.8009599999987</v>
      </c>
      <c r="AP13" s="208">
        <v>8928.9425999999985</v>
      </c>
      <c r="AQ13" s="208">
        <v>8261.9091600000011</v>
      </c>
      <c r="AR13" s="208">
        <v>8420.7723600000008</v>
      </c>
      <c r="AS13" s="208">
        <v>9192.2481600000028</v>
      </c>
      <c r="AT13" s="208">
        <v>8149.1720400000004</v>
      </c>
      <c r="AU13" s="208">
        <v>9605.62932</v>
      </c>
      <c r="AV13" s="208">
        <v>7272.3337199999996</v>
      </c>
      <c r="AW13" s="208">
        <v>8220.9490800000003</v>
      </c>
      <c r="AX13" s="208">
        <v>8070.8719199999996</v>
      </c>
      <c r="AY13" s="208">
        <v>10508.520120000001</v>
      </c>
      <c r="AZ13" s="208">
        <v>9819.214680000001</v>
      </c>
      <c r="BA13" s="208">
        <v>6347.7484800000002</v>
      </c>
      <c r="BB13" s="208">
        <v>6877.3318799999997</v>
      </c>
      <c r="BC13" s="208">
        <v>7987.6528799999996</v>
      </c>
    </row>
    <row r="14" spans="1:55" x14ac:dyDescent="0.25">
      <c r="A14" t="s">
        <v>135</v>
      </c>
      <c r="B14" s="13" t="s">
        <v>64</v>
      </c>
      <c r="C14" s="13">
        <v>256</v>
      </c>
      <c r="D14" s="206">
        <v>0</v>
      </c>
      <c r="E14" s="206">
        <v>0</v>
      </c>
      <c r="F14" s="206">
        <v>0</v>
      </c>
      <c r="G14" s="13">
        <v>11644.04</v>
      </c>
      <c r="H14" s="13">
        <v>426737.9</v>
      </c>
      <c r="I14" s="206">
        <v>0</v>
      </c>
      <c r="J14" s="93">
        <v>1600</v>
      </c>
      <c r="K14" s="93">
        <v>2695</v>
      </c>
      <c r="L14" s="93">
        <v>1600</v>
      </c>
      <c r="M14" s="93">
        <v>1666.63</v>
      </c>
      <c r="N14" s="93">
        <v>89497.8</v>
      </c>
      <c r="O14" s="93">
        <v>148766.22000000003</v>
      </c>
      <c r="P14" s="93">
        <v>80584.639999999999</v>
      </c>
      <c r="Q14" s="93">
        <v>236380.34</v>
      </c>
      <c r="R14" s="93">
        <v>496644.86</v>
      </c>
      <c r="S14" s="235">
        <v>0</v>
      </c>
      <c r="T14" s="235">
        <v>0</v>
      </c>
      <c r="U14" s="235">
        <v>0</v>
      </c>
      <c r="V14" s="235">
        <v>0</v>
      </c>
      <c r="W14" s="235">
        <v>0</v>
      </c>
      <c r="X14" s="235">
        <v>6000</v>
      </c>
      <c r="Y14" s="235">
        <v>0</v>
      </c>
      <c r="Z14" s="235">
        <v>87858.8</v>
      </c>
      <c r="AA14" s="235">
        <v>134599.4</v>
      </c>
      <c r="AB14" s="235">
        <v>185451.05</v>
      </c>
      <c r="AC14" s="186">
        <v>220143.28999999998</v>
      </c>
      <c r="AD14" s="235">
        <v>60703.7</v>
      </c>
      <c r="AE14" s="235">
        <v>74568.37000000001</v>
      </c>
      <c r="AF14" s="235">
        <v>771304.64</v>
      </c>
      <c r="AG14" s="235">
        <v>874631.06</v>
      </c>
      <c r="AH14" s="208">
        <v>7678.63</v>
      </c>
      <c r="AI14" s="208">
        <v>34220.379999999997</v>
      </c>
      <c r="AJ14" s="208">
        <v>5581.33</v>
      </c>
      <c r="AK14" s="208">
        <v>11780.75</v>
      </c>
      <c r="AL14" s="208">
        <v>12140.11</v>
      </c>
      <c r="AM14" s="208">
        <v>7920.2600000000011</v>
      </c>
      <c r="AN14" s="208">
        <v>28338.229999999996</v>
      </c>
      <c r="AO14" s="208">
        <v>24400.29</v>
      </c>
      <c r="AP14" s="208">
        <v>21608.38</v>
      </c>
      <c r="AQ14" s="208">
        <v>21651</v>
      </c>
      <c r="AR14" s="208">
        <v>21031.599999999999</v>
      </c>
      <c r="AS14" s="208">
        <v>26178.289999999997</v>
      </c>
      <c r="AT14" s="208">
        <v>26809.600000000002</v>
      </c>
      <c r="AU14" s="208">
        <v>23815.140000000003</v>
      </c>
      <c r="AV14" s="208">
        <v>22135.31</v>
      </c>
      <c r="AW14" s="208">
        <v>19503.979999999996</v>
      </c>
      <c r="AX14" s="208">
        <v>25868.940000000002</v>
      </c>
      <c r="AY14" s="208">
        <v>37541.32</v>
      </c>
      <c r="AZ14" s="208">
        <v>31107.45</v>
      </c>
      <c r="BA14" s="208">
        <v>16294.02</v>
      </c>
      <c r="BB14" s="208">
        <v>15961.28</v>
      </c>
      <c r="BC14" s="208">
        <v>20101.02</v>
      </c>
    </row>
    <row r="15" spans="1:55" x14ac:dyDescent="0.25">
      <c r="B15" s="13" t="s">
        <v>65</v>
      </c>
      <c r="C15" s="14"/>
      <c r="D15" s="14"/>
      <c r="E15" s="14"/>
      <c r="F15" s="14"/>
      <c r="G15" s="14"/>
      <c r="H15" s="14"/>
      <c r="I15" s="93">
        <v>24067.670000000002</v>
      </c>
      <c r="J15" s="93">
        <v>32481.13</v>
      </c>
      <c r="K15" s="93">
        <v>59734.810000000005</v>
      </c>
      <c r="L15" s="93">
        <v>3701.9500000000003</v>
      </c>
      <c r="M15" s="93">
        <v>36509.699999999997</v>
      </c>
      <c r="N15" s="93">
        <v>18552.68</v>
      </c>
      <c r="O15" s="93">
        <v>12853.699999999999</v>
      </c>
      <c r="P15" s="93">
        <v>8585.4599999999991</v>
      </c>
      <c r="Q15" s="93">
        <v>23962.36</v>
      </c>
      <c r="R15" s="93">
        <v>17622.12</v>
      </c>
      <c r="S15" s="93">
        <v>33462.81</v>
      </c>
      <c r="T15" s="93">
        <v>26508.35</v>
      </c>
      <c r="U15" s="93">
        <v>37332.1</v>
      </c>
      <c r="V15" s="93">
        <v>42028.84</v>
      </c>
      <c r="W15" s="93">
        <v>18164.21</v>
      </c>
      <c r="X15" s="93">
        <v>19072.309999999998</v>
      </c>
      <c r="Y15" s="93">
        <v>29391.480000000003</v>
      </c>
      <c r="Z15" s="93">
        <v>16534.47</v>
      </c>
      <c r="AA15" s="93">
        <v>20914.86</v>
      </c>
      <c r="AB15" s="93">
        <v>18875.150000000001</v>
      </c>
      <c r="AC15" s="93">
        <v>26119.64</v>
      </c>
      <c r="AD15" s="93">
        <v>25099.66</v>
      </c>
      <c r="AE15" s="93">
        <v>6910.47</v>
      </c>
      <c r="AF15" s="93">
        <v>17540.649999999998</v>
      </c>
      <c r="AG15" s="93">
        <v>24635.02</v>
      </c>
      <c r="AH15" s="208">
        <v>3620.65</v>
      </c>
      <c r="AI15" s="208">
        <v>6176.4</v>
      </c>
      <c r="AJ15" s="208">
        <v>1261.57</v>
      </c>
      <c r="AK15" s="208">
        <v>5864.17</v>
      </c>
      <c r="AL15" s="208">
        <v>5230.7700000000004</v>
      </c>
      <c r="AM15" s="208">
        <v>5629.63</v>
      </c>
      <c r="AN15" s="208">
        <v>9117.5300000000007</v>
      </c>
      <c r="AO15" s="208">
        <v>18046.77</v>
      </c>
      <c r="AP15" s="208">
        <v>10770.61</v>
      </c>
      <c r="AQ15" s="208">
        <v>11538.65</v>
      </c>
      <c r="AR15" s="208">
        <v>6670.11</v>
      </c>
      <c r="AS15" s="208">
        <v>12645.06</v>
      </c>
      <c r="AT15" s="208">
        <v>12732.18</v>
      </c>
      <c r="AU15" s="208">
        <v>13373.99</v>
      </c>
      <c r="AV15" s="208">
        <v>9451.08</v>
      </c>
      <c r="AW15" s="208">
        <v>9335.61</v>
      </c>
      <c r="AX15" s="208">
        <v>17799.62</v>
      </c>
      <c r="AY15" s="208">
        <v>33031.839999999997</v>
      </c>
      <c r="AZ15" s="208">
        <v>21095.85</v>
      </c>
      <c r="BA15" s="208">
        <v>14063.9</v>
      </c>
      <c r="BB15" s="208">
        <v>14063.9</v>
      </c>
      <c r="BC15" s="208">
        <v>17579.87</v>
      </c>
    </row>
    <row r="16" spans="1:55" x14ac:dyDescent="0.25">
      <c r="B16" t="s">
        <v>132</v>
      </c>
      <c r="C16" s="93">
        <v>42795</v>
      </c>
      <c r="D16" s="93">
        <v>27635.9</v>
      </c>
      <c r="E16" s="93">
        <v>44175.61</v>
      </c>
      <c r="F16" s="93">
        <v>9000</v>
      </c>
      <c r="G16" s="93">
        <v>9729</v>
      </c>
      <c r="H16" s="93">
        <v>22349.65</v>
      </c>
      <c r="I16" s="93">
        <v>16910</v>
      </c>
      <c r="J16" s="93">
        <v>34823.72</v>
      </c>
      <c r="K16" s="93">
        <v>59400.5</v>
      </c>
      <c r="L16" s="93">
        <v>8325</v>
      </c>
      <c r="M16" s="93">
        <v>52501.55</v>
      </c>
      <c r="N16" s="93">
        <v>24762</v>
      </c>
      <c r="O16" s="93">
        <v>15994</v>
      </c>
      <c r="P16" s="93">
        <v>11595</v>
      </c>
      <c r="Q16" s="93">
        <v>19041.66</v>
      </c>
      <c r="R16" s="93">
        <v>33868</v>
      </c>
      <c r="S16" s="93">
        <v>24110</v>
      </c>
      <c r="T16" s="93">
        <v>17612.11</v>
      </c>
      <c r="U16" s="93">
        <v>27616.77</v>
      </c>
      <c r="V16" s="93">
        <v>14350</v>
      </c>
      <c r="W16" s="93">
        <v>17215</v>
      </c>
      <c r="X16" s="93">
        <v>12668.33</v>
      </c>
      <c r="Y16" s="93">
        <v>20248</v>
      </c>
      <c r="Z16" s="93">
        <v>17880</v>
      </c>
      <c r="AA16" s="93">
        <v>19378.25</v>
      </c>
      <c r="AB16" s="93">
        <v>16827</v>
      </c>
      <c r="AC16" s="93">
        <v>22379.46</v>
      </c>
      <c r="AD16" s="93">
        <v>26058</v>
      </c>
      <c r="AE16" s="93">
        <v>12167</v>
      </c>
      <c r="AF16" s="93">
        <v>17905</v>
      </c>
      <c r="AG16" s="93">
        <v>17740</v>
      </c>
      <c r="AH16" s="93">
        <v>8297.109999999986</v>
      </c>
      <c r="AI16" s="93">
        <v>12274.479999999996</v>
      </c>
      <c r="AJ16" s="93">
        <v>15735.670000000027</v>
      </c>
      <c r="AK16" s="93">
        <v>6182.3300000000163</v>
      </c>
      <c r="AL16" s="93">
        <v>7542.1199999999953</v>
      </c>
      <c r="AM16" s="93">
        <v>9003.8400000000038</v>
      </c>
      <c r="AN16" s="93">
        <v>11322.689999999988</v>
      </c>
      <c r="AO16" s="93">
        <v>18340.749999999985</v>
      </c>
      <c r="AP16" s="93">
        <v>10823.959999999977</v>
      </c>
      <c r="AQ16" s="93">
        <v>12234.25</v>
      </c>
      <c r="AR16" s="93">
        <v>11260.179999999993</v>
      </c>
      <c r="AS16" s="93">
        <v>10929.900000000009</v>
      </c>
      <c r="AT16" s="93">
        <v>13028.800000000003</v>
      </c>
      <c r="AU16" s="93">
        <v>23059.770000000004</v>
      </c>
      <c r="AV16" s="93">
        <v>10894.469999999987</v>
      </c>
      <c r="AW16" s="93">
        <v>8689.7699999999895</v>
      </c>
      <c r="AX16" s="93">
        <v>35983.550000000003</v>
      </c>
      <c r="AY16" s="93">
        <v>51051.33</v>
      </c>
      <c r="AZ16" s="93">
        <v>0</v>
      </c>
      <c r="BA16" s="93">
        <v>9271.59</v>
      </c>
      <c r="BB16" s="93">
        <v>8489.6899999999987</v>
      </c>
      <c r="BC16" s="93">
        <v>22319.229999999996</v>
      </c>
    </row>
    <row r="17" spans="2:55" x14ac:dyDescent="0.25">
      <c r="B17" t="s">
        <v>136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>
        <v>3160.27</v>
      </c>
      <c r="AI17" s="93">
        <v>8690.73</v>
      </c>
      <c r="AJ17" s="93">
        <v>4570.8099999999995</v>
      </c>
      <c r="AK17" s="93">
        <v>4691.0199999999995</v>
      </c>
      <c r="AL17" s="93">
        <v>4740.4000000000005</v>
      </c>
      <c r="AM17" s="93">
        <v>3160.27</v>
      </c>
      <c r="AN17" s="93">
        <v>7900.67</v>
      </c>
      <c r="AO17" s="93">
        <v>9727.7000000000007</v>
      </c>
      <c r="AP17" s="93">
        <v>8641.35</v>
      </c>
      <c r="AQ17" s="93">
        <v>8295.6999999999989</v>
      </c>
      <c r="AR17" s="93">
        <v>8493.2200000000012</v>
      </c>
      <c r="AS17" s="93">
        <v>9233.91</v>
      </c>
      <c r="AT17" s="93">
        <v>8345.08</v>
      </c>
      <c r="AU17" s="93">
        <v>9765.92</v>
      </c>
      <c r="AV17" s="93">
        <v>8093.5</v>
      </c>
      <c r="AW17" s="93">
        <v>7425.47</v>
      </c>
      <c r="AX17" s="93">
        <v>10025.469999999999</v>
      </c>
      <c r="AY17" s="93">
        <v>11072.9</v>
      </c>
      <c r="AZ17" s="93">
        <v>11163.01</v>
      </c>
      <c r="BA17" s="93">
        <v>7032.96</v>
      </c>
      <c r="BB17" s="93">
        <v>7032.96</v>
      </c>
      <c r="BC17" s="93">
        <v>9391.85</v>
      </c>
    </row>
    <row r="18" spans="2:55" x14ac:dyDescent="0.25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</row>
    <row r="19" spans="2:55" x14ac:dyDescent="0.25">
      <c r="B19" s="11" t="s">
        <v>67</v>
      </c>
      <c r="C19" s="11"/>
      <c r="D19" s="11"/>
      <c r="E19" s="11"/>
      <c r="F19" s="11"/>
      <c r="G19" s="11"/>
      <c r="H19" s="11"/>
      <c r="I19" s="11" t="s">
        <v>8</v>
      </c>
      <c r="J19" s="11" t="s">
        <v>9</v>
      </c>
      <c r="K19" s="11" t="s">
        <v>10</v>
      </c>
      <c r="L19" s="11" t="s">
        <v>114</v>
      </c>
      <c r="M19" s="11" t="s">
        <v>12</v>
      </c>
      <c r="N19" s="11" t="s">
        <v>13</v>
      </c>
      <c r="O19" s="11" t="s">
        <v>14</v>
      </c>
      <c r="P19" s="11" t="s">
        <v>15</v>
      </c>
      <c r="Q19" s="11" t="s">
        <v>16</v>
      </c>
      <c r="R19" s="11" t="s">
        <v>17</v>
      </c>
      <c r="S19" s="11" t="s">
        <v>18</v>
      </c>
      <c r="T19" s="11" t="s">
        <v>19</v>
      </c>
      <c r="U19" s="11" t="s">
        <v>20</v>
      </c>
      <c r="V19" s="11" t="s">
        <v>21</v>
      </c>
      <c r="W19" s="11" t="s">
        <v>22</v>
      </c>
      <c r="X19" s="11" t="s">
        <v>23</v>
      </c>
      <c r="Y19" s="11" t="s">
        <v>24</v>
      </c>
      <c r="Z19" s="11" t="s">
        <v>25</v>
      </c>
      <c r="AA19" s="11" t="s">
        <v>26</v>
      </c>
      <c r="AB19" s="11" t="s">
        <v>27</v>
      </c>
      <c r="AC19" s="11" t="s">
        <v>28</v>
      </c>
      <c r="AD19" s="11" t="s">
        <v>29</v>
      </c>
      <c r="AE19" s="11" t="s">
        <v>30</v>
      </c>
      <c r="AF19" s="11" t="s">
        <v>31</v>
      </c>
      <c r="AG19" s="11" t="s">
        <v>32</v>
      </c>
      <c r="AH19" s="94" t="s">
        <v>34</v>
      </c>
      <c r="AI19" s="94" t="s">
        <v>35</v>
      </c>
      <c r="AJ19" s="94" t="s">
        <v>36</v>
      </c>
      <c r="AK19" s="94" t="s">
        <v>37</v>
      </c>
      <c r="AL19" s="94" t="s">
        <v>38</v>
      </c>
      <c r="AM19" s="94" t="s">
        <v>39</v>
      </c>
      <c r="AN19" s="94" t="s">
        <v>33</v>
      </c>
      <c r="AO19" s="94" t="s">
        <v>40</v>
      </c>
      <c r="AP19" s="94" t="s">
        <v>41</v>
      </c>
      <c r="AQ19" s="94" t="s">
        <v>42</v>
      </c>
      <c r="AR19" s="94" t="s">
        <v>43</v>
      </c>
      <c r="AS19" s="94" t="s">
        <v>44</v>
      </c>
      <c r="AT19" s="94" t="s">
        <v>45</v>
      </c>
      <c r="AU19" s="94" t="s">
        <v>46</v>
      </c>
      <c r="AV19" s="94" t="s">
        <v>47</v>
      </c>
      <c r="AW19" s="94" t="s">
        <v>48</v>
      </c>
      <c r="AX19" s="94" t="s">
        <v>49</v>
      </c>
      <c r="AY19" s="94" t="s">
        <v>50</v>
      </c>
      <c r="AZ19" s="94" t="s">
        <v>51</v>
      </c>
      <c r="BA19" s="94" t="s">
        <v>52</v>
      </c>
      <c r="BB19" s="94" t="s">
        <v>53</v>
      </c>
      <c r="BC19" s="94" t="s">
        <v>54</v>
      </c>
    </row>
    <row r="20" spans="2:55" x14ac:dyDescent="0.25">
      <c r="B20" s="13" t="s">
        <v>62</v>
      </c>
      <c r="C20" s="13"/>
      <c r="D20" s="13"/>
      <c r="E20" s="13"/>
      <c r="F20" s="13"/>
      <c r="G20" s="13"/>
      <c r="H20" s="13"/>
      <c r="I20" s="89">
        <v>-1165.5200000000041</v>
      </c>
      <c r="J20" s="89">
        <v>-3587.2100000000064</v>
      </c>
      <c r="K20" s="89">
        <v>-6995.4899999999907</v>
      </c>
      <c r="L20" s="89">
        <v>-2232.2399999999998</v>
      </c>
      <c r="M20" s="89">
        <v>3644.2799999999988</v>
      </c>
      <c r="N20" s="89">
        <v>8126.4900000000025</v>
      </c>
      <c r="O20" s="89">
        <v>4474.2100000000009</v>
      </c>
      <c r="P20" s="89">
        <v>3164.5299999999997</v>
      </c>
      <c r="Q20" s="89">
        <v>11888.099999999999</v>
      </c>
      <c r="R20" s="89">
        <v>83.299999999999983</v>
      </c>
      <c r="S20" s="89">
        <v>-5643.619999999999</v>
      </c>
      <c r="T20" s="89">
        <v>-18595.22</v>
      </c>
      <c r="U20" s="89">
        <v>-2214.3100000000031</v>
      </c>
      <c r="V20" s="89">
        <v>-22785.55000000001</v>
      </c>
      <c r="W20" s="89">
        <v>-8793</v>
      </c>
      <c r="X20" s="89">
        <v>-4860.3200000000015</v>
      </c>
      <c r="Y20" s="89">
        <v>-8153.8799999999937</v>
      </c>
      <c r="Z20" s="89">
        <v>-29379.610000000004</v>
      </c>
      <c r="AA20" s="89">
        <v>-13471.07</v>
      </c>
      <c r="AB20" s="89">
        <v>-15143.97</v>
      </c>
      <c r="AC20" s="89">
        <v>-17287.980000000003</v>
      </c>
      <c r="AD20" s="89">
        <v>-20017.72</v>
      </c>
      <c r="AE20" s="89">
        <v>-1957.1700000000005</v>
      </c>
      <c r="AF20" s="89">
        <v>-527.52</v>
      </c>
      <c r="AG20" s="89">
        <v>388.51</v>
      </c>
      <c r="AH20" s="89">
        <v>-7211.07</v>
      </c>
      <c r="AI20" s="89">
        <v>-12964.029999999999</v>
      </c>
      <c r="AJ20" s="89">
        <v>-196.25000000000091</v>
      </c>
      <c r="AK20" s="89">
        <v>7137.8600000000006</v>
      </c>
      <c r="AL20" s="89">
        <v>-8836.2400000000016</v>
      </c>
      <c r="AM20" s="89">
        <v>5162.5399999999991</v>
      </c>
      <c r="AN20" s="89">
        <v>4318.7899999999972</v>
      </c>
      <c r="AO20" s="89">
        <v>-3333.510000000002</v>
      </c>
      <c r="AP20" s="89">
        <v>-5130.4900000000016</v>
      </c>
      <c r="AQ20" s="89">
        <v>-11965.349999999995</v>
      </c>
      <c r="AR20" s="89">
        <v>481.21999999999753</v>
      </c>
      <c r="AS20" s="89">
        <v>-2755.2200000000012</v>
      </c>
      <c r="AT20" s="89">
        <v>-2890.6399999999994</v>
      </c>
      <c r="AU20" s="89">
        <v>2877.0699999999961</v>
      </c>
      <c r="AV20" s="89">
        <v>-3026.3999999999978</v>
      </c>
      <c r="AW20" s="89">
        <v>-7243.619999999999</v>
      </c>
      <c r="AX20" s="89">
        <v>-287.71999999999753</v>
      </c>
      <c r="AY20" s="89">
        <v>5021.3400000000038</v>
      </c>
      <c r="AZ20" s="89">
        <v>2033.950000000008</v>
      </c>
      <c r="BA20" s="89">
        <v>-2923.7600000000057</v>
      </c>
      <c r="BB20" s="89">
        <v>-11294.179999999997</v>
      </c>
      <c r="BC20" s="89">
        <v>6022.9599999999955</v>
      </c>
    </row>
    <row r="21" spans="2:55" x14ac:dyDescent="0.25">
      <c r="B21" s="13" t="s">
        <v>63</v>
      </c>
      <c r="C21" s="13"/>
      <c r="D21" s="13"/>
      <c r="E21" s="13"/>
      <c r="F21" s="13"/>
      <c r="G21" s="13"/>
      <c r="H21" s="13"/>
      <c r="I21" s="89">
        <v>-1561.71</v>
      </c>
      <c r="J21" s="89">
        <v>-3917.38</v>
      </c>
      <c r="K21" s="89">
        <v>-6193.07</v>
      </c>
      <c r="L21" s="89">
        <v>-3478.9000000000005</v>
      </c>
      <c r="M21" s="89">
        <v>-2323.9000000000015</v>
      </c>
      <c r="N21" s="89">
        <v>2121.2999999999956</v>
      </c>
      <c r="O21" s="89">
        <v>-8755.5099999999984</v>
      </c>
      <c r="P21" s="89">
        <v>3625.9500000000003</v>
      </c>
      <c r="Q21" s="89">
        <v>-1795.4799999999996</v>
      </c>
      <c r="R21" s="89">
        <v>0</v>
      </c>
      <c r="S21" s="89">
        <v>-14646.099999999999</v>
      </c>
      <c r="T21" s="89">
        <v>257.66000000000076</v>
      </c>
      <c r="U21" s="89">
        <v>-3446.7900000000004</v>
      </c>
      <c r="V21" s="89">
        <v>-4582.0000000000009</v>
      </c>
      <c r="W21" s="89">
        <v>-5589.7199999999993</v>
      </c>
      <c r="X21" s="89">
        <v>-14455</v>
      </c>
      <c r="Y21" s="89">
        <v>-4743.49</v>
      </c>
      <c r="Z21" s="89">
        <v>-35099.970000000008</v>
      </c>
      <c r="AA21" s="89">
        <v>33115.64</v>
      </c>
      <c r="AB21" s="89">
        <v>1659.2900000000009</v>
      </c>
      <c r="AC21" s="89">
        <v>9844.0499999999956</v>
      </c>
      <c r="AD21" s="89">
        <v>28882.35</v>
      </c>
      <c r="AE21" s="89">
        <v>-534.38000000000011</v>
      </c>
      <c r="AF21" s="89">
        <v>0</v>
      </c>
      <c r="AG21" s="89">
        <v>0</v>
      </c>
      <c r="AH21" s="89">
        <v>-23458.022880000004</v>
      </c>
      <c r="AI21" s="89">
        <v>-59525.078439999997</v>
      </c>
      <c r="AJ21" s="89">
        <v>-8745.001159999998</v>
      </c>
      <c r="AK21" s="89">
        <v>-39096.42944</v>
      </c>
      <c r="AL21" s="89">
        <v>-19616.09564</v>
      </c>
      <c r="AM21" s="89">
        <v>-26861.328440000001</v>
      </c>
      <c r="AN21" s="89">
        <v>-33048.28168</v>
      </c>
      <c r="AO21" s="89">
        <v>-99287.439039999997</v>
      </c>
      <c r="AP21" s="89">
        <v>-66554.367400000003</v>
      </c>
      <c r="AQ21" s="89">
        <v>-76234.940840000025</v>
      </c>
      <c r="AR21" s="89">
        <v>-133596.61763999998</v>
      </c>
      <c r="AS21" s="89">
        <v>-21876.621839999996</v>
      </c>
      <c r="AT21" s="89">
        <v>-65668.187959999996</v>
      </c>
      <c r="AU21" s="89">
        <v>-148004.53068000003</v>
      </c>
      <c r="AV21" s="89">
        <v>-63376.686280000002</v>
      </c>
      <c r="AW21" s="89">
        <v>-75735.210919999998</v>
      </c>
      <c r="AX21" s="89">
        <v>-31161.808080000003</v>
      </c>
      <c r="AY21" s="89">
        <v>-175527.70987999998</v>
      </c>
      <c r="AZ21" s="89">
        <v>-17743.715319999999</v>
      </c>
      <c r="BA21" s="89">
        <v>-33124.981520000001</v>
      </c>
      <c r="BB21" s="89">
        <v>-66957.428120000011</v>
      </c>
      <c r="BC21" s="89">
        <v>-60834.187119999995</v>
      </c>
    </row>
    <row r="22" spans="2:55" x14ac:dyDescent="0.25">
      <c r="B22" s="13" t="s">
        <v>64</v>
      </c>
      <c r="C22" s="89">
        <v>32.56</v>
      </c>
      <c r="D22" s="89" t="s">
        <v>125</v>
      </c>
      <c r="E22" s="89" t="s">
        <v>125</v>
      </c>
      <c r="F22" s="89">
        <v>0</v>
      </c>
      <c r="G22" s="89">
        <v>7735.3100000000013</v>
      </c>
      <c r="H22" s="89">
        <v>-11770.919999999925</v>
      </c>
      <c r="I22" s="89">
        <v>0</v>
      </c>
      <c r="J22" s="89">
        <v>-2368.48</v>
      </c>
      <c r="K22" s="89">
        <v>-29825.93</v>
      </c>
      <c r="L22" s="89">
        <v>1600</v>
      </c>
      <c r="M22" s="89">
        <v>-5672.87</v>
      </c>
      <c r="N22" s="89">
        <v>42009.380000000005</v>
      </c>
      <c r="O22" s="89">
        <v>-11886.109999999986</v>
      </c>
      <c r="P22" s="89">
        <v>-67500.33</v>
      </c>
      <c r="Q22" s="89">
        <v>179698.01</v>
      </c>
      <c r="R22" s="89">
        <v>-18560.890000000014</v>
      </c>
      <c r="S22" s="89">
        <v>-42</v>
      </c>
      <c r="T22" s="89">
        <v>-15447.3</v>
      </c>
      <c r="U22" s="89">
        <v>-51678.86</v>
      </c>
      <c r="V22" s="89">
        <v>0</v>
      </c>
      <c r="W22" s="89">
        <v>0</v>
      </c>
      <c r="X22" s="89">
        <v>543.35999999999967</v>
      </c>
      <c r="Y22" s="89">
        <v>-42</v>
      </c>
      <c r="Z22" s="89">
        <v>177.67999999999302</v>
      </c>
      <c r="AA22" s="89">
        <v>-51205.110000000015</v>
      </c>
      <c r="AB22" s="89">
        <v>17069.739999999991</v>
      </c>
      <c r="AC22" s="89">
        <v>-93709.890000000014</v>
      </c>
      <c r="AD22" s="89">
        <v>33224.22</v>
      </c>
      <c r="AE22" s="89">
        <v>-155.80999999999767</v>
      </c>
      <c r="AF22" s="89">
        <v>51982.030000000144</v>
      </c>
      <c r="AG22" s="89">
        <v>32843.270000000019</v>
      </c>
      <c r="AH22" s="89">
        <v>-34926.32</v>
      </c>
      <c r="AI22" s="89">
        <v>-56316.52</v>
      </c>
      <c r="AJ22" s="89">
        <v>-17080.489999999998</v>
      </c>
      <c r="AK22" s="89">
        <v>-9803.7900000000009</v>
      </c>
      <c r="AL22" s="89">
        <v>-34524.879999999997</v>
      </c>
      <c r="AM22" s="89">
        <v>-26900.229999999996</v>
      </c>
      <c r="AN22" s="89">
        <v>-94030.1</v>
      </c>
      <c r="AO22" s="89">
        <v>-119047.09</v>
      </c>
      <c r="AP22" s="89">
        <v>-52634.42</v>
      </c>
      <c r="AQ22" s="89">
        <v>-83721.639999999985</v>
      </c>
      <c r="AR22" s="89">
        <v>-200149.07000000004</v>
      </c>
      <c r="AS22" s="89">
        <v>-10616.070000000003</v>
      </c>
      <c r="AT22" s="89">
        <v>-34972.150000000009</v>
      </c>
      <c r="AU22" s="89">
        <v>-55192.820000000007</v>
      </c>
      <c r="AV22" s="89">
        <v>-53013.759999999995</v>
      </c>
      <c r="AW22" s="89">
        <v>-30085.640000000007</v>
      </c>
      <c r="AX22" s="89">
        <v>-68030.37</v>
      </c>
      <c r="AY22" s="89">
        <v>-30107.57</v>
      </c>
      <c r="AZ22" s="89">
        <v>-57388.479999999996</v>
      </c>
      <c r="BA22" s="89">
        <v>-39046.710000000006</v>
      </c>
      <c r="BB22" s="89">
        <v>-2457.3000000000047</v>
      </c>
      <c r="BC22" s="89">
        <v>-213054.15000000002</v>
      </c>
    </row>
    <row r="23" spans="2:55" x14ac:dyDescent="0.25">
      <c r="B23" s="14" t="s">
        <v>65</v>
      </c>
      <c r="C23" s="14"/>
      <c r="D23" s="14"/>
      <c r="E23" s="14"/>
      <c r="F23" s="14"/>
      <c r="G23" s="14"/>
      <c r="H23" s="14"/>
      <c r="I23" s="89">
        <v>14612.54</v>
      </c>
      <c r="J23" s="89">
        <v>-3130.5099999999984</v>
      </c>
      <c r="K23" s="89">
        <v>-16205.389999999992</v>
      </c>
      <c r="L23" s="89">
        <v>1327.0000000000005</v>
      </c>
      <c r="M23" s="89">
        <v>-6694.5999999999985</v>
      </c>
      <c r="N23" s="89">
        <v>3936.84</v>
      </c>
      <c r="O23" s="89">
        <v>1712.409999999998</v>
      </c>
      <c r="P23" s="89">
        <v>565.95999999999913</v>
      </c>
      <c r="Q23" s="89">
        <v>10135.42</v>
      </c>
      <c r="R23" s="89">
        <v>1934.1799999999985</v>
      </c>
      <c r="S23" s="89">
        <v>2280.7099999999991</v>
      </c>
      <c r="T23" s="89">
        <v>2057.2299999999996</v>
      </c>
      <c r="U23" s="89">
        <v>-2280.5000000000073</v>
      </c>
      <c r="V23" s="89">
        <v>907.47999999999593</v>
      </c>
      <c r="W23" s="89">
        <v>7454.2599999999984</v>
      </c>
      <c r="X23" s="89">
        <v>2530.8799999999974</v>
      </c>
      <c r="Y23" s="89">
        <v>96.750000000003638</v>
      </c>
      <c r="Z23" s="89">
        <v>1302.1100000000006</v>
      </c>
      <c r="AA23" s="89">
        <v>-6739.7799999999988</v>
      </c>
      <c r="AB23" s="89">
        <v>149.2300000000032</v>
      </c>
      <c r="AC23" s="89">
        <v>-281.54999999999927</v>
      </c>
      <c r="AD23" s="89">
        <v>3528.66</v>
      </c>
      <c r="AE23" s="89">
        <v>2937.46</v>
      </c>
      <c r="AF23" s="89">
        <v>-5810.5600000000013</v>
      </c>
      <c r="AG23" s="89">
        <v>5378.16</v>
      </c>
      <c r="AH23" s="89">
        <v>-5235.8999999999996</v>
      </c>
      <c r="AI23" s="89">
        <v>-4645.2100000000009</v>
      </c>
      <c r="AJ23" s="89">
        <v>-4764.3599999999997</v>
      </c>
      <c r="AK23" s="89">
        <v>-196.80000000000018</v>
      </c>
      <c r="AL23" s="89">
        <v>-13539.95</v>
      </c>
      <c r="AM23" s="89">
        <v>-4226.13</v>
      </c>
      <c r="AN23" s="89">
        <v>997.13000000000102</v>
      </c>
      <c r="AO23" s="89">
        <v>1028.7200000000012</v>
      </c>
      <c r="AP23" s="89">
        <v>-20568.8</v>
      </c>
      <c r="AQ23" s="89">
        <v>-2954.5400000000009</v>
      </c>
      <c r="AR23" s="89">
        <v>-6574.06</v>
      </c>
      <c r="AS23" s="89">
        <v>-5799.9100000000017</v>
      </c>
      <c r="AT23" s="89">
        <v>-16519.41</v>
      </c>
      <c r="AU23" s="89">
        <v>-13404.960000000001</v>
      </c>
      <c r="AV23" s="89">
        <v>-6274.0300000000007</v>
      </c>
      <c r="AW23" s="89">
        <v>-1913.7099999999991</v>
      </c>
      <c r="AX23" s="89">
        <v>-1089.8600000000006</v>
      </c>
      <c r="AY23" s="89">
        <v>7457.98</v>
      </c>
      <c r="AZ23" s="89">
        <v>-4510.0200000000004</v>
      </c>
      <c r="BA23" s="89">
        <v>1952.6000000000004</v>
      </c>
      <c r="BB23" s="89">
        <v>190.61999999999898</v>
      </c>
      <c r="BC23" s="89">
        <v>-911.63999999999942</v>
      </c>
    </row>
    <row r="24" spans="2:55" x14ac:dyDescent="0.25">
      <c r="B24" t="s">
        <v>132</v>
      </c>
      <c r="C24" s="89">
        <v>27740.41</v>
      </c>
      <c r="D24" s="89">
        <v>16425.490000000002</v>
      </c>
      <c r="E24" s="89">
        <v>5973.9100000000035</v>
      </c>
      <c r="F24" s="89">
        <v>6768.9</v>
      </c>
      <c r="G24" s="89">
        <v>-1690.2999999999993</v>
      </c>
      <c r="H24" s="89">
        <v>2013.75</v>
      </c>
      <c r="I24" s="89">
        <v>6724.4400000000005</v>
      </c>
      <c r="J24" s="89">
        <v>2914.2800000000025</v>
      </c>
      <c r="K24" s="89">
        <v>59400.5</v>
      </c>
      <c r="L24" s="89">
        <v>4843.3600000000006</v>
      </c>
      <c r="M24" s="89">
        <v>10960.490000000005</v>
      </c>
      <c r="N24" s="89">
        <v>9012.89</v>
      </c>
      <c r="O24" s="89">
        <v>-19500.019999999997</v>
      </c>
      <c r="P24" s="89">
        <v>4269.66</v>
      </c>
      <c r="Q24" s="89">
        <v>6075.18</v>
      </c>
      <c r="R24" s="89">
        <v>4563.8499999999985</v>
      </c>
      <c r="S24" s="89">
        <v>11299.43</v>
      </c>
      <c r="T24" s="89">
        <v>11194.61</v>
      </c>
      <c r="U24" s="89">
        <v>-951.36000000000058</v>
      </c>
      <c r="V24" s="89">
        <v>4131.2999999999993</v>
      </c>
      <c r="W24" s="89">
        <v>-4400.6399999999994</v>
      </c>
      <c r="X24" s="89">
        <v>-14690.74</v>
      </c>
      <c r="Y24" s="89">
        <v>-3899.6699999999983</v>
      </c>
      <c r="Z24" s="89">
        <v>-9877.86</v>
      </c>
      <c r="AA24" s="89">
        <v>8787.14</v>
      </c>
      <c r="AB24" s="89">
        <v>14041.82</v>
      </c>
      <c r="AC24" s="89">
        <v>-17629.739999999998</v>
      </c>
      <c r="AD24" s="89">
        <v>15839.6</v>
      </c>
      <c r="AE24" s="89">
        <v>3352.6900000000005</v>
      </c>
      <c r="AF24" s="89">
        <v>-2173.91</v>
      </c>
      <c r="AG24" s="89">
        <v>3741.0499999999993</v>
      </c>
      <c r="AH24" s="89">
        <v>11483.619999999981</v>
      </c>
      <c r="AI24" s="89">
        <v>-5109.4199999999983</v>
      </c>
      <c r="AJ24" s="89">
        <v>5678.8300000000309</v>
      </c>
      <c r="AK24" s="89">
        <v>-11673.849999999933</v>
      </c>
      <c r="AL24" s="89">
        <v>-310.75000000001455</v>
      </c>
      <c r="AM24" s="89">
        <v>-577.44999999999709</v>
      </c>
      <c r="AN24" s="89">
        <v>-3471.8100000000122</v>
      </c>
      <c r="AO24" s="89">
        <v>5375.379999999961</v>
      </c>
      <c r="AP24" s="89">
        <v>5447.1699999999691</v>
      </c>
      <c r="AQ24" s="89">
        <v>-4626.4899999999907</v>
      </c>
      <c r="AR24" s="89">
        <v>2858.0599999999686</v>
      </c>
      <c r="AS24" s="89">
        <v>-5562.5800000000163</v>
      </c>
      <c r="AT24" s="89">
        <v>-1680.7700000000041</v>
      </c>
      <c r="AU24" s="89">
        <v>2298.8499999999913</v>
      </c>
      <c r="AV24" s="89">
        <v>-3716.2700000000623</v>
      </c>
      <c r="AW24" s="89">
        <v>2193.8500000000058</v>
      </c>
      <c r="AX24" s="89">
        <v>21573.43</v>
      </c>
      <c r="AY24" s="89">
        <v>-5778.0099999999875</v>
      </c>
      <c r="AZ24" s="89">
        <v>0</v>
      </c>
      <c r="BA24" s="89">
        <v>-9942.41</v>
      </c>
      <c r="BB24" s="89">
        <v>-6514.7000000000007</v>
      </c>
      <c r="BC24" s="89">
        <v>-19921.930000000008</v>
      </c>
    </row>
    <row r="25" spans="2:55" x14ac:dyDescent="0.25">
      <c r="B25" t="s">
        <v>136</v>
      </c>
      <c r="I25" s="89"/>
      <c r="AH25" s="89">
        <v>-3129.7700000000009</v>
      </c>
      <c r="AI25" s="89">
        <v>-1423.0300000000007</v>
      </c>
      <c r="AJ25" s="89">
        <v>-1465.5200000000004</v>
      </c>
      <c r="AK25" s="89">
        <v>-826.05000000000018</v>
      </c>
      <c r="AL25" s="89">
        <v>148.35000000000036</v>
      </c>
      <c r="AM25" s="89">
        <v>353.15000000000009</v>
      </c>
      <c r="AN25" s="89">
        <v>-3853.2500000000018</v>
      </c>
      <c r="AO25" s="89">
        <v>4876.0900000000011</v>
      </c>
      <c r="AP25" s="89">
        <v>-2630.6799999999985</v>
      </c>
      <c r="AQ25" s="89">
        <v>-1429.4500000000007</v>
      </c>
      <c r="AR25" s="89">
        <v>-3560.5199999999986</v>
      </c>
      <c r="AS25" s="89">
        <v>-6398.7099999999991</v>
      </c>
      <c r="AT25" s="89">
        <v>-3974.9599999999991</v>
      </c>
      <c r="AU25" s="89">
        <v>-66.579999999999927</v>
      </c>
      <c r="AV25" s="89">
        <v>-2014.33</v>
      </c>
      <c r="AW25" s="89">
        <v>-1125.0999999999995</v>
      </c>
      <c r="AX25" s="89">
        <v>-1440.6100000000006</v>
      </c>
      <c r="AY25" s="89">
        <v>698.8799999999992</v>
      </c>
      <c r="AZ25" s="89">
        <v>-2676.8999999999996</v>
      </c>
      <c r="BA25" s="89">
        <v>-4233.5899999999992</v>
      </c>
      <c r="BB25" s="89">
        <v>2811.29</v>
      </c>
      <c r="BC25" s="89">
        <v>3173.6000000000004</v>
      </c>
    </row>
    <row r="26" spans="2:55" x14ac:dyDescent="0.25">
      <c r="I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</row>
    <row r="27" spans="2:55" x14ac:dyDescent="0.25">
      <c r="B27" s="14" t="s">
        <v>127</v>
      </c>
      <c r="C27" s="14"/>
      <c r="D27" s="14"/>
      <c r="E27" s="14"/>
      <c r="F27" s="14"/>
      <c r="G27" s="14"/>
      <c r="H27" s="14"/>
      <c r="I27" s="93"/>
    </row>
    <row r="28" spans="2:55" x14ac:dyDescent="0.25">
      <c r="B28" s="90" t="s">
        <v>62</v>
      </c>
      <c r="C28" s="93">
        <v>-2598.5499999999997</v>
      </c>
      <c r="D28" s="93">
        <v>6679.8899999999958</v>
      </c>
      <c r="E28" s="93">
        <v>2684.0799999999945</v>
      </c>
      <c r="F28" s="93">
        <v>3.580000000000382</v>
      </c>
      <c r="G28" s="93">
        <v>3096.8699999999972</v>
      </c>
      <c r="H28" s="93">
        <v>1026.98</v>
      </c>
      <c r="I28" s="93">
        <v>-6194.1399999999994</v>
      </c>
      <c r="J28" s="93">
        <v>-2800.8800000000047</v>
      </c>
      <c r="K28" s="93">
        <v>-6784.8999999999869</v>
      </c>
      <c r="L28" s="93">
        <v>-2671.6400000000012</v>
      </c>
      <c r="M28" s="93">
        <v>5835.3299999999945</v>
      </c>
      <c r="N28" s="93">
        <v>-184.80999999999767</v>
      </c>
      <c r="O28" s="93">
        <v>593.99999999999818</v>
      </c>
      <c r="P28" s="93">
        <v>-989.25999999999931</v>
      </c>
      <c r="Q28" s="93">
        <v>9611.7999999999956</v>
      </c>
      <c r="R28" s="93">
        <v>450.50000000000011</v>
      </c>
      <c r="S28" s="93">
        <v>-864.60000000000218</v>
      </c>
      <c r="T28" s="93">
        <v>12339.590000000011</v>
      </c>
      <c r="U28" s="93">
        <v>3914.6399999999976</v>
      </c>
      <c r="V28" s="93">
        <v>4247.2299999999814</v>
      </c>
      <c r="W28" s="93">
        <v>-285.38999999999578</v>
      </c>
      <c r="X28" s="93">
        <v>4840.1699999999964</v>
      </c>
      <c r="Y28" s="93">
        <v>10353.32</v>
      </c>
      <c r="Z28" s="93">
        <v>-345.52000000000407</v>
      </c>
      <c r="AA28" s="93">
        <v>-4973.510000000002</v>
      </c>
      <c r="AB28" s="93">
        <v>3154.1100000000006</v>
      </c>
      <c r="AC28" s="93">
        <v>-14452.34</v>
      </c>
      <c r="AD28" s="93">
        <v>3925.0599999999977</v>
      </c>
      <c r="AE28" s="93">
        <v>-100.23000000000047</v>
      </c>
      <c r="AF28" s="93">
        <v>-52.379999999999995</v>
      </c>
      <c r="AG28" s="93">
        <v>13.47</v>
      </c>
      <c r="AH28" s="93">
        <v>-2653.58</v>
      </c>
      <c r="AI28" s="93">
        <v>-11424.220000000001</v>
      </c>
      <c r="AJ28" s="93">
        <v>5673.22</v>
      </c>
      <c r="AK28" s="93">
        <v>4291.7300000000014</v>
      </c>
      <c r="AL28" s="93">
        <v>-982.31999999999607</v>
      </c>
      <c r="AM28" s="93">
        <v>4611.91</v>
      </c>
      <c r="AN28" s="93">
        <v>3484.1400000000031</v>
      </c>
      <c r="AO28" s="93">
        <v>-8469.1500000000015</v>
      </c>
      <c r="AP28" s="93">
        <v>-1566.0500000000029</v>
      </c>
      <c r="AQ28" s="93">
        <v>1948.0500000000029</v>
      </c>
      <c r="AR28" s="93">
        <v>2167.6699999999946</v>
      </c>
      <c r="AS28" s="93">
        <v>6825.7499999999927</v>
      </c>
      <c r="AT28" s="93">
        <v>-5240.5299999999988</v>
      </c>
      <c r="AU28" s="93">
        <v>2044.0199999999968</v>
      </c>
      <c r="AV28" s="93">
        <v>-5959.9700000000012</v>
      </c>
      <c r="AW28" s="93">
        <v>-3067.1000000000058</v>
      </c>
      <c r="AX28" s="93">
        <v>7130.6500000000051</v>
      </c>
      <c r="AY28" s="93">
        <v>-10344.199999999999</v>
      </c>
      <c r="AZ28" s="93">
        <v>3802.0800000000017</v>
      </c>
      <c r="BA28" s="93">
        <v>-4184.4700000000048</v>
      </c>
      <c r="BB28" s="93">
        <v>-5688.739999999998</v>
      </c>
      <c r="BC28" s="93">
        <v>7611.07</v>
      </c>
    </row>
    <row r="29" spans="2:55" x14ac:dyDescent="0.25">
      <c r="B29" s="90" t="s">
        <v>63</v>
      </c>
      <c r="C29" s="93">
        <v>189.77999999999997</v>
      </c>
      <c r="D29" s="93">
        <v>6829.5500000000029</v>
      </c>
      <c r="E29" s="93">
        <v>8875.2300000000014</v>
      </c>
      <c r="F29" s="93">
        <v>496.07000000000016</v>
      </c>
      <c r="G29" s="93">
        <v>-4044.75</v>
      </c>
      <c r="H29" s="93">
        <v>32</v>
      </c>
      <c r="I29" s="93">
        <v>4546.6600000000008</v>
      </c>
      <c r="J29" s="93">
        <v>-1083.1899999999996</v>
      </c>
      <c r="K29" s="93">
        <v>6246.6800000000021</v>
      </c>
      <c r="L29" s="93">
        <v>-2994.4300000000003</v>
      </c>
      <c r="M29" s="93">
        <v>8127.5599999999986</v>
      </c>
      <c r="N29" s="93">
        <v>10378.34</v>
      </c>
      <c r="O29" s="93">
        <v>-946.71999999999935</v>
      </c>
      <c r="P29" s="93">
        <v>672.62000000000035</v>
      </c>
      <c r="Q29" s="93">
        <v>9868.8499999999985</v>
      </c>
      <c r="R29" s="93">
        <v>0</v>
      </c>
      <c r="S29" s="93">
        <v>2900.5900000000038</v>
      </c>
      <c r="T29" s="93">
        <v>2240.8600000000006</v>
      </c>
      <c r="U29" s="93">
        <v>6452.9599999999982</v>
      </c>
      <c r="V29" s="93">
        <v>10374.829999999998</v>
      </c>
      <c r="W29" s="93">
        <v>6070.6299999999992</v>
      </c>
      <c r="X29" s="93">
        <v>4086.1800000000003</v>
      </c>
      <c r="Y29" s="93">
        <v>1813.3000000000002</v>
      </c>
      <c r="Z29" s="93">
        <v>61058.979999999952</v>
      </c>
      <c r="AA29" s="93">
        <v>1787.3600000000006</v>
      </c>
      <c r="AB29" s="93">
        <v>29562.310000000005</v>
      </c>
      <c r="AC29" s="93">
        <v>6942.3199999999924</v>
      </c>
      <c r="AD29" s="93">
        <v>9002.86</v>
      </c>
      <c r="AE29" s="93">
        <v>-2976.76</v>
      </c>
      <c r="AF29" s="93">
        <v>0</v>
      </c>
      <c r="AG29" s="93">
        <v>0</v>
      </c>
      <c r="AH29" s="93">
        <v>8171.1800000000039</v>
      </c>
      <c r="AI29" s="93">
        <v>39199.200000000012</v>
      </c>
      <c r="AJ29" s="93">
        <v>-4622.4799999999977</v>
      </c>
      <c r="AK29" s="93">
        <v>-7529.75</v>
      </c>
      <c r="AL29" s="93">
        <v>11955.010000000002</v>
      </c>
      <c r="AM29" s="93">
        <v>-9299.619999999999</v>
      </c>
      <c r="AN29" s="93">
        <v>52053.110000000008</v>
      </c>
      <c r="AO29" s="93">
        <v>-2810.4099999999889</v>
      </c>
      <c r="AP29" s="93">
        <v>-3182.0099999999802</v>
      </c>
      <c r="AQ29" s="93">
        <v>33971.02999999997</v>
      </c>
      <c r="AR29" s="93">
        <v>-33535.209999999992</v>
      </c>
      <c r="AS29" s="93">
        <v>20581.179999999997</v>
      </c>
      <c r="AT29" s="93">
        <v>-12081.21</v>
      </c>
      <c r="AU29" s="93">
        <v>11252.359999999957</v>
      </c>
      <c r="AV29" s="93">
        <v>-15078.570000000007</v>
      </c>
      <c r="AW29" s="93">
        <v>-2809.8099999999977</v>
      </c>
      <c r="AX29" s="93">
        <v>4742.0200000000041</v>
      </c>
      <c r="AY29" s="93">
        <v>-88367.849999999977</v>
      </c>
      <c r="AZ29" s="93">
        <v>-3809.1899999999987</v>
      </c>
      <c r="BA29" s="93">
        <v>6543.2599999999948</v>
      </c>
      <c r="BB29" s="93">
        <v>-15929.270000000004</v>
      </c>
      <c r="BC29" s="93">
        <v>21657.000000000015</v>
      </c>
    </row>
    <row r="30" spans="2:55" x14ac:dyDescent="0.25">
      <c r="B30" s="90" t="s">
        <v>64</v>
      </c>
      <c r="C30" s="93">
        <v>-223.44</v>
      </c>
      <c r="D30" s="93">
        <v>16413.879999999997</v>
      </c>
      <c r="E30" s="93">
        <v>33105.5</v>
      </c>
      <c r="F30" s="93">
        <v>0</v>
      </c>
      <c r="G30" s="93">
        <v>-1700.4499999999998</v>
      </c>
      <c r="H30" s="93">
        <v>9031.7500000000582</v>
      </c>
      <c r="I30" s="93">
        <v>0</v>
      </c>
      <c r="J30" s="93">
        <v>13023.02</v>
      </c>
      <c r="K30" s="93">
        <v>-3218.4300000000003</v>
      </c>
      <c r="L30" s="93">
        <v>0</v>
      </c>
      <c r="M30" s="93">
        <v>-5337.5</v>
      </c>
      <c r="N30" s="93">
        <v>35998.949999999997</v>
      </c>
      <c r="O30" s="93">
        <v>7168.7299999999814</v>
      </c>
      <c r="P30" s="93">
        <v>-4275.7099999999919</v>
      </c>
      <c r="Q30" s="93">
        <v>143039.29999999999</v>
      </c>
      <c r="R30" s="93">
        <v>18894.420000000158</v>
      </c>
      <c r="S30" s="93">
        <v>1640.1</v>
      </c>
      <c r="T30" s="93">
        <v>-10116.739999999998</v>
      </c>
      <c r="U30" s="93">
        <v>-14781.650000000001</v>
      </c>
      <c r="V30" s="93">
        <v>0</v>
      </c>
      <c r="W30" s="93">
        <v>0</v>
      </c>
      <c r="X30" s="93">
        <v>-4334.5600000000004</v>
      </c>
      <c r="Y30" s="93">
        <v>236.25</v>
      </c>
      <c r="Z30" s="93">
        <v>53749.659999999989</v>
      </c>
      <c r="AA30" s="93">
        <v>-48993.19</v>
      </c>
      <c r="AB30" s="93">
        <v>11930.220000000001</v>
      </c>
      <c r="AC30" s="93">
        <v>-87072.560000000027</v>
      </c>
      <c r="AD30" s="93">
        <v>8346.4999999999964</v>
      </c>
      <c r="AE30" s="93">
        <v>-2192.9000000000087</v>
      </c>
      <c r="AF30" s="93">
        <v>92326.790000000037</v>
      </c>
      <c r="AG30" s="93">
        <v>19178.169999999925</v>
      </c>
      <c r="AH30" s="93">
        <v>32695.11</v>
      </c>
      <c r="AI30" s="93">
        <v>91440.090000000026</v>
      </c>
      <c r="AJ30" s="93">
        <v>-9845.27</v>
      </c>
      <c r="AK30" s="93">
        <v>6367.6499999999978</v>
      </c>
      <c r="AL30" s="93">
        <v>31577.000000000007</v>
      </c>
      <c r="AM30" s="93">
        <v>4130.57</v>
      </c>
      <c r="AN30" s="93">
        <v>60289.990000000005</v>
      </c>
      <c r="AO30" s="93">
        <v>-35440.94</v>
      </c>
      <c r="AP30" s="93">
        <v>-3404.5199999999895</v>
      </c>
      <c r="AQ30" s="93">
        <v>-55613.469999999987</v>
      </c>
      <c r="AR30" s="93">
        <v>-48530.080000000016</v>
      </c>
      <c r="AS30" s="93">
        <v>7621.8399999999965</v>
      </c>
      <c r="AT30" s="93">
        <v>30171.009999999987</v>
      </c>
      <c r="AU30" s="93">
        <v>160878.65999999997</v>
      </c>
      <c r="AV30" s="93">
        <v>57395.660000000018</v>
      </c>
      <c r="AW30" s="93">
        <v>42144.54</v>
      </c>
      <c r="AX30" s="93">
        <v>-21438.710000000006</v>
      </c>
      <c r="AY30" s="93">
        <v>-7773.8099999999977</v>
      </c>
      <c r="AZ30" s="93">
        <v>98366.12</v>
      </c>
      <c r="BA30" s="93">
        <v>152588.07999999999</v>
      </c>
      <c r="BB30" s="93">
        <v>17432.85999999999</v>
      </c>
      <c r="BC30" s="93">
        <v>48979.379999999976</v>
      </c>
    </row>
    <row r="31" spans="2:55" x14ac:dyDescent="0.25">
      <c r="B31" s="182" t="s">
        <v>58</v>
      </c>
      <c r="C31" s="93">
        <v>-290.52</v>
      </c>
      <c r="D31" s="93">
        <v>4663.0300000000061</v>
      </c>
      <c r="E31" s="93">
        <v>8147.9699999999939</v>
      </c>
      <c r="F31" s="93">
        <v>83.059999999999945</v>
      </c>
      <c r="G31" s="93">
        <v>1378.7299999999996</v>
      </c>
      <c r="H31" s="93">
        <v>9598.5</v>
      </c>
      <c r="I31" s="93">
        <v>27282.829999999998</v>
      </c>
      <c r="J31" s="93">
        <v>-4601.25</v>
      </c>
      <c r="K31" s="93">
        <v>-22311.96</v>
      </c>
      <c r="L31" s="93">
        <v>3662.6900000000005</v>
      </c>
      <c r="M31" s="93">
        <v>6576.8800000000047</v>
      </c>
      <c r="N31" s="93">
        <v>12175</v>
      </c>
      <c r="O31" s="93">
        <v>-1394.6000000000004</v>
      </c>
      <c r="P31" s="93">
        <v>-2041.6000000000004</v>
      </c>
      <c r="Q31" s="93">
        <v>3429.5899999999983</v>
      </c>
      <c r="R31" s="93">
        <v>-13364.16</v>
      </c>
      <c r="S31" s="93">
        <v>-2973.2199999999975</v>
      </c>
      <c r="T31" s="93">
        <v>-470.84999999999854</v>
      </c>
      <c r="U31" s="93">
        <v>-5607.1100000000079</v>
      </c>
      <c r="V31" s="93">
        <v>3083.1800000000003</v>
      </c>
      <c r="W31" s="93">
        <v>7226.619999999999</v>
      </c>
      <c r="X31" s="93">
        <v>-3471.8700000000008</v>
      </c>
      <c r="Y31" s="93">
        <v>100.60000000000218</v>
      </c>
      <c r="Z31" s="93">
        <v>4918.9500000000007</v>
      </c>
      <c r="AA31" s="93">
        <v>-5719.3099999999977</v>
      </c>
      <c r="AB31" s="93">
        <v>7136.010000000002</v>
      </c>
      <c r="AC31" s="93">
        <v>2295.34</v>
      </c>
      <c r="AD31" s="93">
        <v>9376.2900000000009</v>
      </c>
      <c r="AE31" s="93">
        <v>426.72999999999956</v>
      </c>
      <c r="AF31" s="93">
        <v>-4806.7900000000009</v>
      </c>
      <c r="AG31" s="93">
        <v>-1981.9400000000023</v>
      </c>
      <c r="AH31" s="93">
        <v>-2024.2299999999996</v>
      </c>
      <c r="AI31" s="93">
        <v>4910.6799999999985</v>
      </c>
      <c r="AJ31" s="93">
        <v>-7143.4499999999989</v>
      </c>
      <c r="AK31" s="93">
        <v>-3183.51</v>
      </c>
      <c r="AL31" s="93">
        <v>-8320.6600000000017</v>
      </c>
      <c r="AM31" s="93">
        <v>-6655.98</v>
      </c>
      <c r="AN31" s="93">
        <v>6225.76</v>
      </c>
      <c r="AO31" s="93">
        <v>6512.25</v>
      </c>
      <c r="AP31" s="93">
        <v>-8733.2599999999984</v>
      </c>
      <c r="AQ31" s="93">
        <v>3846.2299999999977</v>
      </c>
      <c r="AR31" s="93">
        <v>-3555.3500000000004</v>
      </c>
      <c r="AS31" s="93">
        <v>-3020.6200000000008</v>
      </c>
      <c r="AT31" s="93">
        <v>-19072.8</v>
      </c>
      <c r="AU31" s="93">
        <v>-16435.060000000001</v>
      </c>
      <c r="AV31" s="93">
        <v>-3250.3600000000006</v>
      </c>
      <c r="AW31" s="93">
        <v>4535.9400000000005</v>
      </c>
      <c r="AX31" s="93">
        <v>5811.6399999999994</v>
      </c>
      <c r="AY31" s="93">
        <v>37731.839999999997</v>
      </c>
      <c r="AZ31" s="93">
        <v>954.59000000000378</v>
      </c>
      <c r="BA31" s="93">
        <v>4278.1700000000019</v>
      </c>
      <c r="BB31" s="93">
        <v>9837.1200000000008</v>
      </c>
      <c r="BC31" s="93">
        <v>-656.09000000000015</v>
      </c>
    </row>
    <row r="32" spans="2:55" x14ac:dyDescent="0.25">
      <c r="B32" t="s">
        <v>132</v>
      </c>
      <c r="R32" s="13"/>
    </row>
    <row r="33" spans="2:18" x14ac:dyDescent="0.25">
      <c r="R33" s="14"/>
    </row>
    <row r="37" spans="2:18" ht="15" customHeight="1" x14ac:dyDescent="0.25">
      <c r="D37" s="11" t="s">
        <v>137</v>
      </c>
      <c r="E37" s="11" t="s">
        <v>138</v>
      </c>
      <c r="K37" t="s">
        <v>139</v>
      </c>
      <c r="M37" t="s">
        <v>140</v>
      </c>
    </row>
    <row r="38" spans="2:18" x14ac:dyDescent="0.25">
      <c r="B38" s="11" t="s">
        <v>1</v>
      </c>
      <c r="D38" s="11">
        <v>1909033.3500000003</v>
      </c>
      <c r="E38" s="11">
        <v>2656400</v>
      </c>
      <c r="F38" s="154">
        <v>0.71865432540280094</v>
      </c>
      <c r="J38" t="s">
        <v>119</v>
      </c>
    </row>
    <row r="39" spans="2:18" x14ac:dyDescent="0.25">
      <c r="B39" t="s">
        <v>81</v>
      </c>
      <c r="C39" t="s">
        <v>18</v>
      </c>
      <c r="D39">
        <v>54204.600000000006</v>
      </c>
      <c r="E39">
        <v>93150</v>
      </c>
      <c r="F39" s="154">
        <v>0.58190660225442836</v>
      </c>
      <c r="J39" t="s">
        <v>141</v>
      </c>
      <c r="K39" s="12">
        <v>511381.11</v>
      </c>
      <c r="L39" s="12">
        <v>1029750</v>
      </c>
      <c r="M39" s="89">
        <v>518368.89</v>
      </c>
    </row>
    <row r="40" spans="2:18" x14ac:dyDescent="0.25">
      <c r="B40" t="s">
        <v>82</v>
      </c>
      <c r="C40" t="s">
        <v>19</v>
      </c>
      <c r="D40">
        <v>50986.53</v>
      </c>
      <c r="E40">
        <v>74050</v>
      </c>
      <c r="F40" s="154">
        <v>0.68854193112761641</v>
      </c>
      <c r="J40" t="s">
        <v>142</v>
      </c>
      <c r="K40" s="12">
        <v>193067.49</v>
      </c>
      <c r="L40" s="12">
        <v>244947.03999999998</v>
      </c>
      <c r="M40" s="89">
        <v>51879.549999999988</v>
      </c>
    </row>
    <row r="41" spans="2:18" x14ac:dyDescent="0.25">
      <c r="B41" t="s">
        <v>83</v>
      </c>
      <c r="C41" t="s">
        <v>20</v>
      </c>
      <c r="D41">
        <v>196057.31</v>
      </c>
      <c r="E41">
        <v>483200</v>
      </c>
      <c r="F41" s="154">
        <v>0.40574774420529802</v>
      </c>
      <c r="J41" t="s">
        <v>143</v>
      </c>
      <c r="K41" s="12">
        <v>674546.55999999994</v>
      </c>
      <c r="L41" s="12">
        <v>1372900</v>
      </c>
      <c r="M41" s="89">
        <v>698353.44000000006</v>
      </c>
    </row>
    <row r="42" spans="2:18" x14ac:dyDescent="0.25">
      <c r="B42" t="s">
        <v>84</v>
      </c>
      <c r="C42" t="s">
        <v>21</v>
      </c>
      <c r="D42">
        <v>197513.26</v>
      </c>
      <c r="E42">
        <v>148650</v>
      </c>
      <c r="F42" s="154">
        <v>1.3287134880591995</v>
      </c>
      <c r="J42" t="s">
        <v>144</v>
      </c>
      <c r="K42" s="12">
        <v>1234486.7900000003</v>
      </c>
      <c r="L42" s="12">
        <v>1283500</v>
      </c>
      <c r="M42" s="89">
        <v>49013.20999999973</v>
      </c>
    </row>
    <row r="43" spans="2:18" x14ac:dyDescent="0.25">
      <c r="B43" t="s">
        <v>85</v>
      </c>
      <c r="C43" t="s">
        <v>22</v>
      </c>
      <c r="D43">
        <v>57146.76</v>
      </c>
      <c r="E43">
        <v>75150</v>
      </c>
      <c r="F43" s="154">
        <v>0.76043592814371264</v>
      </c>
      <c r="J43" t="s">
        <v>145</v>
      </c>
      <c r="K43" s="12">
        <v>1324144.74</v>
      </c>
      <c r="L43" s="12">
        <v>1691400</v>
      </c>
      <c r="M43" s="89">
        <v>367255.26</v>
      </c>
    </row>
    <row r="44" spans="2:18" x14ac:dyDescent="0.25">
      <c r="B44" t="s">
        <v>86</v>
      </c>
      <c r="C44" t="s">
        <v>23</v>
      </c>
      <c r="D44">
        <v>63853.710000000006</v>
      </c>
      <c r="E44">
        <v>417250</v>
      </c>
      <c r="F44" s="154">
        <v>0.15303465548232476</v>
      </c>
      <c r="J44" t="s">
        <v>146</v>
      </c>
      <c r="K44" s="12">
        <v>1746002.7600000002</v>
      </c>
      <c r="L44" s="12">
        <v>2581300</v>
      </c>
      <c r="M44" s="89">
        <v>835297.23999999976</v>
      </c>
    </row>
    <row r="45" spans="2:18" x14ac:dyDescent="0.25">
      <c r="B45" t="s">
        <v>87</v>
      </c>
      <c r="C45" t="s">
        <v>24</v>
      </c>
      <c r="D45">
        <v>54784.39</v>
      </c>
      <c r="E45">
        <v>81450</v>
      </c>
      <c r="F45" s="154">
        <v>0.67261375076734187</v>
      </c>
      <c r="J45" t="s">
        <v>147</v>
      </c>
      <c r="K45">
        <v>0</v>
      </c>
    </row>
    <row r="46" spans="2:18" x14ac:dyDescent="0.25">
      <c r="B46" t="s">
        <v>88</v>
      </c>
      <c r="C46" t="s">
        <v>31</v>
      </c>
      <c r="D46">
        <v>24400.460000000003</v>
      </c>
      <c r="E46">
        <v>3900</v>
      </c>
      <c r="F46" s="154">
        <v>6.2565282051282054</v>
      </c>
    </row>
    <row r="47" spans="2:18" x14ac:dyDescent="0.25">
      <c r="B47" t="s">
        <v>89</v>
      </c>
      <c r="C47" t="s">
        <v>25</v>
      </c>
      <c r="D47">
        <v>115655.09999999999</v>
      </c>
      <c r="E47">
        <v>166250</v>
      </c>
      <c r="F47" s="218">
        <v>0.69566977443609013</v>
      </c>
    </row>
    <row r="48" spans="2:18" x14ac:dyDescent="0.25">
      <c r="B48" t="s">
        <v>90</v>
      </c>
      <c r="C48" t="s">
        <v>26</v>
      </c>
      <c r="D48">
        <v>103519.82</v>
      </c>
      <c r="E48">
        <v>73400</v>
      </c>
      <c r="F48" s="218">
        <v>1.4103517711171663</v>
      </c>
    </row>
    <row r="49" spans="2:6" x14ac:dyDescent="0.25">
      <c r="B49" t="s">
        <v>91</v>
      </c>
      <c r="C49" t="s">
        <v>27</v>
      </c>
      <c r="D49">
        <v>267877.58</v>
      </c>
      <c r="E49">
        <v>64700</v>
      </c>
      <c r="F49" s="218">
        <v>4.1403026275115922</v>
      </c>
    </row>
    <row r="50" spans="2:6" x14ac:dyDescent="0.25">
      <c r="B50" t="s">
        <v>92</v>
      </c>
      <c r="C50" t="s">
        <v>28</v>
      </c>
      <c r="D50">
        <v>356532.91000000003</v>
      </c>
      <c r="E50">
        <v>66650</v>
      </c>
      <c r="F50" s="218">
        <v>5.3493309827456867</v>
      </c>
    </row>
    <row r="51" spans="2:6" x14ac:dyDescent="0.25">
      <c r="B51" t="s">
        <v>93</v>
      </c>
      <c r="C51" t="s">
        <v>32</v>
      </c>
      <c r="D51">
        <v>19712.809999999998</v>
      </c>
      <c r="E51">
        <v>13200</v>
      </c>
      <c r="F51" s="218">
        <v>1.4933946969696967</v>
      </c>
    </row>
    <row r="52" spans="2:6" x14ac:dyDescent="0.25">
      <c r="B52" t="s">
        <v>94</v>
      </c>
      <c r="C52" t="s">
        <v>29</v>
      </c>
      <c r="D52">
        <v>312295.89</v>
      </c>
      <c r="E52">
        <v>849250</v>
      </c>
      <c r="F52" s="218">
        <v>0.36773139829261114</v>
      </c>
    </row>
    <row r="53" spans="2:6" x14ac:dyDescent="0.25">
      <c r="B53" t="s">
        <v>95</v>
      </c>
      <c r="C53" t="s">
        <v>30</v>
      </c>
      <c r="D53">
        <v>34492.22</v>
      </c>
      <c r="E53">
        <v>46150</v>
      </c>
      <c r="F53" s="218">
        <v>0.74739371614301198</v>
      </c>
    </row>
    <row r="54" spans="2:6" x14ac:dyDescent="0.25">
      <c r="B54" s="11" t="s">
        <v>0</v>
      </c>
      <c r="C54" s="11"/>
      <c r="D54" s="11">
        <v>704448.6</v>
      </c>
      <c r="E54" s="11">
        <v>1274697.04</v>
      </c>
      <c r="F54" s="154">
        <v>0.55264002182040051</v>
      </c>
    </row>
    <row r="55" spans="2:6" x14ac:dyDescent="0.25">
      <c r="B55" t="s">
        <v>71</v>
      </c>
      <c r="C55" t="s">
        <v>13</v>
      </c>
      <c r="D55">
        <v>681.98</v>
      </c>
      <c r="E55">
        <v>0</v>
      </c>
      <c r="F55" s="154" t="s">
        <v>125</v>
      </c>
    </row>
    <row r="56" spans="2:6" x14ac:dyDescent="0.25">
      <c r="B56" t="s">
        <v>72</v>
      </c>
      <c r="C56" t="s">
        <v>14</v>
      </c>
      <c r="D56">
        <v>7309.05</v>
      </c>
      <c r="E56">
        <v>0</v>
      </c>
      <c r="F56" s="154" t="s">
        <v>125</v>
      </c>
    </row>
    <row r="57" spans="2:6" x14ac:dyDescent="0.25">
      <c r="B57" t="s">
        <v>73</v>
      </c>
      <c r="C57" t="s">
        <v>15</v>
      </c>
      <c r="D57">
        <v>21842.489999999998</v>
      </c>
      <c r="E57">
        <v>3000</v>
      </c>
      <c r="F57" s="154">
        <v>7.280829999999999</v>
      </c>
    </row>
    <row r="58" spans="2:6" x14ac:dyDescent="0.25">
      <c r="B58" t="s">
        <v>74</v>
      </c>
      <c r="C58" t="s">
        <v>16</v>
      </c>
      <c r="D58">
        <v>90307.57</v>
      </c>
      <c r="E58">
        <v>160000</v>
      </c>
      <c r="F58" s="154">
        <v>0.56442231250000008</v>
      </c>
    </row>
    <row r="59" spans="2:6" x14ac:dyDescent="0.25">
      <c r="B59" t="s">
        <v>75</v>
      </c>
      <c r="C59" t="s">
        <v>17</v>
      </c>
      <c r="D59">
        <v>72926.400000000009</v>
      </c>
      <c r="E59">
        <v>81947.039999999994</v>
      </c>
      <c r="F59" s="154">
        <v>0.8899211002618278</v>
      </c>
    </row>
    <row r="60" spans="2:6" x14ac:dyDescent="0.25">
      <c r="B60" t="s">
        <v>76</v>
      </c>
      <c r="C60" t="s">
        <v>8</v>
      </c>
      <c r="D60">
        <v>50115.92</v>
      </c>
      <c r="E60">
        <v>109750</v>
      </c>
      <c r="F60" s="154">
        <v>0.45663708428246014</v>
      </c>
    </row>
    <row r="61" spans="2:6" x14ac:dyDescent="0.25">
      <c r="B61" t="s">
        <v>77</v>
      </c>
      <c r="C61" t="s">
        <v>9</v>
      </c>
      <c r="D61">
        <v>121950.95</v>
      </c>
      <c r="E61">
        <v>432500</v>
      </c>
      <c r="F61" s="154">
        <v>0.28196751445086704</v>
      </c>
    </row>
    <row r="62" spans="2:6" x14ac:dyDescent="0.25">
      <c r="B62" t="s">
        <v>78</v>
      </c>
      <c r="C62" t="s">
        <v>10</v>
      </c>
      <c r="D62">
        <v>65021.440000000002</v>
      </c>
      <c r="E62">
        <v>69950</v>
      </c>
      <c r="F62" s="154">
        <v>0.92954167262330234</v>
      </c>
    </row>
    <row r="63" spans="2:6" x14ac:dyDescent="0.25">
      <c r="B63" t="s">
        <v>79</v>
      </c>
      <c r="C63" t="s">
        <v>11</v>
      </c>
      <c r="D63">
        <v>72478.759999999995</v>
      </c>
      <c r="E63">
        <v>241850</v>
      </c>
      <c r="F63" s="154">
        <v>0.29968476328302662</v>
      </c>
    </row>
    <row r="64" spans="2:6" x14ac:dyDescent="0.25">
      <c r="B64" t="s">
        <v>80</v>
      </c>
      <c r="C64" t="s">
        <v>12</v>
      </c>
      <c r="D64">
        <v>201814.04</v>
      </c>
      <c r="E64">
        <v>175700</v>
      </c>
      <c r="F64" s="154">
        <v>1.1486285714285716</v>
      </c>
    </row>
    <row r="65" spans="2:11" x14ac:dyDescent="0.25">
      <c r="B65" s="11" t="s">
        <v>120</v>
      </c>
      <c r="D65" s="11">
        <v>1324144.74</v>
      </c>
      <c r="E65" s="11">
        <v>1691400</v>
      </c>
      <c r="F65" s="154">
        <v>0.78286906704505144</v>
      </c>
    </row>
    <row r="66" spans="2:11" x14ac:dyDescent="0.25">
      <c r="B66" s="102" t="s">
        <v>97</v>
      </c>
      <c r="C66" t="s">
        <v>35</v>
      </c>
      <c r="D66">
        <v>117642.98999999999</v>
      </c>
      <c r="E66">
        <v>156099.99999999997</v>
      </c>
      <c r="F66" s="154">
        <v>0.75363862908392065</v>
      </c>
      <c r="H66" s="102"/>
      <c r="I66" s="292"/>
      <c r="J66" s="293"/>
      <c r="K66" s="231"/>
    </row>
    <row r="67" spans="2:11" x14ac:dyDescent="0.25">
      <c r="B67" s="102" t="s">
        <v>98</v>
      </c>
      <c r="C67" t="s">
        <v>34</v>
      </c>
      <c r="D67">
        <v>56738.900000000009</v>
      </c>
      <c r="E67">
        <v>162599.99999999997</v>
      </c>
      <c r="F67" s="154">
        <v>0.34894772447724487</v>
      </c>
      <c r="H67" s="102"/>
      <c r="I67" s="294"/>
      <c r="J67" s="293"/>
      <c r="K67" s="231"/>
    </row>
    <row r="68" spans="2:11" x14ac:dyDescent="0.25">
      <c r="B68" s="102" t="s">
        <v>99</v>
      </c>
      <c r="C68" t="s">
        <v>36</v>
      </c>
      <c r="D68">
        <v>60917.090000000004</v>
      </c>
      <c r="E68">
        <v>95099.999999999985</v>
      </c>
      <c r="F68" s="154">
        <v>0.64055825446898018</v>
      </c>
      <c r="H68" s="102"/>
      <c r="I68" s="294"/>
      <c r="J68" s="293"/>
      <c r="K68" s="231"/>
    </row>
    <row r="69" spans="2:11" x14ac:dyDescent="0.25">
      <c r="B69" s="102" t="s">
        <v>100</v>
      </c>
      <c r="C69" t="s">
        <v>37</v>
      </c>
      <c r="D69">
        <v>60906.099999999991</v>
      </c>
      <c r="E69">
        <v>192700</v>
      </c>
      <c r="F69" s="154">
        <v>0.31606694343539177</v>
      </c>
      <c r="H69" s="102"/>
      <c r="I69" s="294"/>
      <c r="J69" s="293"/>
      <c r="K69" s="231"/>
    </row>
    <row r="70" spans="2:11" x14ac:dyDescent="0.25">
      <c r="B70" s="102" t="s">
        <v>101</v>
      </c>
      <c r="C70" t="s">
        <v>39</v>
      </c>
      <c r="D70">
        <v>12950.29</v>
      </c>
      <c r="E70">
        <v>45150</v>
      </c>
      <c r="F70" s="154">
        <v>0.28682812846068662</v>
      </c>
      <c r="H70" s="102"/>
      <c r="I70" s="294"/>
      <c r="J70" s="293"/>
      <c r="K70" s="231"/>
    </row>
    <row r="71" spans="2:11" x14ac:dyDescent="0.25">
      <c r="B71" s="102" t="s">
        <v>102</v>
      </c>
      <c r="C71" t="s">
        <v>38</v>
      </c>
      <c r="D71">
        <v>40020.149999999994</v>
      </c>
      <c r="E71">
        <v>165100</v>
      </c>
      <c r="F71" s="154">
        <v>0.24239945487583278</v>
      </c>
      <c r="H71" s="102"/>
      <c r="I71" s="294"/>
      <c r="J71" s="293"/>
      <c r="K71" s="231"/>
    </row>
    <row r="72" spans="2:11" x14ac:dyDescent="0.25">
      <c r="B72" s="102" t="s">
        <v>103</v>
      </c>
      <c r="C72" t="s">
        <v>33</v>
      </c>
      <c r="D72">
        <v>283929.78000000003</v>
      </c>
      <c r="E72">
        <v>206750</v>
      </c>
      <c r="F72" s="154">
        <v>1.3733000241837969</v>
      </c>
      <c r="H72" s="102"/>
      <c r="I72" s="294"/>
      <c r="J72" s="293"/>
      <c r="K72" s="231"/>
    </row>
    <row r="73" spans="2:11" x14ac:dyDescent="0.25">
      <c r="B73" s="102" t="s">
        <v>104</v>
      </c>
      <c r="C73" t="s">
        <v>40</v>
      </c>
      <c r="D73">
        <v>691039.44</v>
      </c>
      <c r="E73">
        <v>667900.00000000012</v>
      </c>
      <c r="F73" s="154">
        <v>1.0346450666267402</v>
      </c>
      <c r="H73" s="102"/>
      <c r="I73" s="294"/>
      <c r="J73" s="293"/>
      <c r="K73" s="231"/>
    </row>
    <row r="74" spans="2:11" x14ac:dyDescent="0.25">
      <c r="B74" s="11" t="s">
        <v>121</v>
      </c>
      <c r="D74" s="11">
        <v>1746002.7600000002</v>
      </c>
      <c r="E74" s="11">
        <v>2581300</v>
      </c>
      <c r="F74" s="154">
        <v>0.67640443187541166</v>
      </c>
      <c r="H74" s="295"/>
      <c r="I74" s="296"/>
      <c r="J74" s="297"/>
      <c r="K74" s="231"/>
    </row>
    <row r="75" spans="2:11" x14ac:dyDescent="0.25">
      <c r="B75" s="102" t="s">
        <v>106</v>
      </c>
      <c r="C75" t="s">
        <v>41</v>
      </c>
      <c r="D75">
        <v>168641.13</v>
      </c>
      <c r="E75">
        <v>230300</v>
      </c>
      <c r="F75" s="154">
        <v>0.73226717325227964</v>
      </c>
      <c r="H75" s="102"/>
      <c r="I75" s="292"/>
      <c r="J75" s="293"/>
      <c r="K75" s="231"/>
    </row>
    <row r="76" spans="2:11" x14ac:dyDescent="0.25">
      <c r="B76" s="102" t="s">
        <v>107</v>
      </c>
      <c r="C76" t="s">
        <v>42</v>
      </c>
      <c r="D76">
        <v>240416.65</v>
      </c>
      <c r="E76">
        <v>308400.00000000006</v>
      </c>
      <c r="F76" s="154">
        <v>0.77956112191958482</v>
      </c>
      <c r="H76" s="102"/>
      <c r="I76" s="292"/>
      <c r="J76" s="293"/>
      <c r="K76" s="231"/>
    </row>
    <row r="77" spans="2:11" x14ac:dyDescent="0.25">
      <c r="B77" s="102" t="s">
        <v>108</v>
      </c>
      <c r="C77" t="s">
        <v>47</v>
      </c>
      <c r="D77">
        <v>210945.07</v>
      </c>
      <c r="E77">
        <v>203499.99999999997</v>
      </c>
      <c r="F77" s="154">
        <v>1.0365851105651107</v>
      </c>
      <c r="H77" s="102"/>
      <c r="I77" s="292"/>
      <c r="J77" s="293"/>
      <c r="K77" s="231"/>
    </row>
    <row r="78" spans="2:11" x14ac:dyDescent="0.25">
      <c r="B78" s="102" t="s">
        <v>109</v>
      </c>
      <c r="C78" t="s">
        <v>44</v>
      </c>
      <c r="D78">
        <v>270187.92000000004</v>
      </c>
      <c r="E78">
        <v>321900.00000000006</v>
      </c>
      <c r="F78" s="154">
        <v>0.83935358807082938</v>
      </c>
      <c r="H78" s="102"/>
      <c r="I78" s="292"/>
      <c r="J78" s="293"/>
      <c r="K78" s="231"/>
    </row>
    <row r="79" spans="2:11" x14ac:dyDescent="0.25">
      <c r="B79" s="102" t="s">
        <v>110</v>
      </c>
      <c r="C79" t="s">
        <v>48</v>
      </c>
      <c r="D79">
        <v>149027.59</v>
      </c>
      <c r="E79">
        <v>502499.95999999996</v>
      </c>
      <c r="F79" s="154">
        <v>0.29657234201570881</v>
      </c>
      <c r="H79" s="102"/>
      <c r="I79" s="292"/>
      <c r="J79" s="293"/>
      <c r="K79" s="231"/>
    </row>
    <row r="80" spans="2:11" x14ac:dyDescent="0.25">
      <c r="B80" s="102" t="s">
        <v>111</v>
      </c>
      <c r="C80" t="s">
        <v>45</v>
      </c>
      <c r="D80">
        <v>241453.75</v>
      </c>
      <c r="E80">
        <v>225200</v>
      </c>
      <c r="F80" s="154">
        <v>1.0721747335701599</v>
      </c>
      <c r="H80" s="102"/>
      <c r="I80" s="292"/>
      <c r="J80" s="293"/>
      <c r="K80" s="231"/>
    </row>
    <row r="81" spans="2:11" x14ac:dyDescent="0.25">
      <c r="B81" s="102" t="s">
        <v>112</v>
      </c>
      <c r="C81" t="s">
        <v>46</v>
      </c>
      <c r="D81">
        <v>98452.85</v>
      </c>
      <c r="E81">
        <v>544900</v>
      </c>
      <c r="F81" s="154">
        <v>0.1806805835933199</v>
      </c>
      <c r="H81" s="102"/>
      <c r="I81" s="292"/>
      <c r="J81" s="293"/>
      <c r="K81" s="231"/>
    </row>
    <row r="82" spans="2:11" x14ac:dyDescent="0.25">
      <c r="B82" s="102" t="s">
        <v>113</v>
      </c>
      <c r="C82" t="s">
        <v>43</v>
      </c>
      <c r="D82">
        <v>366877.80000000005</v>
      </c>
      <c r="E82">
        <v>244600.04000000007</v>
      </c>
      <c r="F82" s="154">
        <v>1.4999089942912518</v>
      </c>
      <c r="H82" s="102"/>
      <c r="I82" s="292"/>
      <c r="J82" s="293"/>
      <c r="K82" s="231"/>
    </row>
  </sheetData>
  <conditionalFormatting sqref="C28:BC31">
    <cfRule type="cellIs" dxfId="37" priority="1" operator="lessThan">
      <formula>0</formula>
    </cfRule>
  </conditionalFormatting>
  <conditionalFormatting sqref="I24:I27">
    <cfRule type="cellIs" dxfId="36" priority="2" operator="lessThan">
      <formula>0</formula>
    </cfRule>
  </conditionalFormatting>
  <conditionalFormatting sqref="I20:BC20 AI20:BC23 I21:AH23 C22:H22 C24:H24 J24:BC24 I24:I26 AH25:BC26">
    <cfRule type="cellIs" dxfId="35" priority="4" operator="greaterThan">
      <formula>0</formula>
    </cfRule>
  </conditionalFormatting>
  <conditionalFormatting sqref="I20:BC20 AI20:BC23 I21:AH23 C22:H22 C24:H24 J24:BC24 AH25:BC26">
    <cfRule type="cellIs" dxfId="34" priority="5" operator="lessThan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138E-358E-4734-A226-A902FF9C2076}">
  <dimension ref="A2:BC80"/>
  <sheetViews>
    <sheetView workbookViewId="0">
      <pane xSplit="2" topLeftCell="C1" activePane="topRight" state="frozen"/>
      <selection pane="topRight"/>
    </sheetView>
  </sheetViews>
  <sheetFormatPr defaultColWidth="9.140625" defaultRowHeight="15" x14ac:dyDescent="0.25"/>
  <cols>
    <col min="1" max="1" width="9.140625" style="258"/>
    <col min="2" max="2" width="21.7109375" style="258" bestFit="1" customWidth="1"/>
    <col min="3" max="10" width="9.140625" style="258" customWidth="1"/>
    <col min="11" max="12" width="10.5703125" style="258" customWidth="1"/>
    <col min="13" max="49" width="9.140625" style="258" customWidth="1"/>
    <col min="50" max="16384" width="9.140625" style="258"/>
  </cols>
  <sheetData>
    <row r="2" spans="1:55" x14ac:dyDescent="0.25">
      <c r="B2" s="259" t="s">
        <v>124</v>
      </c>
      <c r="C2" s="281" t="s">
        <v>2</v>
      </c>
      <c r="D2" s="281" t="s">
        <v>3</v>
      </c>
      <c r="E2" s="281" t="s">
        <v>4</v>
      </c>
      <c r="F2" s="281" t="s">
        <v>5</v>
      </c>
      <c r="G2" s="281" t="s">
        <v>6</v>
      </c>
      <c r="H2" s="281" t="s">
        <v>7</v>
      </c>
      <c r="I2" s="259" t="s">
        <v>8</v>
      </c>
      <c r="J2" s="259" t="s">
        <v>9</v>
      </c>
      <c r="K2" s="259" t="s">
        <v>10</v>
      </c>
      <c r="L2" s="259" t="s">
        <v>114</v>
      </c>
      <c r="M2" s="259" t="s">
        <v>12</v>
      </c>
      <c r="N2" s="259" t="s">
        <v>13</v>
      </c>
      <c r="O2" s="259" t="s">
        <v>14</v>
      </c>
      <c r="P2" s="259" t="s">
        <v>15</v>
      </c>
      <c r="Q2" s="259" t="s">
        <v>16</v>
      </c>
      <c r="R2" s="259" t="s">
        <v>17</v>
      </c>
      <c r="S2" s="259" t="s">
        <v>18</v>
      </c>
      <c r="T2" s="259" t="s">
        <v>19</v>
      </c>
      <c r="U2" s="259" t="s">
        <v>20</v>
      </c>
      <c r="V2" s="259" t="s">
        <v>21</v>
      </c>
      <c r="W2" s="259" t="s">
        <v>22</v>
      </c>
      <c r="X2" s="259" t="s">
        <v>23</v>
      </c>
      <c r="Y2" s="259" t="s">
        <v>24</v>
      </c>
      <c r="Z2" s="259" t="s">
        <v>25</v>
      </c>
      <c r="AA2" s="259" t="s">
        <v>26</v>
      </c>
      <c r="AB2" s="259" t="s">
        <v>27</v>
      </c>
      <c r="AC2" s="259" t="s">
        <v>28</v>
      </c>
      <c r="AD2" s="259" t="s">
        <v>29</v>
      </c>
      <c r="AE2" s="259" t="s">
        <v>30</v>
      </c>
      <c r="AF2" s="259" t="s">
        <v>31</v>
      </c>
      <c r="AG2" s="259" t="s">
        <v>32</v>
      </c>
      <c r="AH2" s="282" t="s">
        <v>34</v>
      </c>
      <c r="AI2" s="282" t="s">
        <v>35</v>
      </c>
      <c r="AJ2" s="282" t="s">
        <v>36</v>
      </c>
      <c r="AK2" s="282" t="s">
        <v>37</v>
      </c>
      <c r="AL2" s="282" t="s">
        <v>38</v>
      </c>
      <c r="AM2" s="282" t="s">
        <v>39</v>
      </c>
      <c r="AN2" s="282" t="s">
        <v>33</v>
      </c>
      <c r="AO2" s="282" t="s">
        <v>40</v>
      </c>
      <c r="AP2" s="282" t="s">
        <v>41</v>
      </c>
      <c r="AQ2" s="282" t="s">
        <v>42</v>
      </c>
      <c r="AR2" s="282" t="s">
        <v>43</v>
      </c>
      <c r="AS2" s="282" t="s">
        <v>44</v>
      </c>
      <c r="AT2" s="282" t="s">
        <v>45</v>
      </c>
      <c r="AU2" s="282" t="s">
        <v>46</v>
      </c>
      <c r="AV2" s="282" t="s">
        <v>47</v>
      </c>
      <c r="AW2" s="282" t="s">
        <v>48</v>
      </c>
      <c r="AX2" s="282" t="s">
        <v>49</v>
      </c>
      <c r="AY2" s="282" t="s">
        <v>50</v>
      </c>
      <c r="AZ2" s="282" t="s">
        <v>51</v>
      </c>
      <c r="BA2" s="282" t="s">
        <v>52</v>
      </c>
      <c r="BB2" s="282" t="s">
        <v>53</v>
      </c>
      <c r="BC2" s="282" t="s">
        <v>54</v>
      </c>
    </row>
    <row r="3" spans="1:55" x14ac:dyDescent="0.25">
      <c r="B3" s="283" t="s">
        <v>62</v>
      </c>
      <c r="C3" s="291">
        <v>8289.1899999999987</v>
      </c>
      <c r="D3" s="284">
        <v>34394.529999999992</v>
      </c>
      <c r="E3" s="284">
        <v>66293.290000000008</v>
      </c>
      <c r="F3" s="284">
        <v>2639.1400000000003</v>
      </c>
      <c r="G3" s="284">
        <v>5376.4000000000005</v>
      </c>
      <c r="H3" s="284">
        <v>7761.53</v>
      </c>
      <c r="I3" s="260">
        <v>22271.67</v>
      </c>
      <c r="J3" s="260">
        <v>41279.250000000015</v>
      </c>
      <c r="K3" s="260">
        <v>66887.23</v>
      </c>
      <c r="L3" s="260">
        <v>18914.939999999999</v>
      </c>
      <c r="M3" s="260">
        <v>30823.829999999998</v>
      </c>
      <c r="N3" s="260">
        <v>10684.329999999998</v>
      </c>
      <c r="O3" s="260">
        <v>1482.97</v>
      </c>
      <c r="P3" s="260">
        <v>1306.32</v>
      </c>
      <c r="Q3" s="260">
        <v>12191.519999999999</v>
      </c>
      <c r="R3" s="260">
        <v>12.97</v>
      </c>
      <c r="S3" s="261">
        <v>19629.000000000004</v>
      </c>
      <c r="T3" s="261">
        <v>17326.380000000005</v>
      </c>
      <c r="U3" s="261">
        <v>18666.87</v>
      </c>
      <c r="V3" s="261">
        <v>37792.840000000011</v>
      </c>
      <c r="W3" s="261">
        <v>18729.520000000004</v>
      </c>
      <c r="X3" s="261">
        <v>13488.560000000003</v>
      </c>
      <c r="Y3" s="261">
        <v>20895.410000000003</v>
      </c>
      <c r="Z3" s="261">
        <v>29756.61</v>
      </c>
      <c r="AA3" s="261">
        <v>33810.879999999997</v>
      </c>
      <c r="AB3" s="261">
        <v>21556.12</v>
      </c>
      <c r="AC3" s="261">
        <v>30684.080000000002</v>
      </c>
      <c r="AD3" s="261">
        <v>25495.910000000003</v>
      </c>
      <c r="AE3" s="261">
        <v>10875.800000000001</v>
      </c>
      <c r="AF3" s="261">
        <v>292.88</v>
      </c>
      <c r="AG3" s="261">
        <v>17.64</v>
      </c>
      <c r="AH3" s="287">
        <v>10744</v>
      </c>
      <c r="AI3" s="287">
        <v>28592</v>
      </c>
      <c r="AJ3" s="287">
        <v>6555</v>
      </c>
      <c r="AK3" s="287">
        <v>8848</v>
      </c>
      <c r="AL3" s="287">
        <v>26584</v>
      </c>
      <c r="AM3" s="287">
        <v>11155</v>
      </c>
      <c r="AN3" s="287">
        <v>20917</v>
      </c>
      <c r="AO3" s="287">
        <v>19105</v>
      </c>
      <c r="AP3" s="287">
        <v>19358</v>
      </c>
      <c r="AQ3" s="287">
        <v>32702</v>
      </c>
      <c r="AR3" s="287">
        <v>17064</v>
      </c>
      <c r="AS3" s="287">
        <v>25838</v>
      </c>
      <c r="AT3" s="287">
        <v>27831</v>
      </c>
      <c r="AU3" s="287">
        <v>15443</v>
      </c>
      <c r="AV3" s="287">
        <v>26252</v>
      </c>
      <c r="AW3" s="287">
        <v>15929</v>
      </c>
      <c r="AX3" s="260">
        <v>21317</v>
      </c>
      <c r="AY3" s="260">
        <v>21349</v>
      </c>
      <c r="AZ3" s="260">
        <v>-1024</v>
      </c>
      <c r="BA3" s="260">
        <v>17326</v>
      </c>
      <c r="BB3" s="260">
        <v>12358</v>
      </c>
      <c r="BC3" s="260">
        <v>18915</v>
      </c>
    </row>
    <row r="4" spans="1:55" x14ac:dyDescent="0.25">
      <c r="B4" s="283" t="s">
        <v>63</v>
      </c>
      <c r="C4" s="284">
        <v>606.51</v>
      </c>
      <c r="D4" s="284">
        <v>5100.5199999999986</v>
      </c>
      <c r="E4" s="284">
        <v>25191.11</v>
      </c>
      <c r="F4" s="284">
        <v>2022.1100000000001</v>
      </c>
      <c r="G4" s="284">
        <v>6865.4000000000005</v>
      </c>
      <c r="H4" s="284">
        <v>38.700000000000003</v>
      </c>
      <c r="I4" s="260">
        <v>9081.58</v>
      </c>
      <c r="J4" s="260">
        <v>2801.91</v>
      </c>
      <c r="K4" s="260">
        <v>8890.6</v>
      </c>
      <c r="L4" s="260">
        <v>10021.6</v>
      </c>
      <c r="M4" s="260">
        <v>2459.31</v>
      </c>
      <c r="N4" s="260">
        <v>20472.93</v>
      </c>
      <c r="O4" s="260">
        <v>15202.56</v>
      </c>
      <c r="P4" s="260">
        <v>7092.41</v>
      </c>
      <c r="Q4" s="260">
        <v>48080.240000000005</v>
      </c>
      <c r="R4" s="260">
        <v>0</v>
      </c>
      <c r="S4" s="261">
        <v>26880.81</v>
      </c>
      <c r="T4" s="261">
        <v>3472.52</v>
      </c>
      <c r="U4" s="261">
        <v>4945.9400000000005</v>
      </c>
      <c r="V4" s="261">
        <v>4688.58</v>
      </c>
      <c r="W4" s="261">
        <v>3795.4</v>
      </c>
      <c r="X4" s="261">
        <v>13577.509999999998</v>
      </c>
      <c r="Y4" s="261">
        <v>9583.82</v>
      </c>
      <c r="Z4" s="261">
        <v>88193.61</v>
      </c>
      <c r="AA4" s="261">
        <v>30259.22</v>
      </c>
      <c r="AB4" s="261">
        <v>28516.36</v>
      </c>
      <c r="AC4" s="261">
        <v>29430.190000000002</v>
      </c>
      <c r="AD4" s="261">
        <v>14802.279999999999</v>
      </c>
      <c r="AE4" s="261">
        <v>9574.5099999999984</v>
      </c>
      <c r="AF4" s="261">
        <v>0</v>
      </c>
      <c r="AG4" s="261">
        <v>0</v>
      </c>
      <c r="AH4" s="287">
        <v>26864</v>
      </c>
      <c r="AI4" s="287">
        <v>79473</v>
      </c>
      <c r="AJ4" s="287">
        <v>16359</v>
      </c>
      <c r="AK4" s="287">
        <v>35708</v>
      </c>
      <c r="AL4" s="287">
        <v>28002</v>
      </c>
      <c r="AM4" s="287">
        <v>26736</v>
      </c>
      <c r="AN4" s="287">
        <v>19977</v>
      </c>
      <c r="AO4" s="287">
        <v>86532</v>
      </c>
      <c r="AP4" s="287">
        <v>56274</v>
      </c>
      <c r="AQ4" s="287">
        <v>11413</v>
      </c>
      <c r="AR4" s="287">
        <v>92840</v>
      </c>
      <c r="AS4" s="287">
        <v>29229</v>
      </c>
      <c r="AT4" s="287">
        <v>60130</v>
      </c>
      <c r="AU4" s="287">
        <v>142000</v>
      </c>
      <c r="AV4" s="287">
        <v>78392</v>
      </c>
      <c r="AW4" s="287">
        <v>78773</v>
      </c>
      <c r="AX4" s="260">
        <v>46001</v>
      </c>
      <c r="AY4" s="260">
        <v>229716</v>
      </c>
      <c r="AZ4" s="260">
        <v>-2265</v>
      </c>
      <c r="BA4" s="260">
        <v>26304</v>
      </c>
      <c r="BB4" s="260">
        <v>59715</v>
      </c>
      <c r="BC4" s="260">
        <v>73147</v>
      </c>
    </row>
    <row r="5" spans="1:55" x14ac:dyDescent="0.25">
      <c r="B5" s="283" t="s">
        <v>64</v>
      </c>
      <c r="C5" s="284">
        <v>52.5</v>
      </c>
      <c r="D5" s="284">
        <v>22027.86</v>
      </c>
      <c r="E5" s="284">
        <v>17392</v>
      </c>
      <c r="F5" s="284">
        <v>52.5</v>
      </c>
      <c r="G5" s="284">
        <v>7949.13</v>
      </c>
      <c r="H5" s="284">
        <v>464464.77</v>
      </c>
      <c r="I5" s="260">
        <v>52.5</v>
      </c>
      <c r="J5" s="260">
        <v>1715.65</v>
      </c>
      <c r="K5" s="260">
        <v>7482.57</v>
      </c>
      <c r="L5" s="260">
        <v>0</v>
      </c>
      <c r="M5" s="260">
        <v>9080.18</v>
      </c>
      <c r="N5" s="260">
        <v>78496.14</v>
      </c>
      <c r="O5" s="260">
        <v>88343.360000000001</v>
      </c>
      <c r="P5" s="260">
        <v>104156.98000000001</v>
      </c>
      <c r="Q5" s="260">
        <v>182056.58</v>
      </c>
      <c r="R5" s="260">
        <v>541207.35000000009</v>
      </c>
      <c r="S5" s="261">
        <v>0</v>
      </c>
      <c r="T5" s="261">
        <v>537.80999999999995</v>
      </c>
      <c r="U5" s="261">
        <v>75776.88</v>
      </c>
      <c r="V5" s="261">
        <v>52.5</v>
      </c>
      <c r="W5" s="261">
        <v>123.9</v>
      </c>
      <c r="X5" s="261">
        <v>52.5</v>
      </c>
      <c r="Y5" s="261">
        <v>278.25</v>
      </c>
      <c r="Z5" s="261">
        <v>174302.79</v>
      </c>
      <c r="AA5" s="261">
        <v>139955.59</v>
      </c>
      <c r="AB5" s="261">
        <v>159442.52000000002</v>
      </c>
      <c r="AC5" s="261">
        <v>207403.76</v>
      </c>
      <c r="AD5" s="261">
        <v>27440.66</v>
      </c>
      <c r="AE5" s="261">
        <v>53418.130000000005</v>
      </c>
      <c r="AF5" s="261">
        <v>832349.65000000014</v>
      </c>
      <c r="AG5" s="261">
        <v>951988.3</v>
      </c>
      <c r="AH5" s="287">
        <v>39471</v>
      </c>
      <c r="AI5" s="287">
        <v>109895</v>
      </c>
      <c r="AJ5" s="287">
        <v>16132</v>
      </c>
      <c r="AK5" s="287">
        <v>82303</v>
      </c>
      <c r="AL5" s="287">
        <v>85261</v>
      </c>
      <c r="AM5" s="287">
        <v>20968</v>
      </c>
      <c r="AN5" s="287">
        <v>68825</v>
      </c>
      <c r="AO5" s="287">
        <v>253859</v>
      </c>
      <c r="AP5" s="287">
        <v>59194</v>
      </c>
      <c r="AQ5" s="287">
        <v>33250</v>
      </c>
      <c r="AR5" s="287">
        <v>236050</v>
      </c>
      <c r="AS5" s="287">
        <v>63043</v>
      </c>
      <c r="AT5" s="287">
        <v>52912</v>
      </c>
      <c r="AU5" s="287">
        <v>170619</v>
      </c>
      <c r="AV5" s="287">
        <v>151942</v>
      </c>
      <c r="AW5" s="287">
        <v>42920</v>
      </c>
      <c r="AX5" s="260">
        <v>59989</v>
      </c>
      <c r="AY5" s="260">
        <v>219989</v>
      </c>
      <c r="AZ5" s="260">
        <v>9798</v>
      </c>
      <c r="BA5" s="260">
        <v>33827</v>
      </c>
      <c r="BB5" s="260">
        <v>31939</v>
      </c>
      <c r="BC5" s="260">
        <v>166187</v>
      </c>
    </row>
    <row r="6" spans="1:55" x14ac:dyDescent="0.25">
      <c r="B6" s="279" t="s">
        <v>65</v>
      </c>
      <c r="C6" s="285">
        <v>742.6</v>
      </c>
      <c r="D6" s="285">
        <v>50026.29</v>
      </c>
      <c r="E6" s="260">
        <v>73254.289999999994</v>
      </c>
      <c r="F6" s="285">
        <v>1080.47</v>
      </c>
      <c r="G6" s="285">
        <v>6971.92</v>
      </c>
      <c r="H6" s="260">
        <v>12166.77</v>
      </c>
      <c r="I6" s="260">
        <v>46743.94</v>
      </c>
      <c r="J6" s="260">
        <v>40578.28</v>
      </c>
      <c r="K6" s="260">
        <v>48897.52</v>
      </c>
      <c r="L6" s="260">
        <v>7285.24</v>
      </c>
      <c r="M6" s="260">
        <v>66257.66</v>
      </c>
      <c r="N6" s="260">
        <v>15526.36</v>
      </c>
      <c r="O6" s="260">
        <v>10873.55</v>
      </c>
      <c r="P6" s="260">
        <v>6059.66</v>
      </c>
      <c r="Q6" s="260">
        <v>18452.36</v>
      </c>
      <c r="R6" s="260">
        <v>17359.260000000002</v>
      </c>
      <c r="S6" s="260">
        <v>29297.59</v>
      </c>
      <c r="T6" s="260">
        <v>21414.52</v>
      </c>
      <c r="U6" s="260">
        <v>35941.450000000004</v>
      </c>
      <c r="V6" s="260">
        <v>40423.54</v>
      </c>
      <c r="W6" s="260">
        <v>12018.58</v>
      </c>
      <c r="X6" s="260">
        <v>15492.77</v>
      </c>
      <c r="Y6" s="260">
        <v>29129.41</v>
      </c>
      <c r="Z6" s="260">
        <v>27907.47</v>
      </c>
      <c r="AA6" s="260">
        <v>21656.84</v>
      </c>
      <c r="AB6" s="260">
        <v>21888.45</v>
      </c>
      <c r="AC6" s="260">
        <v>25353.01</v>
      </c>
      <c r="AD6" s="260">
        <v>33053.57</v>
      </c>
      <c r="AE6" s="260">
        <v>7210.0199999999995</v>
      </c>
      <c r="AF6" s="260">
        <v>15713.88</v>
      </c>
      <c r="AG6" s="260">
        <v>27062.84</v>
      </c>
      <c r="AH6" s="287">
        <v>7154</v>
      </c>
      <c r="AI6" s="287">
        <v>10701</v>
      </c>
      <c r="AJ6" s="287">
        <v>15057</v>
      </c>
      <c r="AK6" s="287">
        <v>7661</v>
      </c>
      <c r="AL6" s="287">
        <v>20178</v>
      </c>
      <c r="AM6" s="287">
        <v>6660</v>
      </c>
      <c r="AN6" s="287">
        <v>9902</v>
      </c>
      <c r="AO6" s="287">
        <v>18998</v>
      </c>
      <c r="AP6" s="287">
        <v>22759</v>
      </c>
      <c r="AQ6" s="287">
        <v>13782</v>
      </c>
      <c r="AR6" s="287">
        <v>18645</v>
      </c>
      <c r="AS6" s="287">
        <v>19209</v>
      </c>
      <c r="AT6" s="287">
        <v>15739</v>
      </c>
      <c r="AU6" s="287">
        <v>22998</v>
      </c>
      <c r="AV6" s="287">
        <v>12318</v>
      </c>
      <c r="AW6" s="287">
        <v>17440</v>
      </c>
      <c r="AX6" s="260">
        <v>23948</v>
      </c>
      <c r="AY6" s="260">
        <v>9926</v>
      </c>
      <c r="AZ6" s="260">
        <v>-6190</v>
      </c>
      <c r="BA6" s="260">
        <v>17498</v>
      </c>
      <c r="BB6" s="260">
        <v>14156</v>
      </c>
      <c r="BC6" s="260">
        <v>15395</v>
      </c>
    </row>
    <row r="7" spans="1:55" x14ac:dyDescent="0.25">
      <c r="B7" s="258" t="s">
        <v>132</v>
      </c>
      <c r="C7" s="260">
        <v>11519.01</v>
      </c>
      <c r="D7" s="260">
        <v>34626.6</v>
      </c>
      <c r="E7" s="260">
        <v>91893.41</v>
      </c>
      <c r="F7" s="260">
        <v>8485.73</v>
      </c>
      <c r="G7" s="260">
        <v>16976.36</v>
      </c>
      <c r="H7" s="260">
        <v>31096.880000000001</v>
      </c>
      <c r="I7" s="290">
        <v>7200.48</v>
      </c>
      <c r="J7" s="290">
        <v>36380.300000000003</v>
      </c>
      <c r="K7" s="290">
        <v>38270.639999999999</v>
      </c>
      <c r="L7" s="290">
        <v>45279.94</v>
      </c>
      <c r="M7" s="290">
        <v>44972.07</v>
      </c>
      <c r="N7" s="290">
        <v>22982.19</v>
      </c>
      <c r="O7" s="290">
        <v>12119.11</v>
      </c>
      <c r="P7" s="290">
        <v>8957.8799999999992</v>
      </c>
      <c r="Q7" s="290">
        <v>14577.56</v>
      </c>
      <c r="R7" s="290">
        <v>30100.98</v>
      </c>
      <c r="S7" s="260">
        <v>12452.06</v>
      </c>
      <c r="T7" s="260">
        <v>12126.79</v>
      </c>
      <c r="U7" s="260">
        <v>24986.560000000001</v>
      </c>
      <c r="V7" s="260">
        <v>21108.49</v>
      </c>
      <c r="W7" s="260">
        <v>23109.49</v>
      </c>
      <c r="X7" s="260">
        <v>18115.740000000002</v>
      </c>
      <c r="Y7" s="260">
        <v>15151.82</v>
      </c>
      <c r="Z7" s="260">
        <v>25686.38</v>
      </c>
      <c r="AA7" s="260">
        <v>15307.7</v>
      </c>
      <c r="AB7" s="260">
        <v>7852.02</v>
      </c>
      <c r="AC7" s="260">
        <v>18720.27</v>
      </c>
      <c r="AD7" s="260">
        <v>20226.740000000002</v>
      </c>
      <c r="AE7" s="260">
        <v>10183.57</v>
      </c>
      <c r="AF7" s="260">
        <v>20324.97</v>
      </c>
      <c r="AG7" s="260">
        <v>30415.63</v>
      </c>
      <c r="AH7" s="260">
        <v>17907.64</v>
      </c>
      <c r="AI7" s="260">
        <v>156556.82999999996</v>
      </c>
      <c r="AJ7" s="260">
        <v>49052.280000000006</v>
      </c>
      <c r="AK7" s="260">
        <v>91682.700000000012</v>
      </c>
      <c r="AL7" s="260">
        <v>33113.549999999996</v>
      </c>
      <c r="AM7" s="260">
        <v>21569.360000000001</v>
      </c>
      <c r="AN7" s="260">
        <v>27913</v>
      </c>
      <c r="AO7" s="260">
        <v>46380.98000000001</v>
      </c>
      <c r="AP7" s="260">
        <v>207018.89</v>
      </c>
      <c r="AQ7" s="260">
        <v>35764.890000000007</v>
      </c>
      <c r="AR7" s="260">
        <v>39996.17000000002</v>
      </c>
      <c r="AS7" s="260">
        <v>57558.469999999987</v>
      </c>
      <c r="AT7" s="260">
        <v>122877.09999999998</v>
      </c>
      <c r="AU7" s="260">
        <v>12918.709999999997</v>
      </c>
      <c r="AV7" s="260">
        <v>67743.209999999992</v>
      </c>
      <c r="AW7" s="260">
        <v>20485.3</v>
      </c>
      <c r="AX7" s="260">
        <v>27486.46</v>
      </c>
      <c r="AY7" s="260">
        <v>26514.000000000007</v>
      </c>
      <c r="AZ7" s="260">
        <v>14183.789999999999</v>
      </c>
      <c r="BA7" s="260">
        <v>19953.980000000007</v>
      </c>
      <c r="BB7" s="260">
        <v>7743.3499999999985</v>
      </c>
      <c r="BC7" s="260">
        <v>23056.410000000003</v>
      </c>
    </row>
    <row r="8" spans="1:55" x14ac:dyDescent="0.25">
      <c r="A8" s="259" t="s">
        <v>148</v>
      </c>
      <c r="B8" s="279" t="s">
        <v>115</v>
      </c>
      <c r="C8" s="280"/>
      <c r="D8" s="280"/>
      <c r="E8" s="280"/>
      <c r="F8" s="280"/>
      <c r="G8" s="280"/>
      <c r="H8" s="280"/>
      <c r="I8" s="280">
        <v>0.65610952164009106</v>
      </c>
      <c r="J8" s="280">
        <v>0.76854448554913291</v>
      </c>
      <c r="K8" s="280">
        <v>1.1956162973552538</v>
      </c>
      <c r="L8" s="280">
        <v>0.3038437047756874</v>
      </c>
      <c r="M8" s="280">
        <v>1.1667540694365395</v>
      </c>
      <c r="N8" s="280" t="s">
        <v>125</v>
      </c>
      <c r="O8" s="280" t="s">
        <v>125</v>
      </c>
      <c r="P8" s="280">
        <v>7.280829999999999</v>
      </c>
      <c r="Q8" s="280">
        <v>0.57636474999999998</v>
      </c>
      <c r="R8" s="280">
        <v>1.5217474603109522</v>
      </c>
      <c r="S8" s="280">
        <v>0.95380118089103616</v>
      </c>
      <c r="T8" s="280">
        <v>0.68854193112761641</v>
      </c>
      <c r="U8" s="280">
        <v>0.50139944122516555</v>
      </c>
      <c r="V8" s="280">
        <v>1.3287134880591995</v>
      </c>
      <c r="W8" s="280">
        <v>0.91200399201596816</v>
      </c>
      <c r="X8" s="280">
        <v>0.15628961054523668</v>
      </c>
      <c r="Y8" s="280">
        <v>0.61828974831184769</v>
      </c>
      <c r="Z8" s="280">
        <v>0.70539609022556382</v>
      </c>
      <c r="AA8" s="280">
        <v>1.4103517711171663</v>
      </c>
      <c r="AB8" s="280">
        <v>4.2320466769706346</v>
      </c>
      <c r="AC8" s="280">
        <v>5.3780076519129789</v>
      </c>
      <c r="AD8" s="280">
        <v>0.42847239328819547</v>
      </c>
      <c r="AE8" s="280">
        <v>0.74739371614301198</v>
      </c>
      <c r="AF8" s="280">
        <v>6.8451564102564113</v>
      </c>
      <c r="AG8" s="280">
        <v>1.4933946969696967</v>
      </c>
      <c r="AH8" s="280">
        <v>0.45948640836408378</v>
      </c>
      <c r="AI8" s="280">
        <v>0.79718263933376055</v>
      </c>
      <c r="AJ8" s="280">
        <v>0.84783070452155651</v>
      </c>
      <c r="AK8" s="280">
        <v>0.46085090814737928</v>
      </c>
      <c r="AL8" s="280">
        <v>0.24239945487583278</v>
      </c>
      <c r="AM8" s="280">
        <v>1.2599583610188263</v>
      </c>
      <c r="AN8" s="280">
        <v>1.3879677871825877</v>
      </c>
      <c r="AO8" s="280">
        <v>1.0436627339422067</v>
      </c>
      <c r="AP8" s="280">
        <v>0.73226717325227964</v>
      </c>
      <c r="AQ8" s="280">
        <v>0.94457752918287907</v>
      </c>
      <c r="AR8" s="280">
        <v>1.5246032257394559</v>
      </c>
      <c r="AS8" s="280">
        <v>0.87088977943460699</v>
      </c>
      <c r="AT8" s="280">
        <v>1.158258703374778</v>
      </c>
      <c r="AU8" s="280">
        <v>0.53088860341347033</v>
      </c>
      <c r="AV8" s="280">
        <v>1.1400405405405407</v>
      </c>
      <c r="AW8" s="280">
        <v>0.46009410627614777</v>
      </c>
      <c r="AX8" s="280"/>
      <c r="AY8" s="280"/>
      <c r="AZ8" s="280"/>
      <c r="BA8" s="280"/>
      <c r="BB8" s="280"/>
      <c r="BC8" s="280"/>
    </row>
    <row r="9" spans="1:55" x14ac:dyDescent="0.25">
      <c r="A9" s="258" t="s">
        <v>149</v>
      </c>
      <c r="B9" s="258" t="s">
        <v>133</v>
      </c>
      <c r="C9" s="260"/>
      <c r="D9" s="260"/>
      <c r="E9" s="285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88">
        <v>6200</v>
      </c>
      <c r="AI9" s="288">
        <v>12205</v>
      </c>
      <c r="AJ9" s="288">
        <v>6595</v>
      </c>
      <c r="AK9" s="288">
        <v>6581</v>
      </c>
      <c r="AL9" s="288">
        <v>8171</v>
      </c>
      <c r="AM9" s="288">
        <v>3836</v>
      </c>
      <c r="AN9" s="288">
        <v>11683</v>
      </c>
      <c r="AO9" s="288">
        <v>10284</v>
      </c>
      <c r="AP9" s="288">
        <v>10245</v>
      </c>
      <c r="AQ9" s="288">
        <v>6442</v>
      </c>
      <c r="AR9" s="288">
        <v>9016</v>
      </c>
      <c r="AS9" s="288">
        <v>6771</v>
      </c>
      <c r="AT9" s="288">
        <v>10019</v>
      </c>
      <c r="AU9" s="288">
        <v>9634</v>
      </c>
      <c r="AV9" s="288">
        <v>5303</v>
      </c>
      <c r="AW9" s="288">
        <v>7112</v>
      </c>
      <c r="AX9" s="288">
        <v>17011</v>
      </c>
      <c r="AY9" s="288">
        <v>9449</v>
      </c>
      <c r="AZ9" s="289">
        <v>0</v>
      </c>
      <c r="BA9" s="288">
        <v>9630</v>
      </c>
      <c r="BB9" s="288">
        <v>11538</v>
      </c>
      <c r="BC9" s="288">
        <v>14032</v>
      </c>
    </row>
    <row r="10" spans="1:55" x14ac:dyDescent="0.25">
      <c r="C10" s="284"/>
      <c r="D10" s="284"/>
      <c r="E10" s="284"/>
      <c r="F10" s="284"/>
      <c r="G10" s="284"/>
      <c r="H10" s="284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60"/>
      <c r="AY10" s="260"/>
      <c r="AZ10" s="260"/>
      <c r="BA10" s="260"/>
      <c r="BB10" s="260"/>
      <c r="BC10" s="260"/>
    </row>
    <row r="11" spans="1:55" x14ac:dyDescent="0.25">
      <c r="B11" s="259" t="s">
        <v>150</v>
      </c>
      <c r="C11" s="281" t="s">
        <v>2</v>
      </c>
      <c r="D11" s="281" t="s">
        <v>3</v>
      </c>
      <c r="E11" s="281" t="s">
        <v>4</v>
      </c>
      <c r="F11" s="281" t="s">
        <v>5</v>
      </c>
      <c r="G11" s="281" t="s">
        <v>6</v>
      </c>
      <c r="H11" s="281" t="s">
        <v>7</v>
      </c>
      <c r="I11" s="259" t="s">
        <v>8</v>
      </c>
      <c r="J11" s="259" t="s">
        <v>9</v>
      </c>
      <c r="K11" s="259" t="s">
        <v>10</v>
      </c>
      <c r="L11" s="259" t="s">
        <v>114</v>
      </c>
      <c r="M11" s="259" t="s">
        <v>12</v>
      </c>
      <c r="N11" s="259" t="s">
        <v>13</v>
      </c>
      <c r="O11" s="259" t="s">
        <v>14</v>
      </c>
      <c r="P11" s="259" t="s">
        <v>15</v>
      </c>
      <c r="Q11" s="259" t="s">
        <v>16</v>
      </c>
      <c r="R11" s="259" t="s">
        <v>17</v>
      </c>
      <c r="S11" s="259" t="s">
        <v>18</v>
      </c>
      <c r="T11" s="259" t="s">
        <v>19</v>
      </c>
      <c r="U11" s="259" t="s">
        <v>20</v>
      </c>
      <c r="V11" s="259" t="s">
        <v>21</v>
      </c>
      <c r="W11" s="259" t="s">
        <v>22</v>
      </c>
      <c r="X11" s="259" t="s">
        <v>23</v>
      </c>
      <c r="Y11" s="259" t="s">
        <v>24</v>
      </c>
      <c r="Z11" s="259" t="s">
        <v>25</v>
      </c>
      <c r="AA11" s="259" t="s">
        <v>26</v>
      </c>
      <c r="AB11" s="259" t="s">
        <v>27</v>
      </c>
      <c r="AC11" s="259" t="s">
        <v>28</v>
      </c>
      <c r="AD11" s="259" t="s">
        <v>29</v>
      </c>
      <c r="AE11" s="259" t="s">
        <v>30</v>
      </c>
      <c r="AF11" s="259" t="s">
        <v>31</v>
      </c>
      <c r="AG11" s="259" t="s">
        <v>32</v>
      </c>
      <c r="AH11" s="282" t="s">
        <v>34</v>
      </c>
      <c r="AI11" s="282" t="s">
        <v>35</v>
      </c>
      <c r="AJ11" s="282" t="s">
        <v>36</v>
      </c>
      <c r="AK11" s="282" t="s">
        <v>37</v>
      </c>
      <c r="AL11" s="282" t="s">
        <v>38</v>
      </c>
      <c r="AM11" s="282" t="s">
        <v>39</v>
      </c>
      <c r="AN11" s="282" t="s">
        <v>33</v>
      </c>
      <c r="AO11" s="282" t="s">
        <v>40</v>
      </c>
      <c r="AP11" s="282" t="s">
        <v>41</v>
      </c>
      <c r="AQ11" s="282" t="s">
        <v>42</v>
      </c>
      <c r="AR11" s="282" t="s">
        <v>43</v>
      </c>
      <c r="AS11" s="282" t="s">
        <v>44</v>
      </c>
      <c r="AT11" s="282" t="s">
        <v>45</v>
      </c>
      <c r="AU11" s="282" t="s">
        <v>46</v>
      </c>
      <c r="AV11" s="282" t="s">
        <v>47</v>
      </c>
      <c r="AW11" s="282" t="s">
        <v>48</v>
      </c>
      <c r="AX11" s="282" t="s">
        <v>49</v>
      </c>
      <c r="AY11" s="282" t="s">
        <v>50</v>
      </c>
      <c r="AZ11" s="282" t="s">
        <v>51</v>
      </c>
      <c r="BA11" s="282" t="s">
        <v>52</v>
      </c>
      <c r="BB11" s="282" t="s">
        <v>53</v>
      </c>
      <c r="BC11" s="282" t="s">
        <v>54</v>
      </c>
    </row>
    <row r="12" spans="1:55" x14ac:dyDescent="0.25">
      <c r="B12" s="264" t="s">
        <v>62</v>
      </c>
      <c r="C12" s="264"/>
      <c r="D12" s="264"/>
      <c r="E12" s="264"/>
      <c r="F12" s="264"/>
      <c r="G12" s="264"/>
      <c r="H12" s="264"/>
      <c r="I12" s="265">
        <v>21021.859999999997</v>
      </c>
      <c r="J12" s="260">
        <v>40448.179999999993</v>
      </c>
      <c r="K12" s="260">
        <v>65337.05</v>
      </c>
      <c r="L12" s="260">
        <v>10511.57</v>
      </c>
      <c r="M12" s="260">
        <v>38810.429999999993</v>
      </c>
      <c r="N12" s="260">
        <v>16707.57</v>
      </c>
      <c r="O12" s="260">
        <v>8870.3000000000011</v>
      </c>
      <c r="P12" s="260">
        <v>7748.6600000000008</v>
      </c>
      <c r="Q12" s="260">
        <v>18825.580000000002</v>
      </c>
      <c r="R12" s="260">
        <v>254.44</v>
      </c>
      <c r="S12" s="260">
        <v>11310.16</v>
      </c>
      <c r="T12" s="260">
        <v>9586.6500000000015</v>
      </c>
      <c r="U12" s="260">
        <v>14113.169999999998</v>
      </c>
      <c r="V12" s="260">
        <v>14721.61</v>
      </c>
      <c r="W12" s="260">
        <v>8606.77</v>
      </c>
      <c r="X12" s="260">
        <v>10127.770000000002</v>
      </c>
      <c r="Y12" s="260">
        <v>12218.689999999999</v>
      </c>
      <c r="Z12" s="260">
        <v>9765.52</v>
      </c>
      <c r="AA12" s="260">
        <v>10089.299999999999</v>
      </c>
      <c r="AB12" s="260">
        <v>8808.86</v>
      </c>
      <c r="AC12" s="260">
        <v>15054.47</v>
      </c>
      <c r="AD12" s="260">
        <v>16466.089999999997</v>
      </c>
      <c r="AE12" s="260">
        <v>3488.11</v>
      </c>
      <c r="AF12" s="260">
        <v>0</v>
      </c>
      <c r="AG12" s="260">
        <v>396.88</v>
      </c>
      <c r="AH12" s="248">
        <v>7290.23</v>
      </c>
      <c r="AI12" s="248">
        <v>27548.180000000004</v>
      </c>
      <c r="AJ12" s="248">
        <v>6783.21</v>
      </c>
      <c r="AK12" s="248">
        <v>13479.579999999998</v>
      </c>
      <c r="AL12" s="248">
        <v>14337.589999999998</v>
      </c>
      <c r="AM12" s="248">
        <v>9087.2099999999991</v>
      </c>
      <c r="AN12" s="248">
        <v>21910.61</v>
      </c>
      <c r="AO12" s="248">
        <v>24750.400000000005</v>
      </c>
      <c r="AP12" s="248">
        <v>22295.970000000005</v>
      </c>
      <c r="AQ12" s="248">
        <v>23288.179999999997</v>
      </c>
      <c r="AR12" s="248">
        <v>23827.8</v>
      </c>
      <c r="AS12" s="248">
        <v>25908.839999999993</v>
      </c>
      <c r="AT12" s="248">
        <v>21779.839999999997</v>
      </c>
      <c r="AU12" s="248">
        <v>24130.679999999997</v>
      </c>
      <c r="AV12" s="248">
        <v>21528.549999999996</v>
      </c>
      <c r="AW12" s="248">
        <v>21110.22</v>
      </c>
      <c r="AX12" s="248">
        <v>22367.179999999997</v>
      </c>
      <c r="AY12" s="248">
        <v>31177.89</v>
      </c>
      <c r="AZ12" s="248">
        <v>24334.14</v>
      </c>
      <c r="BA12" s="248">
        <v>18430.259999999998</v>
      </c>
      <c r="BB12" s="248">
        <v>19970.569999999996</v>
      </c>
      <c r="BC12" s="248">
        <v>22814.47</v>
      </c>
    </row>
    <row r="13" spans="1:55" x14ac:dyDescent="0.25">
      <c r="B13" s="264" t="s">
        <v>63</v>
      </c>
      <c r="C13" s="264"/>
      <c r="D13" s="264"/>
      <c r="E13" s="264"/>
      <c r="F13" s="264"/>
      <c r="G13" s="264"/>
      <c r="H13" s="264"/>
      <c r="I13" s="265">
        <v>4247.26</v>
      </c>
      <c r="J13" s="260">
        <v>2169.3000000000002</v>
      </c>
      <c r="K13" s="260">
        <v>6839.54</v>
      </c>
      <c r="L13" s="260">
        <v>3191.28</v>
      </c>
      <c r="M13" s="260">
        <v>4191.4799999999996</v>
      </c>
      <c r="N13" s="260">
        <v>31844.780000000002</v>
      </c>
      <c r="O13" s="260">
        <v>5222.5200000000004</v>
      </c>
      <c r="P13" s="260">
        <v>7603.66</v>
      </c>
      <c r="Q13" s="260">
        <v>31531.23</v>
      </c>
      <c r="R13" s="260">
        <v>0</v>
      </c>
      <c r="S13" s="260">
        <v>3633.07</v>
      </c>
      <c r="T13" s="260">
        <v>6938.04</v>
      </c>
      <c r="U13" s="260">
        <v>1990.48</v>
      </c>
      <c r="V13" s="260">
        <v>2317.3000000000002</v>
      </c>
      <c r="W13" s="260">
        <v>2845.05</v>
      </c>
      <c r="X13" s="260">
        <v>3575.5600000000004</v>
      </c>
      <c r="Y13" s="260">
        <v>2270.6</v>
      </c>
      <c r="Z13" s="260">
        <v>67233.77</v>
      </c>
      <c r="AA13" s="260">
        <v>57108.840000000004</v>
      </c>
      <c r="AB13" s="260">
        <v>26030.81</v>
      </c>
      <c r="AC13" s="260">
        <v>38745.96</v>
      </c>
      <c r="AD13" s="260">
        <v>49773.42</v>
      </c>
      <c r="AE13" s="260">
        <v>8191.55</v>
      </c>
      <c r="AF13" s="260">
        <v>0</v>
      </c>
      <c r="AG13" s="260">
        <v>0</v>
      </c>
      <c r="AH13" s="248">
        <v>3244.0219199999997</v>
      </c>
      <c r="AI13" s="248">
        <v>6695.5286399999995</v>
      </c>
      <c r="AJ13" s="248">
        <v>2105.5494000000003</v>
      </c>
      <c r="AK13" s="248">
        <v>4890.6532799999995</v>
      </c>
      <c r="AL13" s="248">
        <v>4213.6359599999996</v>
      </c>
      <c r="AM13" s="248">
        <v>2681.4517200000005</v>
      </c>
      <c r="AN13" s="248">
        <v>6951.4206000000004</v>
      </c>
      <c r="AO13" s="248">
        <v>8888.5758000000005</v>
      </c>
      <c r="AP13" s="248">
        <v>8203.0375200000017</v>
      </c>
      <c r="AQ13" s="248">
        <v>8024.8813200000031</v>
      </c>
      <c r="AR13" s="248">
        <v>6837.8966399999999</v>
      </c>
      <c r="AS13" s="248">
        <v>9940.3734000000004</v>
      </c>
      <c r="AT13" s="248">
        <v>8222.0438400000003</v>
      </c>
      <c r="AU13" s="248">
        <v>9294.9416399999991</v>
      </c>
      <c r="AV13" s="248">
        <v>7352.006159999999</v>
      </c>
      <c r="AW13" s="248">
        <v>8808.8497199999983</v>
      </c>
      <c r="AX13" s="248">
        <v>7512.1702800000021</v>
      </c>
      <c r="AY13" s="248">
        <v>12781.994640000001</v>
      </c>
      <c r="AZ13" s="248">
        <v>-57.975960000000008</v>
      </c>
      <c r="BA13" s="248">
        <v>6254.6942400000007</v>
      </c>
      <c r="BB13" s="248">
        <v>7207.5985199999996</v>
      </c>
      <c r="BC13" s="248">
        <v>7412.8278</v>
      </c>
    </row>
    <row r="14" spans="1:55" x14ac:dyDescent="0.25">
      <c r="A14" s="258" t="s">
        <v>135</v>
      </c>
      <c r="B14" s="264" t="s">
        <v>64</v>
      </c>
      <c r="C14" s="264"/>
      <c r="D14" s="265"/>
      <c r="E14" s="265"/>
      <c r="F14" s="265"/>
      <c r="G14" s="264"/>
      <c r="H14" s="264"/>
      <c r="I14" s="265">
        <v>0</v>
      </c>
      <c r="J14" s="260">
        <v>1600</v>
      </c>
      <c r="K14" s="260">
        <v>2695</v>
      </c>
      <c r="L14" s="260">
        <v>1600</v>
      </c>
      <c r="M14" s="260">
        <v>1666.63</v>
      </c>
      <c r="N14" s="260">
        <v>92379.839999999997</v>
      </c>
      <c r="O14" s="260">
        <v>151244.53999999998</v>
      </c>
      <c r="P14" s="260">
        <v>83029.69</v>
      </c>
      <c r="Q14" s="260">
        <v>240875.00999999998</v>
      </c>
      <c r="R14" s="260">
        <v>510385.96</v>
      </c>
      <c r="S14" s="260">
        <v>0</v>
      </c>
      <c r="T14" s="260">
        <v>0</v>
      </c>
      <c r="U14" s="260">
        <v>0</v>
      </c>
      <c r="V14" s="260">
        <v>0</v>
      </c>
      <c r="W14" s="260">
        <v>0</v>
      </c>
      <c r="X14" s="260">
        <v>4800</v>
      </c>
      <c r="Y14" s="260">
        <v>0</v>
      </c>
      <c r="Z14" s="260">
        <v>87858.8</v>
      </c>
      <c r="AA14" s="260">
        <v>137699.58000000002</v>
      </c>
      <c r="AB14" s="260">
        <v>190691.49</v>
      </c>
      <c r="AC14" s="248">
        <v>224503.69999999998</v>
      </c>
      <c r="AD14" s="260">
        <v>60703.7</v>
      </c>
      <c r="AE14" s="260">
        <v>75719.570000000007</v>
      </c>
      <c r="AF14" s="260">
        <v>792281.5</v>
      </c>
      <c r="AG14" s="260">
        <v>901623.09</v>
      </c>
      <c r="AH14" s="248">
        <v>7678.63</v>
      </c>
      <c r="AI14" s="248">
        <v>34220.379999999997</v>
      </c>
      <c r="AJ14" s="248">
        <v>5581.33</v>
      </c>
      <c r="AK14" s="248">
        <v>11780.75</v>
      </c>
      <c r="AL14" s="248">
        <v>12140.11</v>
      </c>
      <c r="AM14" s="248">
        <v>7920.26</v>
      </c>
      <c r="AN14" s="248">
        <v>28338.230000000003</v>
      </c>
      <c r="AO14" s="248">
        <v>24400.29</v>
      </c>
      <c r="AP14" s="248">
        <v>21608.38</v>
      </c>
      <c r="AQ14" s="248">
        <v>21651</v>
      </c>
      <c r="AR14" s="248">
        <v>21031.599999999999</v>
      </c>
      <c r="AS14" s="248">
        <v>26178.29</v>
      </c>
      <c r="AT14" s="248">
        <v>26809.599999999999</v>
      </c>
      <c r="AU14" s="248">
        <v>23815.14</v>
      </c>
      <c r="AV14" s="248">
        <v>22135.309999999998</v>
      </c>
      <c r="AW14" s="248">
        <v>19503.98</v>
      </c>
      <c r="AX14" s="248">
        <v>25623.940000000002</v>
      </c>
      <c r="AY14" s="248">
        <v>37541.32</v>
      </c>
      <c r="AZ14" s="248">
        <v>31107.449999999997</v>
      </c>
      <c r="BA14" s="248">
        <v>16294.019999999999</v>
      </c>
      <c r="BB14" s="248">
        <v>15961.279999999999</v>
      </c>
      <c r="BC14" s="248">
        <v>20101.02</v>
      </c>
    </row>
    <row r="15" spans="1:55" x14ac:dyDescent="0.25">
      <c r="B15" s="264" t="s">
        <v>65</v>
      </c>
      <c r="C15" s="266"/>
      <c r="D15" s="266"/>
      <c r="E15" s="266"/>
      <c r="F15" s="266"/>
      <c r="G15" s="266"/>
      <c r="H15" s="266"/>
      <c r="I15" s="260">
        <v>24869.91</v>
      </c>
      <c r="J15" s="260">
        <v>33563.83</v>
      </c>
      <c r="K15" s="260">
        <v>61725.96</v>
      </c>
      <c r="L15" s="260">
        <v>3825.33</v>
      </c>
      <c r="M15" s="260">
        <v>37726.699999999997</v>
      </c>
      <c r="N15" s="260">
        <v>19171.099999999999</v>
      </c>
      <c r="O15" s="260">
        <v>13282.14</v>
      </c>
      <c r="P15" s="260">
        <v>8871.6299999999992</v>
      </c>
      <c r="Q15" s="260">
        <v>24761.1</v>
      </c>
      <c r="R15" s="260">
        <v>18209.52</v>
      </c>
      <c r="S15" s="260">
        <v>34578.26</v>
      </c>
      <c r="T15" s="260">
        <v>27391.97</v>
      </c>
      <c r="U15" s="260">
        <v>38576.51</v>
      </c>
      <c r="V15" s="260">
        <v>43429.81</v>
      </c>
      <c r="W15" s="260">
        <v>18769.68</v>
      </c>
      <c r="X15" s="260">
        <v>19708.079999999998</v>
      </c>
      <c r="Y15" s="260">
        <v>30371.19</v>
      </c>
      <c r="Z15" s="260">
        <v>17085.62</v>
      </c>
      <c r="AA15" s="260">
        <v>21612.030000000002</v>
      </c>
      <c r="AB15" s="260">
        <v>19504.32</v>
      </c>
      <c r="AC15" s="260">
        <v>26990.32</v>
      </c>
      <c r="AD15" s="260">
        <v>25936.29</v>
      </c>
      <c r="AE15" s="260">
        <v>7140.83</v>
      </c>
      <c r="AF15" s="260">
        <v>18125.34</v>
      </c>
      <c r="AG15" s="260">
        <v>25456.18</v>
      </c>
      <c r="AH15" s="248">
        <v>3741.33</v>
      </c>
      <c r="AI15" s="248">
        <v>6382.28</v>
      </c>
      <c r="AJ15" s="248">
        <v>1303.6199999999999</v>
      </c>
      <c r="AK15" s="248">
        <v>6059.64</v>
      </c>
      <c r="AL15" s="248">
        <v>5405.13</v>
      </c>
      <c r="AM15" s="248">
        <v>5817.28</v>
      </c>
      <c r="AN15" s="248">
        <v>9421.4500000000007</v>
      </c>
      <c r="AO15" s="248">
        <v>18648.330000000002</v>
      </c>
      <c r="AP15" s="248">
        <v>11129.63</v>
      </c>
      <c r="AQ15" s="248">
        <v>11923.27</v>
      </c>
      <c r="AR15" s="248">
        <v>6892.44</v>
      </c>
      <c r="AS15" s="248">
        <v>13066.56</v>
      </c>
      <c r="AT15" s="248">
        <v>13156.58</v>
      </c>
      <c r="AU15" s="248">
        <v>13819.79</v>
      </c>
      <c r="AV15" s="248">
        <v>9766.11</v>
      </c>
      <c r="AW15" s="248">
        <v>9646.7999999999993</v>
      </c>
      <c r="AX15" s="248">
        <v>18392.939999999999</v>
      </c>
      <c r="AY15" s="248">
        <v>34132.9</v>
      </c>
      <c r="AZ15" s="248">
        <v>21799.040000000001</v>
      </c>
      <c r="BA15" s="248">
        <v>14532.7</v>
      </c>
      <c r="BB15" s="248">
        <v>14532.7</v>
      </c>
      <c r="BC15" s="248">
        <v>18165.87</v>
      </c>
    </row>
    <row r="16" spans="1:55" x14ac:dyDescent="0.25">
      <c r="B16" s="258" t="s">
        <v>132</v>
      </c>
      <c r="C16" s="260">
        <v>12445</v>
      </c>
      <c r="D16" s="260">
        <v>45640.9</v>
      </c>
      <c r="E16" s="260">
        <v>94630.61</v>
      </c>
      <c r="F16" s="260">
        <v>9000</v>
      </c>
      <c r="G16" s="260">
        <v>11353</v>
      </c>
      <c r="H16" s="260">
        <v>26340.65</v>
      </c>
      <c r="I16" s="260">
        <v>16910</v>
      </c>
      <c r="J16" s="260">
        <v>39850</v>
      </c>
      <c r="K16" s="260">
        <v>42900.5</v>
      </c>
      <c r="L16" s="260">
        <v>8325</v>
      </c>
      <c r="M16" s="260">
        <v>35026.99</v>
      </c>
      <c r="N16" s="260">
        <v>24762</v>
      </c>
      <c r="O16" s="260">
        <v>16494</v>
      </c>
      <c r="P16" s="260">
        <v>11595</v>
      </c>
      <c r="Q16" s="260">
        <v>19041.66</v>
      </c>
      <c r="R16" s="260">
        <v>33868</v>
      </c>
      <c r="S16" s="260">
        <v>24110</v>
      </c>
      <c r="T16" s="260">
        <v>17612.11</v>
      </c>
      <c r="U16" s="260">
        <v>27116.77</v>
      </c>
      <c r="V16" s="260">
        <v>14350</v>
      </c>
      <c r="W16" s="260">
        <v>17215</v>
      </c>
      <c r="X16" s="260">
        <v>12668.33</v>
      </c>
      <c r="Y16" s="260">
        <v>20248</v>
      </c>
      <c r="Z16" s="260">
        <v>17880</v>
      </c>
      <c r="AA16" s="260">
        <v>19378.25</v>
      </c>
      <c r="AB16" s="260">
        <v>16827</v>
      </c>
      <c r="AC16" s="260">
        <v>16070</v>
      </c>
      <c r="AD16" s="260">
        <v>21125</v>
      </c>
      <c r="AE16" s="260">
        <v>12167</v>
      </c>
      <c r="AF16" s="260">
        <v>17505</v>
      </c>
      <c r="AG16" s="260">
        <v>19686</v>
      </c>
      <c r="AH16" s="260">
        <v>7194.17</v>
      </c>
      <c r="AI16" s="260">
        <v>18380.689999999999</v>
      </c>
      <c r="AJ16" s="260">
        <v>14165.469999999998</v>
      </c>
      <c r="AK16" s="260">
        <v>8444.1400000000012</v>
      </c>
      <c r="AL16" s="260">
        <v>11676.18</v>
      </c>
      <c r="AM16" s="260">
        <v>8221.0299999999988</v>
      </c>
      <c r="AN16" s="260">
        <v>16688.93</v>
      </c>
      <c r="AO16" s="260">
        <v>15798.27</v>
      </c>
      <c r="AP16" s="260">
        <v>15473.920000000002</v>
      </c>
      <c r="AQ16" s="260">
        <v>14482.460000000001</v>
      </c>
      <c r="AR16" s="260">
        <v>13868.48</v>
      </c>
      <c r="AS16" s="260">
        <v>14197.21</v>
      </c>
      <c r="AT16" s="260">
        <v>12419.449999999999</v>
      </c>
      <c r="AU16" s="260">
        <v>15054.35</v>
      </c>
      <c r="AV16" s="260">
        <v>11970.000000000002</v>
      </c>
      <c r="AW16" s="260">
        <v>10388.370000000001</v>
      </c>
      <c r="AX16" s="260">
        <v>36900.430000000008</v>
      </c>
      <c r="AY16" s="260">
        <v>55475.060000000005</v>
      </c>
      <c r="AZ16" s="260">
        <v>35024.839999999997</v>
      </c>
      <c r="BA16" s="260">
        <v>9044.41</v>
      </c>
      <c r="BB16" s="260">
        <v>8708.2999999999993</v>
      </c>
      <c r="BC16" s="260">
        <v>21564.53</v>
      </c>
    </row>
    <row r="17" spans="1:55" x14ac:dyDescent="0.25">
      <c r="A17" s="258" t="s">
        <v>149</v>
      </c>
      <c r="B17" s="258" t="s">
        <v>136</v>
      </c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>
        <v>3265.6099999999997</v>
      </c>
      <c r="AI17" s="260">
        <v>8980.43</v>
      </c>
      <c r="AJ17" s="260">
        <v>4723.170000000001</v>
      </c>
      <c r="AK17" s="260">
        <v>4847.3900000000003</v>
      </c>
      <c r="AL17" s="260">
        <v>4898.41</v>
      </c>
      <c r="AM17" s="260">
        <v>3265.6099999999997</v>
      </c>
      <c r="AN17" s="260">
        <v>8164.02</v>
      </c>
      <c r="AO17" s="260">
        <v>10051.949999999999</v>
      </c>
      <c r="AP17" s="260">
        <v>8929.41</v>
      </c>
      <c r="AQ17" s="260">
        <v>8572.2199999999993</v>
      </c>
      <c r="AR17" s="260">
        <v>8776.33</v>
      </c>
      <c r="AS17" s="260">
        <v>9541.7000000000007</v>
      </c>
      <c r="AT17" s="260">
        <v>8623.25</v>
      </c>
      <c r="AU17" s="260">
        <v>10091.450000000001</v>
      </c>
      <c r="AV17" s="260">
        <v>8363.27</v>
      </c>
      <c r="AW17" s="260">
        <v>7672.98</v>
      </c>
      <c r="AX17" s="260">
        <v>10359.65</v>
      </c>
      <c r="AY17" s="260">
        <v>11442</v>
      </c>
      <c r="AZ17" s="260">
        <v>11535.11</v>
      </c>
      <c r="BA17" s="260">
        <v>7267.39</v>
      </c>
      <c r="BB17" s="260">
        <v>7267.39</v>
      </c>
      <c r="BC17" s="260">
        <v>9704.9</v>
      </c>
    </row>
    <row r="18" spans="1:55" x14ac:dyDescent="0.25"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</row>
    <row r="19" spans="1:55" x14ac:dyDescent="0.25">
      <c r="B19" s="259" t="s">
        <v>67</v>
      </c>
      <c r="C19" s="259"/>
      <c r="D19" s="259"/>
      <c r="E19" s="259"/>
      <c r="F19" s="259"/>
      <c r="G19" s="259"/>
      <c r="H19" s="259"/>
      <c r="I19" s="259" t="s">
        <v>8</v>
      </c>
      <c r="J19" s="259" t="s">
        <v>9</v>
      </c>
      <c r="K19" s="259" t="s">
        <v>10</v>
      </c>
      <c r="L19" s="259" t="s">
        <v>114</v>
      </c>
      <c r="M19" s="259" t="s">
        <v>12</v>
      </c>
      <c r="N19" s="259" t="s">
        <v>13</v>
      </c>
      <c r="O19" s="259" t="s">
        <v>14</v>
      </c>
      <c r="P19" s="259" t="s">
        <v>15</v>
      </c>
      <c r="Q19" s="259" t="s">
        <v>16</v>
      </c>
      <c r="R19" s="259" t="s">
        <v>17</v>
      </c>
      <c r="S19" s="259" t="s">
        <v>18</v>
      </c>
      <c r="T19" s="259" t="s">
        <v>19</v>
      </c>
      <c r="U19" s="259" t="s">
        <v>20</v>
      </c>
      <c r="V19" s="259" t="s">
        <v>21</v>
      </c>
      <c r="W19" s="259" t="s">
        <v>22</v>
      </c>
      <c r="X19" s="259" t="s">
        <v>23</v>
      </c>
      <c r="Y19" s="259" t="s">
        <v>24</v>
      </c>
      <c r="Z19" s="259" t="s">
        <v>25</v>
      </c>
      <c r="AA19" s="259" t="s">
        <v>26</v>
      </c>
      <c r="AB19" s="259" t="s">
        <v>27</v>
      </c>
      <c r="AC19" s="259" t="s">
        <v>28</v>
      </c>
      <c r="AD19" s="259" t="s">
        <v>29</v>
      </c>
      <c r="AE19" s="259" t="s">
        <v>30</v>
      </c>
      <c r="AF19" s="259" t="s">
        <v>31</v>
      </c>
      <c r="AG19" s="259" t="s">
        <v>32</v>
      </c>
      <c r="AH19" s="282" t="s">
        <v>34</v>
      </c>
      <c r="AI19" s="282" t="s">
        <v>35</v>
      </c>
      <c r="AJ19" s="282" t="s">
        <v>36</v>
      </c>
      <c r="AK19" s="282" t="s">
        <v>37</v>
      </c>
      <c r="AL19" s="282" t="s">
        <v>38</v>
      </c>
      <c r="AM19" s="282" t="s">
        <v>39</v>
      </c>
      <c r="AN19" s="282" t="s">
        <v>33</v>
      </c>
      <c r="AO19" s="282" t="s">
        <v>40</v>
      </c>
      <c r="AP19" s="282" t="s">
        <v>41</v>
      </c>
      <c r="AQ19" s="282" t="s">
        <v>42</v>
      </c>
      <c r="AR19" s="282" t="s">
        <v>43</v>
      </c>
      <c r="AS19" s="282" t="s">
        <v>44</v>
      </c>
      <c r="AT19" s="282" t="s">
        <v>45</v>
      </c>
      <c r="AU19" s="282" t="s">
        <v>46</v>
      </c>
      <c r="AV19" s="282" t="s">
        <v>47</v>
      </c>
      <c r="AW19" s="282" t="s">
        <v>48</v>
      </c>
      <c r="AX19" s="282" t="s">
        <v>49</v>
      </c>
      <c r="AY19" s="282" t="s">
        <v>50</v>
      </c>
      <c r="AZ19" s="282" t="s">
        <v>51</v>
      </c>
      <c r="BA19" s="282" t="s">
        <v>52</v>
      </c>
      <c r="BB19" s="282" t="s">
        <v>53</v>
      </c>
      <c r="BC19" s="282" t="s">
        <v>54</v>
      </c>
    </row>
    <row r="20" spans="1:55" x14ac:dyDescent="0.25">
      <c r="B20" s="264" t="s">
        <v>62</v>
      </c>
      <c r="C20" s="264"/>
      <c r="D20" s="264"/>
      <c r="E20" s="264"/>
      <c r="F20" s="264"/>
      <c r="G20" s="264"/>
      <c r="H20" s="264"/>
      <c r="I20" s="267">
        <v>-1249.8100000000013</v>
      </c>
      <c r="J20" s="267">
        <v>-831.07000000002154</v>
      </c>
      <c r="K20" s="267">
        <v>-1550.179999999993</v>
      </c>
      <c r="L20" s="267">
        <v>-8403.369999999999</v>
      </c>
      <c r="M20" s="267">
        <v>7986.5999999999949</v>
      </c>
      <c r="N20" s="267">
        <v>6023.2400000000016</v>
      </c>
      <c r="O20" s="267">
        <v>7387.3300000000008</v>
      </c>
      <c r="P20" s="267">
        <v>6442.3400000000011</v>
      </c>
      <c r="Q20" s="267">
        <v>6634.0600000000031</v>
      </c>
      <c r="R20" s="267">
        <v>241.47</v>
      </c>
      <c r="S20" s="267">
        <v>-8318.8400000000038</v>
      </c>
      <c r="T20" s="267">
        <v>-7739.7300000000032</v>
      </c>
      <c r="U20" s="267">
        <v>-4553.7000000000007</v>
      </c>
      <c r="V20" s="267">
        <v>-23071.23000000001</v>
      </c>
      <c r="W20" s="267">
        <v>-10122.750000000004</v>
      </c>
      <c r="X20" s="267">
        <v>-3360.7900000000009</v>
      </c>
      <c r="Y20" s="267">
        <v>-8676.7200000000048</v>
      </c>
      <c r="Z20" s="267">
        <v>-19991.09</v>
      </c>
      <c r="AA20" s="267">
        <v>-23721.579999999998</v>
      </c>
      <c r="AB20" s="267">
        <v>-12747.259999999998</v>
      </c>
      <c r="AC20" s="267">
        <v>-15629.610000000002</v>
      </c>
      <c r="AD20" s="267">
        <v>-9029.820000000007</v>
      </c>
      <c r="AE20" s="267">
        <v>-7387.6900000000005</v>
      </c>
      <c r="AF20" s="267">
        <v>-292.88</v>
      </c>
      <c r="AG20" s="267">
        <v>379.24</v>
      </c>
      <c r="AH20" s="267">
        <v>-3453.7700000000004</v>
      </c>
      <c r="AI20" s="267">
        <v>-1043.8199999999961</v>
      </c>
      <c r="AJ20" s="267">
        <v>228.21000000000004</v>
      </c>
      <c r="AK20" s="267">
        <v>4631.5799999999981</v>
      </c>
      <c r="AL20" s="267">
        <v>-12246.410000000002</v>
      </c>
      <c r="AM20" s="267">
        <v>-2067.7900000000009</v>
      </c>
      <c r="AN20" s="267">
        <v>993.61000000000058</v>
      </c>
      <c r="AO20" s="267">
        <v>5645.4000000000051</v>
      </c>
      <c r="AP20" s="267">
        <v>2937.9700000000048</v>
      </c>
      <c r="AQ20" s="267">
        <v>-9413.8200000000033</v>
      </c>
      <c r="AR20" s="267">
        <v>6763.7999999999993</v>
      </c>
      <c r="AS20" s="267">
        <v>70.83999999999287</v>
      </c>
      <c r="AT20" s="267">
        <v>-6051.1600000000035</v>
      </c>
      <c r="AU20" s="267">
        <v>8687.6799999999967</v>
      </c>
      <c r="AV20" s="267">
        <v>-4723.4500000000044</v>
      </c>
      <c r="AW20" s="267">
        <v>5181.2200000000012</v>
      </c>
      <c r="AX20" s="267">
        <v>1050.1799999999967</v>
      </c>
      <c r="AY20" s="267">
        <v>9828.89</v>
      </c>
      <c r="AZ20" s="267">
        <v>25358.14</v>
      </c>
      <c r="BA20" s="267">
        <v>1104.2599999999984</v>
      </c>
      <c r="BB20" s="267">
        <v>7612.5699999999961</v>
      </c>
      <c r="BC20" s="267">
        <v>3899.4700000000012</v>
      </c>
    </row>
    <row r="21" spans="1:55" x14ac:dyDescent="0.25">
      <c r="B21" s="264" t="s">
        <v>63</v>
      </c>
      <c r="C21" s="264"/>
      <c r="D21" s="264"/>
      <c r="E21" s="264"/>
      <c r="F21" s="264"/>
      <c r="G21" s="264"/>
      <c r="H21" s="264"/>
      <c r="I21" s="267">
        <v>-4834.32</v>
      </c>
      <c r="J21" s="267">
        <v>-632.60999999999967</v>
      </c>
      <c r="K21" s="267">
        <v>-2051.0600000000004</v>
      </c>
      <c r="L21" s="267">
        <v>-6830.32</v>
      </c>
      <c r="M21" s="267">
        <v>1732.1699999999996</v>
      </c>
      <c r="N21" s="267">
        <v>11371.850000000002</v>
      </c>
      <c r="O21" s="267">
        <v>-9980.0399999999991</v>
      </c>
      <c r="P21" s="267">
        <v>511.25</v>
      </c>
      <c r="Q21" s="267">
        <v>-16549.010000000006</v>
      </c>
      <c r="R21" s="267">
        <v>0</v>
      </c>
      <c r="S21" s="267">
        <v>-23247.74</v>
      </c>
      <c r="T21" s="267">
        <v>3465.52</v>
      </c>
      <c r="U21" s="267">
        <v>-2955.4600000000005</v>
      </c>
      <c r="V21" s="267">
        <v>-2371.2799999999997</v>
      </c>
      <c r="W21" s="267">
        <v>-950.34999999999991</v>
      </c>
      <c r="X21" s="267">
        <v>-10001.949999999997</v>
      </c>
      <c r="Y21" s="267">
        <v>-7313.2199999999993</v>
      </c>
      <c r="Z21" s="267">
        <v>-20959.839999999997</v>
      </c>
      <c r="AA21" s="267">
        <v>26849.620000000003</v>
      </c>
      <c r="AB21" s="267">
        <v>-2485.5499999999993</v>
      </c>
      <c r="AC21" s="267">
        <v>9315.7699999999968</v>
      </c>
      <c r="AD21" s="267">
        <v>34971.14</v>
      </c>
      <c r="AE21" s="267">
        <v>-1382.9599999999982</v>
      </c>
      <c r="AF21" s="267">
        <v>0</v>
      </c>
      <c r="AG21" s="267">
        <v>0</v>
      </c>
      <c r="AH21" s="267">
        <v>-23619.978080000001</v>
      </c>
      <c r="AI21" s="267">
        <v>-72777.471359999996</v>
      </c>
      <c r="AJ21" s="267">
        <v>-14253.4506</v>
      </c>
      <c r="AK21" s="267">
        <v>-30817.346720000001</v>
      </c>
      <c r="AL21" s="267">
        <v>-23788.36404</v>
      </c>
      <c r="AM21" s="267">
        <v>-24054.548279999999</v>
      </c>
      <c r="AN21" s="267">
        <v>-13025.579399999999</v>
      </c>
      <c r="AO21" s="267">
        <v>-77643.424199999994</v>
      </c>
      <c r="AP21" s="267">
        <v>-48070.962480000002</v>
      </c>
      <c r="AQ21" s="267">
        <v>-3388.1186799999969</v>
      </c>
      <c r="AR21" s="267">
        <v>-86002.103359999994</v>
      </c>
      <c r="AS21" s="267">
        <v>-19288.6266</v>
      </c>
      <c r="AT21" s="267">
        <v>-51907.956160000002</v>
      </c>
      <c r="AU21" s="267">
        <v>-132705.05836</v>
      </c>
      <c r="AV21" s="267">
        <v>-71039.993839999996</v>
      </c>
      <c r="AW21" s="267">
        <v>-69964.150280000002</v>
      </c>
      <c r="AX21" s="267">
        <v>-38488.829719999994</v>
      </c>
      <c r="AY21" s="267">
        <v>-216934.00536000001</v>
      </c>
      <c r="AZ21" s="267">
        <v>2207.0240399999998</v>
      </c>
      <c r="BA21" s="267">
        <v>-20049.305759999999</v>
      </c>
      <c r="BB21" s="267">
        <v>-52507.40148</v>
      </c>
      <c r="BC21" s="267">
        <v>-65734.172200000001</v>
      </c>
    </row>
    <row r="22" spans="1:55" x14ac:dyDescent="0.25">
      <c r="B22" s="264" t="s">
        <v>64</v>
      </c>
      <c r="C22" s="267">
        <v>-52.5</v>
      </c>
      <c r="D22" s="267" t="s">
        <v>125</v>
      </c>
      <c r="E22" s="267" t="s">
        <v>125</v>
      </c>
      <c r="F22" s="267">
        <v>-52.5</v>
      </c>
      <c r="G22" s="267">
        <v>-7949.13</v>
      </c>
      <c r="H22" s="267">
        <v>-464464.77</v>
      </c>
      <c r="I22" s="267">
        <v>-52.5</v>
      </c>
      <c r="J22" s="267">
        <v>-115.65000000000009</v>
      </c>
      <c r="K22" s="267">
        <v>-4787.57</v>
      </c>
      <c r="L22" s="267">
        <v>1600</v>
      </c>
      <c r="M22" s="267">
        <v>-7413.55</v>
      </c>
      <c r="N22" s="267">
        <v>13883.699999999997</v>
      </c>
      <c r="O22" s="267">
        <v>62901.179999999978</v>
      </c>
      <c r="P22" s="267">
        <v>-21127.290000000008</v>
      </c>
      <c r="Q22" s="267">
        <v>58818.429999999993</v>
      </c>
      <c r="R22" s="267">
        <v>-30821.390000000072</v>
      </c>
      <c r="S22" s="267">
        <v>0</v>
      </c>
      <c r="T22" s="267">
        <v>-537.80999999999995</v>
      </c>
      <c r="U22" s="267">
        <v>-75776.88</v>
      </c>
      <c r="V22" s="267">
        <v>-52.5</v>
      </c>
      <c r="W22" s="267">
        <v>-123.9</v>
      </c>
      <c r="X22" s="267">
        <v>4747.5</v>
      </c>
      <c r="Y22" s="267">
        <v>-278.25</v>
      </c>
      <c r="Z22" s="267">
        <v>-86443.99</v>
      </c>
      <c r="AA22" s="267">
        <v>-2256.0099999999802</v>
      </c>
      <c r="AB22" s="267">
        <v>31248.969999999972</v>
      </c>
      <c r="AC22" s="267">
        <v>17099.939999999973</v>
      </c>
      <c r="AD22" s="267">
        <v>33263.039999999994</v>
      </c>
      <c r="AE22" s="267">
        <v>22301.440000000002</v>
      </c>
      <c r="AF22" s="267">
        <v>-40068.15000000014</v>
      </c>
      <c r="AG22" s="267">
        <v>-50365.210000000079</v>
      </c>
      <c r="AH22" s="267">
        <v>-31792.37</v>
      </c>
      <c r="AI22" s="267">
        <v>-75674.62</v>
      </c>
      <c r="AJ22" s="267">
        <v>-10550.67</v>
      </c>
      <c r="AK22" s="267">
        <v>-70522.25</v>
      </c>
      <c r="AL22" s="267">
        <v>-73120.89</v>
      </c>
      <c r="AM22" s="267">
        <v>-13047.74</v>
      </c>
      <c r="AN22" s="267">
        <v>-40486.769999999997</v>
      </c>
      <c r="AO22" s="267">
        <v>-229458.71</v>
      </c>
      <c r="AP22" s="267">
        <v>-37585.619999999995</v>
      </c>
      <c r="AQ22" s="267">
        <v>-11599</v>
      </c>
      <c r="AR22" s="267">
        <v>-215018.4</v>
      </c>
      <c r="AS22" s="267">
        <v>-36864.71</v>
      </c>
      <c r="AT22" s="267">
        <v>-26102.400000000001</v>
      </c>
      <c r="AU22" s="267">
        <v>-146803.85999999999</v>
      </c>
      <c r="AV22" s="267">
        <v>-129806.69</v>
      </c>
      <c r="AW22" s="267">
        <v>-23416.02</v>
      </c>
      <c r="AX22" s="267">
        <v>-34365.06</v>
      </c>
      <c r="AY22" s="267">
        <v>-182447.68</v>
      </c>
      <c r="AZ22" s="267">
        <v>21309.449999999997</v>
      </c>
      <c r="BA22" s="267">
        <v>-17532.980000000003</v>
      </c>
      <c r="BB22" s="267">
        <v>-15977.720000000001</v>
      </c>
      <c r="BC22" s="267">
        <v>-146085.98000000001</v>
      </c>
    </row>
    <row r="23" spans="1:55" x14ac:dyDescent="0.25">
      <c r="B23" s="266" t="s">
        <v>65</v>
      </c>
      <c r="C23" s="266"/>
      <c r="D23" s="266"/>
      <c r="E23" s="266"/>
      <c r="F23" s="266"/>
      <c r="G23" s="266"/>
      <c r="H23" s="266"/>
      <c r="I23" s="267">
        <v>-21874.030000000002</v>
      </c>
      <c r="J23" s="267">
        <v>-7014.4499999999971</v>
      </c>
      <c r="K23" s="267">
        <v>12828.440000000002</v>
      </c>
      <c r="L23" s="267">
        <v>-3459.91</v>
      </c>
      <c r="M23" s="267">
        <v>-28530.960000000006</v>
      </c>
      <c r="N23" s="267">
        <v>3644.739999999998</v>
      </c>
      <c r="O23" s="267">
        <v>2408.59</v>
      </c>
      <c r="P23" s="267">
        <v>2811.9699999999993</v>
      </c>
      <c r="Q23" s="267">
        <v>6308.739999999998</v>
      </c>
      <c r="R23" s="267">
        <v>850.2599999999984</v>
      </c>
      <c r="S23" s="267">
        <v>5280.6700000000019</v>
      </c>
      <c r="T23" s="267">
        <v>5977.4500000000007</v>
      </c>
      <c r="U23" s="267">
        <v>2635.0599999999977</v>
      </c>
      <c r="V23" s="267">
        <v>3006.2699999999968</v>
      </c>
      <c r="W23" s="267">
        <v>6751.1</v>
      </c>
      <c r="X23" s="267">
        <v>4215.3099999999977</v>
      </c>
      <c r="Y23" s="267">
        <v>1241.7799999999988</v>
      </c>
      <c r="Z23" s="267">
        <v>-10821.850000000002</v>
      </c>
      <c r="AA23" s="267">
        <v>-44.809999999997672</v>
      </c>
      <c r="AB23" s="267">
        <v>-2384.130000000001</v>
      </c>
      <c r="AC23" s="267">
        <v>1637.3100000000013</v>
      </c>
      <c r="AD23" s="267">
        <v>-7117.2799999999988</v>
      </c>
      <c r="AE23" s="267">
        <v>-69.1899999999996</v>
      </c>
      <c r="AF23" s="267">
        <v>2411.4600000000009</v>
      </c>
      <c r="AG23" s="267">
        <v>-1606.6599999999999</v>
      </c>
      <c r="AH23" s="267">
        <v>-3412.67</v>
      </c>
      <c r="AI23" s="267">
        <v>-4318.72</v>
      </c>
      <c r="AJ23" s="267">
        <v>-13753.380000000001</v>
      </c>
      <c r="AK23" s="267">
        <v>-1601.3599999999997</v>
      </c>
      <c r="AL23" s="267">
        <v>-14772.869999999999</v>
      </c>
      <c r="AM23" s="267">
        <v>-842.72000000000025</v>
      </c>
      <c r="AN23" s="267">
        <v>-480.54999999999927</v>
      </c>
      <c r="AO23" s="267">
        <v>-349.66999999999825</v>
      </c>
      <c r="AP23" s="267">
        <v>-11629.37</v>
      </c>
      <c r="AQ23" s="267">
        <v>-1858.7299999999996</v>
      </c>
      <c r="AR23" s="267">
        <v>-11752.560000000001</v>
      </c>
      <c r="AS23" s="267">
        <v>-6142.4400000000005</v>
      </c>
      <c r="AT23" s="267">
        <v>-2582.42</v>
      </c>
      <c r="AU23" s="267">
        <v>-9178.2099999999991</v>
      </c>
      <c r="AV23" s="267">
        <v>-2551.8899999999994</v>
      </c>
      <c r="AW23" s="267">
        <v>-7793.2000000000007</v>
      </c>
      <c r="AX23" s="267">
        <v>-5555.0600000000013</v>
      </c>
      <c r="AY23" s="267">
        <v>24206.9</v>
      </c>
      <c r="AZ23" s="267">
        <v>27989.040000000001</v>
      </c>
      <c r="BA23" s="267">
        <v>-2965.2999999999993</v>
      </c>
      <c r="BB23" s="267">
        <v>376.70000000000073</v>
      </c>
      <c r="BC23" s="267">
        <v>2770.869999999999</v>
      </c>
    </row>
    <row r="24" spans="1:55" x14ac:dyDescent="0.25">
      <c r="B24" s="258" t="s">
        <v>132</v>
      </c>
      <c r="C24" s="267">
        <v>925.98999999999978</v>
      </c>
      <c r="D24" s="267">
        <v>11014.300000000003</v>
      </c>
      <c r="E24" s="267">
        <v>2737.1999999999971</v>
      </c>
      <c r="F24" s="267">
        <v>514.27000000000044</v>
      </c>
      <c r="G24" s="267">
        <v>-5623.3600000000006</v>
      </c>
      <c r="H24" s="267">
        <v>-4756.2299999999996</v>
      </c>
      <c r="I24" s="267">
        <v>9709.52</v>
      </c>
      <c r="J24" s="267">
        <v>3469.6999999999971</v>
      </c>
      <c r="K24" s="267">
        <v>4629.8600000000006</v>
      </c>
      <c r="L24" s="267">
        <v>-36954.94</v>
      </c>
      <c r="M24" s="267">
        <v>-9945.0800000000017</v>
      </c>
      <c r="N24" s="267">
        <v>1779.8100000000013</v>
      </c>
      <c r="O24" s="267">
        <v>4374.8899999999994</v>
      </c>
      <c r="P24" s="267">
        <v>2637.1200000000008</v>
      </c>
      <c r="Q24" s="267">
        <v>4464.1000000000004</v>
      </c>
      <c r="R24" s="267">
        <v>3767.0200000000004</v>
      </c>
      <c r="S24" s="267">
        <v>11657.94</v>
      </c>
      <c r="T24" s="267">
        <v>5485.32</v>
      </c>
      <c r="U24" s="267">
        <v>2130.2099999999991</v>
      </c>
      <c r="V24" s="267">
        <v>-6758.4900000000016</v>
      </c>
      <c r="W24" s="267">
        <v>-5894.4900000000016</v>
      </c>
      <c r="X24" s="267">
        <v>-5447.4100000000017</v>
      </c>
      <c r="Y24" s="267">
        <v>5096.18</v>
      </c>
      <c r="Z24" s="267">
        <v>-7806.380000000001</v>
      </c>
      <c r="AA24" s="267">
        <v>4070.5499999999993</v>
      </c>
      <c r="AB24" s="267">
        <v>8974.98</v>
      </c>
      <c r="AC24" s="267">
        <v>-2650.2700000000004</v>
      </c>
      <c r="AD24" s="267">
        <v>898.2599999999984</v>
      </c>
      <c r="AE24" s="267">
        <v>1983.4300000000003</v>
      </c>
      <c r="AF24" s="267">
        <v>-2819.9700000000012</v>
      </c>
      <c r="AG24" s="267">
        <v>-10729.630000000001</v>
      </c>
      <c r="AH24" s="267">
        <v>-10713.47</v>
      </c>
      <c r="AI24" s="267">
        <v>-138176.13999999996</v>
      </c>
      <c r="AJ24" s="267">
        <v>-34886.810000000012</v>
      </c>
      <c r="AK24" s="267">
        <v>-83238.560000000012</v>
      </c>
      <c r="AL24" s="267">
        <v>-21437.369999999995</v>
      </c>
      <c r="AM24" s="267">
        <v>-13348.330000000002</v>
      </c>
      <c r="AN24" s="267">
        <v>-11224.07</v>
      </c>
      <c r="AO24" s="267">
        <v>-30582.71000000001</v>
      </c>
      <c r="AP24" s="267">
        <v>-191544.97</v>
      </c>
      <c r="AQ24" s="267">
        <v>-21282.430000000008</v>
      </c>
      <c r="AR24" s="267">
        <v>-26127.690000000021</v>
      </c>
      <c r="AS24" s="267">
        <v>-43361.259999999987</v>
      </c>
      <c r="AT24" s="267">
        <v>-110457.64999999998</v>
      </c>
      <c r="AU24" s="267">
        <v>2135.6400000000031</v>
      </c>
      <c r="AV24" s="267">
        <v>-55773.209999999992</v>
      </c>
      <c r="AW24" s="267">
        <v>-10096.929999999998</v>
      </c>
      <c r="AX24" s="267">
        <v>9413.9700000000084</v>
      </c>
      <c r="AY24" s="267">
        <v>28961.059999999998</v>
      </c>
      <c r="AZ24" s="267">
        <v>20841.049999999996</v>
      </c>
      <c r="BA24" s="267">
        <v>-10909.570000000007</v>
      </c>
      <c r="BB24" s="267">
        <v>964.95000000000073</v>
      </c>
      <c r="BC24" s="267">
        <v>-1491.8800000000047</v>
      </c>
    </row>
    <row r="25" spans="1:55" x14ac:dyDescent="0.25">
      <c r="B25" s="258" t="s">
        <v>136</v>
      </c>
      <c r="I25" s="267"/>
      <c r="AH25" s="267">
        <v>-2934.3900000000003</v>
      </c>
      <c r="AI25" s="267">
        <v>-3224.5699999999997</v>
      </c>
      <c r="AJ25" s="267">
        <v>-1871.829999999999</v>
      </c>
      <c r="AK25" s="267">
        <v>-1733.6099999999997</v>
      </c>
      <c r="AL25" s="267">
        <v>-3272.59</v>
      </c>
      <c r="AM25" s="267">
        <v>-570.39000000000033</v>
      </c>
      <c r="AN25" s="267">
        <v>-3518.9799999999996</v>
      </c>
      <c r="AO25" s="267">
        <v>-232.05000000000109</v>
      </c>
      <c r="AP25" s="267">
        <v>-1315.5900000000001</v>
      </c>
      <c r="AQ25" s="267">
        <v>2130.2199999999993</v>
      </c>
      <c r="AR25" s="267">
        <v>-239.67000000000007</v>
      </c>
      <c r="AS25" s="267">
        <v>2770.7000000000007</v>
      </c>
      <c r="AT25" s="267">
        <v>-1395.75</v>
      </c>
      <c r="AU25" s="267">
        <v>457.45000000000073</v>
      </c>
      <c r="AV25" s="267">
        <v>3060.2700000000004</v>
      </c>
      <c r="AW25" s="267">
        <v>560.97999999999956</v>
      </c>
      <c r="AX25" s="267">
        <v>-6651.35</v>
      </c>
      <c r="AY25" s="267">
        <v>1993</v>
      </c>
      <c r="AZ25" s="267">
        <v>11535.11</v>
      </c>
      <c r="BA25" s="267">
        <v>-2362.6099999999997</v>
      </c>
      <c r="BB25" s="267">
        <v>-4270.6099999999997</v>
      </c>
      <c r="BC25" s="267">
        <v>-4327.1000000000004</v>
      </c>
    </row>
    <row r="26" spans="1:55" x14ac:dyDescent="0.25">
      <c r="I26" s="267"/>
      <c r="AH26" s="267"/>
      <c r="AI26" s="267"/>
      <c r="AJ26" s="267"/>
      <c r="AK26" s="267"/>
      <c r="AL26" s="267"/>
      <c r="AM26" s="267"/>
      <c r="AN26" s="267"/>
      <c r="AO26" s="267"/>
      <c r="AP26" s="267"/>
      <c r="AQ26" s="267"/>
      <c r="AR26" s="267"/>
      <c r="AS26" s="267"/>
      <c r="AT26" s="267"/>
      <c r="AU26" s="267"/>
      <c r="AV26" s="267"/>
      <c r="AW26" s="267"/>
      <c r="AX26" s="267"/>
      <c r="AY26" s="267"/>
      <c r="AZ26" s="267"/>
      <c r="BA26" s="267"/>
      <c r="BB26" s="267"/>
      <c r="BC26" s="267"/>
    </row>
    <row r="27" spans="1:55" x14ac:dyDescent="0.25">
      <c r="B27" s="266" t="s">
        <v>127</v>
      </c>
      <c r="C27" s="281" t="s">
        <v>2</v>
      </c>
      <c r="D27" s="281" t="s">
        <v>3</v>
      </c>
      <c r="E27" s="281" t="s">
        <v>4</v>
      </c>
      <c r="F27" s="281" t="s">
        <v>5</v>
      </c>
      <c r="G27" s="281" t="s">
        <v>6</v>
      </c>
      <c r="H27" s="281" t="s">
        <v>7</v>
      </c>
      <c r="I27" s="259" t="s">
        <v>8</v>
      </c>
      <c r="J27" s="259" t="s">
        <v>9</v>
      </c>
      <c r="K27" s="259" t="s">
        <v>10</v>
      </c>
      <c r="L27" s="259" t="s">
        <v>114</v>
      </c>
      <c r="M27" s="259" t="s">
        <v>12</v>
      </c>
      <c r="N27" s="259" t="s">
        <v>13</v>
      </c>
      <c r="O27" s="259" t="s">
        <v>14</v>
      </c>
      <c r="P27" s="259" t="s">
        <v>15</v>
      </c>
      <c r="Q27" s="259" t="s">
        <v>16</v>
      </c>
      <c r="R27" s="259" t="s">
        <v>17</v>
      </c>
      <c r="S27" s="259" t="s">
        <v>18</v>
      </c>
      <c r="T27" s="259" t="s">
        <v>19</v>
      </c>
      <c r="U27" s="259" t="s">
        <v>20</v>
      </c>
      <c r="V27" s="259" t="s">
        <v>21</v>
      </c>
      <c r="W27" s="259" t="s">
        <v>22</v>
      </c>
      <c r="X27" s="259" t="s">
        <v>23</v>
      </c>
      <c r="Y27" s="259" t="s">
        <v>24</v>
      </c>
      <c r="Z27" s="259" t="s">
        <v>25</v>
      </c>
      <c r="AA27" s="259" t="s">
        <v>26</v>
      </c>
      <c r="AB27" s="259" t="s">
        <v>27</v>
      </c>
      <c r="AC27" s="259" t="s">
        <v>28</v>
      </c>
      <c r="AD27" s="259" t="s">
        <v>29</v>
      </c>
      <c r="AE27" s="259" t="s">
        <v>30</v>
      </c>
      <c r="AF27" s="259" t="s">
        <v>31</v>
      </c>
      <c r="AG27" s="259" t="s">
        <v>32</v>
      </c>
      <c r="AH27" s="282" t="s">
        <v>34</v>
      </c>
      <c r="AI27" s="282" t="s">
        <v>35</v>
      </c>
      <c r="AJ27" s="282" t="s">
        <v>36</v>
      </c>
      <c r="AK27" s="282" t="s">
        <v>37</v>
      </c>
      <c r="AL27" s="282" t="s">
        <v>38</v>
      </c>
      <c r="AM27" s="282" t="s">
        <v>39</v>
      </c>
      <c r="AN27" s="282" t="s">
        <v>33</v>
      </c>
      <c r="AO27" s="282" t="s">
        <v>40</v>
      </c>
      <c r="AP27" s="282" t="s">
        <v>41</v>
      </c>
      <c r="AQ27" s="282" t="s">
        <v>42</v>
      </c>
      <c r="AR27" s="282" t="s">
        <v>43</v>
      </c>
      <c r="AS27" s="282" t="s">
        <v>44</v>
      </c>
      <c r="AT27" s="282" t="s">
        <v>45</v>
      </c>
      <c r="AU27" s="282" t="s">
        <v>46</v>
      </c>
      <c r="AV27" s="282" t="s">
        <v>47</v>
      </c>
      <c r="AW27" s="282" t="s">
        <v>48</v>
      </c>
      <c r="AX27" s="282" t="s">
        <v>49</v>
      </c>
      <c r="AY27" s="282" t="s">
        <v>50</v>
      </c>
      <c r="AZ27" s="282" t="s">
        <v>51</v>
      </c>
      <c r="BA27" s="282" t="s">
        <v>52</v>
      </c>
      <c r="BB27" s="282" t="s">
        <v>53</v>
      </c>
      <c r="BC27" s="282" t="s">
        <v>54</v>
      </c>
    </row>
    <row r="28" spans="1:55" x14ac:dyDescent="0.25">
      <c r="B28" s="283" t="s">
        <v>62</v>
      </c>
      <c r="C28" s="260">
        <v>-4340.7799999999988</v>
      </c>
      <c r="D28" s="260">
        <v>-5459.8499999999876</v>
      </c>
      <c r="E28" s="260">
        <v>-24382.11</v>
      </c>
      <c r="F28" s="260">
        <v>-507.70000000000027</v>
      </c>
      <c r="G28" s="260">
        <v>2726.7300000000005</v>
      </c>
      <c r="H28" s="260">
        <v>-6818.96</v>
      </c>
      <c r="I28" s="260">
        <v>-762.41999999999462</v>
      </c>
      <c r="J28" s="260">
        <v>1446.419999999991</v>
      </c>
      <c r="K28" s="260">
        <v>3331.5200000000041</v>
      </c>
      <c r="L28" s="260">
        <v>-6510.1699999999983</v>
      </c>
      <c r="M28" s="260">
        <v>3085.9100000000071</v>
      </c>
      <c r="N28" s="260">
        <v>-2633.3799999999983</v>
      </c>
      <c r="O28" s="260">
        <v>2545.9700000000003</v>
      </c>
      <c r="P28" s="260">
        <v>3027.7</v>
      </c>
      <c r="Q28" s="260">
        <v>-5900.3599999999979</v>
      </c>
      <c r="R28" s="260">
        <v>149.43</v>
      </c>
      <c r="S28" s="260">
        <v>-3040.0700000000033</v>
      </c>
      <c r="T28" s="260">
        <v>10546.229999999996</v>
      </c>
      <c r="U28" s="260">
        <v>-2794.659999999998</v>
      </c>
      <c r="V28" s="260">
        <v>-760.55000000000291</v>
      </c>
      <c r="W28" s="260">
        <v>-1607.1100000000042</v>
      </c>
      <c r="X28" s="260">
        <v>1164.3999999999978</v>
      </c>
      <c r="Y28" s="260">
        <v>-927.14000000000669</v>
      </c>
      <c r="Z28" s="260">
        <v>9037.1000000000058</v>
      </c>
      <c r="AA28" s="260">
        <v>-10577.05</v>
      </c>
      <c r="AB28" s="260">
        <v>2113.880000000001</v>
      </c>
      <c r="AC28" s="260">
        <v>1153.9300000000003</v>
      </c>
      <c r="AD28" s="260">
        <v>10433.279999999999</v>
      </c>
      <c r="AE28" s="260">
        <v>-5559.2000000000007</v>
      </c>
      <c r="AF28" s="260">
        <v>234.64</v>
      </c>
      <c r="AG28" s="260">
        <v>-9.7900000000000009</v>
      </c>
      <c r="AH28" s="260">
        <v>3522.1399999999994</v>
      </c>
      <c r="AI28" s="260">
        <v>11031.54</v>
      </c>
      <c r="AJ28" s="260">
        <v>222.03999999999996</v>
      </c>
      <c r="AK28" s="260">
        <v>-2941.1200000000008</v>
      </c>
      <c r="AL28" s="260">
        <v>-3872.6699999999983</v>
      </c>
      <c r="AM28" s="260">
        <v>-7523.49</v>
      </c>
      <c r="AN28" s="260">
        <v>-4031.9700000000012</v>
      </c>
      <c r="AO28" s="260">
        <v>8180.5400000000009</v>
      </c>
      <c r="AP28" s="260">
        <v>7349.2300000000032</v>
      </c>
      <c r="AQ28" s="260">
        <v>1800.2999999999956</v>
      </c>
      <c r="AR28" s="260">
        <v>5513.9500000000044</v>
      </c>
      <c r="AS28" s="260">
        <v>1990.3000000000029</v>
      </c>
      <c r="AT28" s="260">
        <v>-2965.7200000000012</v>
      </c>
      <c r="AU28" s="260">
        <v>5032.190000000006</v>
      </c>
      <c r="AV28" s="260">
        <v>-2391.5299999999988</v>
      </c>
      <c r="AW28" s="260">
        <v>11743.900000000001</v>
      </c>
      <c r="AX28" s="260">
        <v>616.38999999999942</v>
      </c>
      <c r="AY28" s="260">
        <v>3807.8199999999997</v>
      </c>
      <c r="AZ28" s="260">
        <v>22481.919999999998</v>
      </c>
      <c r="BA28" s="260">
        <v>3434.3900000000031</v>
      </c>
      <c r="BB28" s="260">
        <v>18263.759999999998</v>
      </c>
      <c r="BC28" s="260">
        <v>-2859.0999999999985</v>
      </c>
    </row>
    <row r="29" spans="1:55" x14ac:dyDescent="0.25">
      <c r="B29" s="283" t="s">
        <v>63</v>
      </c>
      <c r="C29" s="260">
        <v>268.46000000000004</v>
      </c>
      <c r="D29" s="260">
        <v>-862.68999999999869</v>
      </c>
      <c r="E29" s="260">
        <v>-10951.15</v>
      </c>
      <c r="F29" s="260">
        <v>-901.94000000000028</v>
      </c>
      <c r="G29" s="260">
        <v>2274.0099999999993</v>
      </c>
      <c r="H29" s="260">
        <v>-24.930000000000003</v>
      </c>
      <c r="I29" s="260">
        <v>-3407.05</v>
      </c>
      <c r="J29" s="260">
        <v>3214.8</v>
      </c>
      <c r="K29" s="260">
        <v>3921.3899999999994</v>
      </c>
      <c r="L29" s="260">
        <v>-3454.3599999999997</v>
      </c>
      <c r="M29" s="260">
        <v>3920.8700000000013</v>
      </c>
      <c r="N29" s="260">
        <v>8223.2900000000045</v>
      </c>
      <c r="O29" s="260">
        <v>-1306.2100000000009</v>
      </c>
      <c r="P29" s="260">
        <v>-3359.98</v>
      </c>
      <c r="Q29" s="260">
        <v>-15677.87000000001</v>
      </c>
      <c r="R29" s="260">
        <v>0</v>
      </c>
      <c r="S29" s="260">
        <v>-8718.8500000000022</v>
      </c>
      <c r="T29" s="260">
        <v>2984.0399999999995</v>
      </c>
      <c r="U29" s="260">
        <v>427.11999999999989</v>
      </c>
      <c r="V29" s="260">
        <v>2135.9600000000009</v>
      </c>
      <c r="W29" s="260">
        <v>4547.6000000000004</v>
      </c>
      <c r="X29" s="260">
        <v>4337.7100000000028</v>
      </c>
      <c r="Y29" s="260">
        <v>-2636.5199999999995</v>
      </c>
      <c r="Z29" s="260">
        <v>11971.12000000001</v>
      </c>
      <c r="AA29" s="260">
        <v>-8108.2400000000016</v>
      </c>
      <c r="AB29" s="260">
        <v>-4984.5400000000009</v>
      </c>
      <c r="AC29" s="260">
        <v>-1778.1500000000015</v>
      </c>
      <c r="AD29" s="260">
        <v>4483.2000000000044</v>
      </c>
      <c r="AE29" s="260">
        <v>-1112.8199999999979</v>
      </c>
      <c r="AF29" s="260">
        <v>0</v>
      </c>
      <c r="AG29" s="260">
        <v>0</v>
      </c>
      <c r="AH29" s="260">
        <v>-476.35999999999694</v>
      </c>
      <c r="AI29" s="260">
        <v>-10891.130000000005</v>
      </c>
      <c r="AJ29" s="260">
        <v>-5660.3200000000015</v>
      </c>
      <c r="AK29" s="260">
        <v>8141.6100000000006</v>
      </c>
      <c r="AL29" s="260">
        <v>-3599.6800000000003</v>
      </c>
      <c r="AM29" s="260">
        <v>3207.5300000000025</v>
      </c>
      <c r="AN29" s="260">
        <v>20695.150000000001</v>
      </c>
      <c r="AO29" s="260">
        <v>21019.239999999991</v>
      </c>
      <c r="AP29" s="260">
        <v>19209.309999999998</v>
      </c>
      <c r="AQ29" s="260">
        <v>73083.85000000002</v>
      </c>
      <c r="AR29" s="260">
        <v>49177.389999999985</v>
      </c>
      <c r="AS29" s="260">
        <v>1839.869999999999</v>
      </c>
      <c r="AT29" s="260">
        <v>13687.36</v>
      </c>
      <c r="AU29" s="260">
        <v>15610.160000000033</v>
      </c>
      <c r="AV29" s="260">
        <v>-7742.9799999999959</v>
      </c>
      <c r="AW29" s="260">
        <v>5183.1600000000035</v>
      </c>
      <c r="AX29" s="260">
        <v>-6768.32</v>
      </c>
      <c r="AY29" s="260">
        <v>-43679.770000000019</v>
      </c>
      <c r="AZ29" s="260">
        <v>29827.93</v>
      </c>
      <c r="BA29" s="260">
        <v>13168.730000000003</v>
      </c>
      <c r="BB29" s="260">
        <v>14119.760000000009</v>
      </c>
      <c r="BC29" s="260">
        <v>-4325.1600000000035</v>
      </c>
    </row>
    <row r="30" spans="1:55" x14ac:dyDescent="0.25">
      <c r="B30" s="283" t="s">
        <v>64</v>
      </c>
      <c r="C30" s="260">
        <v>170.94</v>
      </c>
      <c r="D30" s="260">
        <v>-20463.11</v>
      </c>
      <c r="E30" s="260">
        <v>-419.5</v>
      </c>
      <c r="F30" s="260">
        <v>-52.5</v>
      </c>
      <c r="G30" s="260">
        <v>-4040.4</v>
      </c>
      <c r="H30" s="260">
        <v>-25955.95000000007</v>
      </c>
      <c r="I30" s="260">
        <v>-52.5</v>
      </c>
      <c r="J30" s="260">
        <v>2252.83</v>
      </c>
      <c r="K30" s="260">
        <v>25038.36</v>
      </c>
      <c r="L30" s="260">
        <v>0</v>
      </c>
      <c r="M30" s="260">
        <v>-1740.6800000000003</v>
      </c>
      <c r="N30" s="260">
        <v>-31007.72</v>
      </c>
      <c r="O30" s="260">
        <v>72308.970000000016</v>
      </c>
      <c r="P30" s="260">
        <v>43927.989999999991</v>
      </c>
      <c r="Q30" s="260">
        <v>-125374.25</v>
      </c>
      <c r="R30" s="260">
        <v>-26001.600000000093</v>
      </c>
      <c r="S30" s="260">
        <v>42</v>
      </c>
      <c r="T30" s="260">
        <v>14909.49</v>
      </c>
      <c r="U30" s="260">
        <v>-24098.020000000004</v>
      </c>
      <c r="V30" s="260">
        <v>-52.5</v>
      </c>
      <c r="W30" s="260">
        <v>-123.9</v>
      </c>
      <c r="X30" s="260">
        <v>5404.14</v>
      </c>
      <c r="Y30" s="260">
        <v>-236.25</v>
      </c>
      <c r="Z30" s="260">
        <v>-86621.67</v>
      </c>
      <c r="AA30" s="260">
        <v>45848.920000000013</v>
      </c>
      <c r="AB30" s="260">
        <v>8938.789999999979</v>
      </c>
      <c r="AC30" s="260">
        <v>106449.41999999998</v>
      </c>
      <c r="AD30" s="260">
        <v>38.819999999999709</v>
      </c>
      <c r="AE30" s="260">
        <v>21306.050000000003</v>
      </c>
      <c r="AF30" s="260">
        <v>-113027.04000000027</v>
      </c>
      <c r="AG30" s="260">
        <v>-110200.51000000001</v>
      </c>
      <c r="AH30" s="260">
        <v>3133.9499999999971</v>
      </c>
      <c r="AI30" s="260">
        <v>-19358.100000000006</v>
      </c>
      <c r="AJ30" s="260">
        <v>6529.82</v>
      </c>
      <c r="AK30" s="260">
        <v>-60718.46</v>
      </c>
      <c r="AL30" s="260">
        <v>-38596.01</v>
      </c>
      <c r="AM30" s="260">
        <v>13852.489999999998</v>
      </c>
      <c r="AN30" s="260">
        <v>53543.33</v>
      </c>
      <c r="AO30" s="260">
        <v>-110411.62</v>
      </c>
      <c r="AP30" s="260">
        <v>15048.800000000003</v>
      </c>
      <c r="AQ30" s="260">
        <v>72122.639999999985</v>
      </c>
      <c r="AR30" s="260">
        <v>-14869.329999999958</v>
      </c>
      <c r="AS30" s="260">
        <v>-26248.639999999999</v>
      </c>
      <c r="AT30" s="260">
        <v>8869.7500000000073</v>
      </c>
      <c r="AU30" s="260">
        <v>-91611.04</v>
      </c>
      <c r="AV30" s="260">
        <v>-76792.930000000008</v>
      </c>
      <c r="AW30" s="260">
        <v>6669.6200000000026</v>
      </c>
      <c r="AX30" s="260">
        <v>33910.31</v>
      </c>
      <c r="AY30" s="260">
        <v>-152340.10999999999</v>
      </c>
      <c r="AZ30" s="260">
        <v>78697.929999999993</v>
      </c>
      <c r="BA30" s="260">
        <v>21513.730000000003</v>
      </c>
      <c r="BB30" s="260">
        <v>-13520.419999999995</v>
      </c>
      <c r="BC30" s="260">
        <v>66968.170000000013</v>
      </c>
    </row>
    <row r="31" spans="1:55" x14ac:dyDescent="0.25">
      <c r="B31" s="279" t="s">
        <v>58</v>
      </c>
      <c r="C31" s="260">
        <v>-49.350000000000023</v>
      </c>
      <c r="D31" s="260">
        <v>-6088</v>
      </c>
      <c r="E31" s="260">
        <v>-23565.489999999991</v>
      </c>
      <c r="F31" s="260">
        <v>929.14999999999986</v>
      </c>
      <c r="G31" s="260">
        <v>-456.32999999999993</v>
      </c>
      <c r="H31" s="260">
        <v>3707.5299999999988</v>
      </c>
      <c r="I31" s="260">
        <v>-37288.81</v>
      </c>
      <c r="J31" s="260">
        <v>-4966.6399999999994</v>
      </c>
      <c r="K31" s="260">
        <v>27042.68</v>
      </c>
      <c r="L31" s="260">
        <v>-4910.29</v>
      </c>
      <c r="M31" s="260">
        <v>-23053.360000000008</v>
      </c>
      <c r="N31" s="260">
        <v>-910.52000000000044</v>
      </c>
      <c r="O31" s="260">
        <v>267.7400000000016</v>
      </c>
      <c r="P31" s="260">
        <v>1959.8400000000001</v>
      </c>
      <c r="Q31" s="260">
        <v>-4625.42</v>
      </c>
      <c r="R31" s="260">
        <v>-1671.3200000000015</v>
      </c>
      <c r="S31" s="260">
        <v>1884.5099999999984</v>
      </c>
      <c r="T31" s="260">
        <v>3036.5999999999985</v>
      </c>
      <c r="U31" s="260">
        <v>3671.1500000000015</v>
      </c>
      <c r="V31" s="260">
        <v>697.81999999999971</v>
      </c>
      <c r="W31" s="260">
        <v>-1308.6299999999992</v>
      </c>
      <c r="X31" s="260">
        <v>1048.6599999999999</v>
      </c>
      <c r="Y31" s="260">
        <v>165.31999999999971</v>
      </c>
      <c r="Z31" s="260">
        <v>-12675.11</v>
      </c>
      <c r="AA31" s="260">
        <v>5997.7999999999993</v>
      </c>
      <c r="AB31" s="260">
        <v>-3162.5300000000025</v>
      </c>
      <c r="AC31" s="260">
        <v>1048.1800000000003</v>
      </c>
      <c r="AD31" s="260">
        <v>-11482.57</v>
      </c>
      <c r="AE31" s="260">
        <v>-3237.0099999999993</v>
      </c>
      <c r="AF31" s="260">
        <v>7637.33</v>
      </c>
      <c r="AG31" s="260">
        <v>-7805.98</v>
      </c>
      <c r="AH31" s="260">
        <v>1702.5499999999993</v>
      </c>
      <c r="AI31" s="260">
        <v>120.61000000000058</v>
      </c>
      <c r="AJ31" s="260">
        <v>-9031.07</v>
      </c>
      <c r="AK31" s="260">
        <v>-1600.0299999999997</v>
      </c>
      <c r="AL31" s="260">
        <v>-1407.2799999999988</v>
      </c>
      <c r="AM31" s="260">
        <v>3195.76</v>
      </c>
      <c r="AN31" s="260">
        <v>-1781.6000000000004</v>
      </c>
      <c r="AO31" s="260">
        <v>-1979.9500000000007</v>
      </c>
      <c r="AP31" s="260">
        <v>8580.41</v>
      </c>
      <c r="AQ31" s="260">
        <v>711.19000000000051</v>
      </c>
      <c r="AR31" s="260">
        <v>-5400.83</v>
      </c>
      <c r="AS31" s="260">
        <v>-764.02999999999884</v>
      </c>
      <c r="AT31" s="260">
        <v>13512.59</v>
      </c>
      <c r="AU31" s="260">
        <v>3780.9500000000007</v>
      </c>
      <c r="AV31" s="260">
        <v>3407.1100000000006</v>
      </c>
      <c r="AW31" s="260">
        <v>-6190.68</v>
      </c>
      <c r="AX31" s="260">
        <v>-5058.5200000000004</v>
      </c>
      <c r="AY31" s="260">
        <v>15647.859999999997</v>
      </c>
      <c r="AZ31" s="260">
        <v>31795.87</v>
      </c>
      <c r="BA31" s="260">
        <v>-5386.7000000000007</v>
      </c>
      <c r="BB31" s="260">
        <v>-282.71999999999935</v>
      </c>
      <c r="BC31" s="260">
        <v>3096.5099999999984</v>
      </c>
    </row>
    <row r="32" spans="1:55" x14ac:dyDescent="0.25">
      <c r="B32" s="258" t="s">
        <v>132</v>
      </c>
      <c r="C32" s="260">
        <v>3535.58</v>
      </c>
      <c r="D32" s="260">
        <v>-23416.19</v>
      </c>
      <c r="E32" s="260">
        <v>-53691.710000000006</v>
      </c>
      <c r="F32" s="260">
        <v>-6254.6299999999992</v>
      </c>
      <c r="G32" s="260">
        <v>-5557.0600000000013</v>
      </c>
      <c r="H32" s="260">
        <v>-10760.98</v>
      </c>
      <c r="I32" s="260">
        <v>2985.08</v>
      </c>
      <c r="J32" s="260">
        <v>-4470.8600000000042</v>
      </c>
      <c r="K32" s="260">
        <v>-38270.639999999999</v>
      </c>
      <c r="L32" s="260">
        <v>-41798.300000000003</v>
      </c>
      <c r="M32" s="260">
        <v>-3431.010000000002</v>
      </c>
      <c r="N32" s="260">
        <v>-7233.0799999999981</v>
      </c>
      <c r="O32" s="260">
        <v>23374.909999999996</v>
      </c>
      <c r="P32" s="260">
        <v>-1632.5399999999991</v>
      </c>
      <c r="Q32" s="260">
        <v>-1611.08</v>
      </c>
      <c r="R32" s="260">
        <v>-796.82999999999811</v>
      </c>
      <c r="S32" s="260">
        <v>358.51000000000022</v>
      </c>
      <c r="T32" s="260">
        <v>-5709.2900000000009</v>
      </c>
      <c r="U32" s="260">
        <v>3581.5699999999997</v>
      </c>
      <c r="V32" s="260">
        <v>-10889.79</v>
      </c>
      <c r="W32" s="260">
        <v>-1493.8500000000022</v>
      </c>
      <c r="X32" s="260">
        <v>9243.3299999999981</v>
      </c>
      <c r="Y32" s="260">
        <v>8995.8499999999985</v>
      </c>
      <c r="Z32" s="260">
        <v>2071.4799999999996</v>
      </c>
      <c r="AA32" s="260">
        <v>-4716.59</v>
      </c>
      <c r="AB32" s="260">
        <v>-5066.84</v>
      </c>
      <c r="AC32" s="260">
        <v>21288.929999999997</v>
      </c>
      <c r="AD32" s="260">
        <v>-10008.340000000002</v>
      </c>
      <c r="AE32" s="260">
        <v>-1369.2600000000002</v>
      </c>
      <c r="AF32" s="260">
        <v>-246.06000000000131</v>
      </c>
      <c r="AG32" s="260">
        <v>-16416.68</v>
      </c>
      <c r="AH32" s="260">
        <v>-21094.149999999994</v>
      </c>
      <c r="AI32" s="260">
        <v>-139172.92999999996</v>
      </c>
      <c r="AJ32" s="260">
        <v>-38995.44000000001</v>
      </c>
      <c r="AK32" s="260">
        <v>-73826.520000000062</v>
      </c>
      <c r="AL32" s="260">
        <v>-25260.679999999986</v>
      </c>
      <c r="AM32" s="260">
        <v>-11988.07</v>
      </c>
      <c r="AN32" s="260">
        <v>-13118.5</v>
      </c>
      <c r="AO32" s="260">
        <v>-33415.609999999986</v>
      </c>
      <c r="AP32" s="260">
        <v>-201642.1</v>
      </c>
      <c r="AQ32" s="260">
        <v>-18904.150000000016</v>
      </c>
      <c r="AR32" s="260">
        <v>-31594.049999999996</v>
      </c>
      <c r="AS32" s="260">
        <v>-41065.989999999962</v>
      </c>
      <c r="AT32" s="260">
        <v>-108167.52999999997</v>
      </c>
      <c r="AU32" s="260">
        <v>7842.2100000000155</v>
      </c>
      <c r="AV32" s="260">
        <v>-53132.469999999943</v>
      </c>
      <c r="AW32" s="260">
        <v>-13989.380000000016</v>
      </c>
      <c r="AX32" s="260">
        <v>-13076.339999999998</v>
      </c>
      <c r="AY32" s="260">
        <v>30315.339999999982</v>
      </c>
      <c r="AZ32" s="260">
        <v>-14183.789999999999</v>
      </c>
      <c r="BA32" s="260">
        <v>-739.98000000000684</v>
      </c>
      <c r="BB32" s="260">
        <v>7261.0400000000009</v>
      </c>
      <c r="BC32" s="260">
        <v>19184.75</v>
      </c>
    </row>
    <row r="35" spans="2:13" x14ac:dyDescent="0.25">
      <c r="D35" s="259" t="s">
        <v>137</v>
      </c>
      <c r="E35" s="259" t="s">
        <v>138</v>
      </c>
      <c r="K35" s="258" t="s">
        <v>139</v>
      </c>
      <c r="M35" s="258" t="s">
        <v>140</v>
      </c>
    </row>
    <row r="36" spans="2:13" x14ac:dyDescent="0.25">
      <c r="B36" s="259" t="s">
        <v>1</v>
      </c>
      <c r="D36" s="268">
        <v>2061562.0899999999</v>
      </c>
      <c r="E36" s="268">
        <v>2656400</v>
      </c>
      <c r="F36" s="262">
        <v>0.776073667369372</v>
      </c>
      <c r="J36" s="258" t="s">
        <v>119</v>
      </c>
    </row>
    <row r="37" spans="2:13" x14ac:dyDescent="0.25">
      <c r="B37" s="258" t="s">
        <v>81</v>
      </c>
      <c r="C37" s="258" t="s">
        <v>18</v>
      </c>
      <c r="D37" s="269">
        <v>88846.580000000016</v>
      </c>
      <c r="E37" s="269">
        <v>93150</v>
      </c>
      <c r="F37" s="262">
        <v>0.95380118089103616</v>
      </c>
      <c r="J37" s="258" t="s">
        <v>141</v>
      </c>
      <c r="K37" s="270">
        <v>766520.15999999992</v>
      </c>
      <c r="L37" s="270">
        <v>1029750</v>
      </c>
      <c r="M37" s="267">
        <v>263229.84000000008</v>
      </c>
    </row>
    <row r="38" spans="2:13" x14ac:dyDescent="0.25">
      <c r="B38" s="258" t="s">
        <v>82</v>
      </c>
      <c r="C38" s="258" t="s">
        <v>19</v>
      </c>
      <c r="D38" s="269">
        <v>50986.53</v>
      </c>
      <c r="E38" s="269">
        <v>74050</v>
      </c>
      <c r="F38" s="262">
        <v>0.68854193112761641</v>
      </c>
      <c r="J38" s="258" t="s">
        <v>142</v>
      </c>
      <c r="K38" s="270">
        <v>246754.58000000002</v>
      </c>
      <c r="L38" s="270">
        <v>244947.03999999998</v>
      </c>
      <c r="M38" s="267">
        <v>-1807.5400000000373</v>
      </c>
    </row>
    <row r="39" spans="2:13" x14ac:dyDescent="0.25">
      <c r="B39" s="258" t="s">
        <v>83</v>
      </c>
      <c r="C39" s="258" t="s">
        <v>20</v>
      </c>
      <c r="D39" s="269">
        <v>242276.21</v>
      </c>
      <c r="E39" s="269">
        <v>483200</v>
      </c>
      <c r="F39" s="262">
        <v>0.50139944122516555</v>
      </c>
      <c r="J39" s="258" t="s">
        <v>143</v>
      </c>
      <c r="K39" s="270">
        <v>763731.22</v>
      </c>
      <c r="L39" s="270">
        <v>1372900</v>
      </c>
      <c r="M39" s="267">
        <v>609168.78</v>
      </c>
    </row>
    <row r="40" spans="2:13" x14ac:dyDescent="0.25">
      <c r="B40" s="258" t="s">
        <v>84</v>
      </c>
      <c r="C40" s="258" t="s">
        <v>21</v>
      </c>
      <c r="D40" s="269">
        <v>197513.26</v>
      </c>
      <c r="E40" s="269">
        <v>148650</v>
      </c>
      <c r="F40" s="262">
        <v>1.3287134880591995</v>
      </c>
      <c r="J40" s="258" t="s">
        <v>144</v>
      </c>
      <c r="K40" s="270">
        <v>1297830.8700000001</v>
      </c>
      <c r="L40" s="270">
        <v>1283500</v>
      </c>
      <c r="M40" s="267">
        <v>-14330.870000000112</v>
      </c>
    </row>
    <row r="41" spans="2:13" x14ac:dyDescent="0.25">
      <c r="B41" s="258" t="s">
        <v>85</v>
      </c>
      <c r="C41" s="258" t="s">
        <v>22</v>
      </c>
      <c r="D41" s="269">
        <v>68537.100000000006</v>
      </c>
      <c r="E41" s="269">
        <v>75150</v>
      </c>
      <c r="F41" s="262">
        <v>0.91200399201596816</v>
      </c>
      <c r="J41" s="258" t="s">
        <v>145</v>
      </c>
      <c r="K41" s="270">
        <v>1449519.3199999998</v>
      </c>
      <c r="L41" s="270">
        <v>1691400</v>
      </c>
      <c r="M41" s="267">
        <v>241880.68000000017</v>
      </c>
    </row>
    <row r="42" spans="2:13" x14ac:dyDescent="0.25">
      <c r="B42" s="258" t="s">
        <v>86</v>
      </c>
      <c r="C42" s="258" t="s">
        <v>23</v>
      </c>
      <c r="D42" s="269">
        <v>65211.840000000004</v>
      </c>
      <c r="E42" s="269">
        <v>417250</v>
      </c>
      <c r="F42" s="262">
        <v>0.15628961054523668</v>
      </c>
      <c r="J42" s="258" t="s">
        <v>146</v>
      </c>
      <c r="K42" s="270">
        <v>2126522.85</v>
      </c>
      <c r="L42" s="270">
        <v>2581300</v>
      </c>
      <c r="M42" s="267">
        <v>454777.14999999991</v>
      </c>
    </row>
    <row r="43" spans="2:13" x14ac:dyDescent="0.25">
      <c r="B43" s="258" t="s">
        <v>87</v>
      </c>
      <c r="C43" s="258" t="s">
        <v>24</v>
      </c>
      <c r="D43" s="269">
        <v>50359.7</v>
      </c>
      <c r="E43" s="269">
        <v>81450</v>
      </c>
      <c r="F43" s="262">
        <v>0.61828974831184769</v>
      </c>
      <c r="J43" s="258" t="s">
        <v>147</v>
      </c>
      <c r="K43" s="258">
        <v>0</v>
      </c>
    </row>
    <row r="44" spans="2:13" x14ac:dyDescent="0.25">
      <c r="B44" s="258" t="s">
        <v>88</v>
      </c>
      <c r="C44" s="258" t="s">
        <v>31</v>
      </c>
      <c r="D44" s="269">
        <v>26696.110000000004</v>
      </c>
      <c r="E44" s="269">
        <v>3900</v>
      </c>
      <c r="F44" s="262">
        <v>6.8451564102564113</v>
      </c>
    </row>
    <row r="45" spans="2:13" x14ac:dyDescent="0.25">
      <c r="B45" s="258" t="s">
        <v>89</v>
      </c>
      <c r="C45" s="258" t="s">
        <v>25</v>
      </c>
      <c r="D45" s="269">
        <v>117272.09999999999</v>
      </c>
      <c r="E45" s="269">
        <v>166250</v>
      </c>
      <c r="F45" s="263">
        <v>0.70539609022556382</v>
      </c>
    </row>
    <row r="46" spans="2:13" x14ac:dyDescent="0.25">
      <c r="B46" s="258" t="s">
        <v>90</v>
      </c>
      <c r="C46" s="258" t="s">
        <v>26</v>
      </c>
      <c r="D46" s="269">
        <v>103519.82</v>
      </c>
      <c r="E46" s="269">
        <v>73400</v>
      </c>
      <c r="F46" s="263">
        <v>1.4103517711171663</v>
      </c>
    </row>
    <row r="47" spans="2:13" x14ac:dyDescent="0.25">
      <c r="B47" s="258" t="s">
        <v>91</v>
      </c>
      <c r="C47" s="258" t="s">
        <v>27</v>
      </c>
      <c r="D47" s="269">
        <v>273813.42000000004</v>
      </c>
      <c r="E47" s="269">
        <v>64700</v>
      </c>
      <c r="F47" s="263">
        <v>4.2320466769706346</v>
      </c>
    </row>
    <row r="48" spans="2:13" x14ac:dyDescent="0.25">
      <c r="B48" s="258" t="s">
        <v>92</v>
      </c>
      <c r="C48" s="258" t="s">
        <v>28</v>
      </c>
      <c r="D48" s="269">
        <v>358444.21</v>
      </c>
      <c r="E48" s="269">
        <v>66650</v>
      </c>
      <c r="F48" s="263">
        <v>5.3780076519129789</v>
      </c>
    </row>
    <row r="49" spans="2:11" x14ac:dyDescent="0.25">
      <c r="B49" s="258" t="s">
        <v>93</v>
      </c>
      <c r="C49" s="258" t="s">
        <v>32</v>
      </c>
      <c r="D49" s="269">
        <v>19712.809999999998</v>
      </c>
      <c r="E49" s="269">
        <v>13200</v>
      </c>
      <c r="F49" s="263">
        <v>1.4933946969696967</v>
      </c>
    </row>
    <row r="50" spans="2:11" x14ac:dyDescent="0.25">
      <c r="B50" s="258" t="s">
        <v>94</v>
      </c>
      <c r="C50" s="258" t="s">
        <v>29</v>
      </c>
      <c r="D50" s="269">
        <v>363880.18</v>
      </c>
      <c r="E50" s="269">
        <v>849250</v>
      </c>
      <c r="F50" s="263">
        <v>0.42847239328819547</v>
      </c>
    </row>
    <row r="51" spans="2:11" x14ac:dyDescent="0.25">
      <c r="B51" s="258" t="s">
        <v>95</v>
      </c>
      <c r="C51" s="258" t="s">
        <v>30</v>
      </c>
      <c r="D51" s="269">
        <v>34492.22</v>
      </c>
      <c r="E51" s="269">
        <v>46150</v>
      </c>
      <c r="F51" s="263">
        <v>0.74739371614301198</v>
      </c>
    </row>
    <row r="52" spans="2:11" x14ac:dyDescent="0.25">
      <c r="B52" s="259" t="s">
        <v>0</v>
      </c>
      <c r="C52" s="259"/>
      <c r="D52" s="259">
        <v>1013274.74</v>
      </c>
      <c r="E52" s="259">
        <v>1274697.04</v>
      </c>
      <c r="F52" s="262">
        <v>0.79491417035062695</v>
      </c>
    </row>
    <row r="53" spans="2:11" x14ac:dyDescent="0.25">
      <c r="B53" s="258" t="s">
        <v>71</v>
      </c>
      <c r="C53" s="258" t="s">
        <v>13</v>
      </c>
      <c r="D53" s="258">
        <v>681.98</v>
      </c>
      <c r="E53" s="258">
        <v>0</v>
      </c>
      <c r="F53" s="262" t="s">
        <v>125</v>
      </c>
    </row>
    <row r="54" spans="2:11" x14ac:dyDescent="0.25">
      <c r="B54" s="258" t="s">
        <v>72</v>
      </c>
      <c r="C54" s="258" t="s">
        <v>14</v>
      </c>
      <c r="D54" s="258">
        <v>7309.05</v>
      </c>
      <c r="E54" s="258">
        <v>0</v>
      </c>
      <c r="F54" s="262" t="s">
        <v>125</v>
      </c>
    </row>
    <row r="55" spans="2:11" x14ac:dyDescent="0.25">
      <c r="B55" s="258" t="s">
        <v>73</v>
      </c>
      <c r="C55" s="258" t="s">
        <v>15</v>
      </c>
      <c r="D55" s="258">
        <v>21842.489999999998</v>
      </c>
      <c r="E55" s="258">
        <v>3000</v>
      </c>
      <c r="F55" s="262">
        <v>7.280829999999999</v>
      </c>
    </row>
    <row r="56" spans="2:11" x14ac:dyDescent="0.25">
      <c r="B56" s="258" t="s">
        <v>74</v>
      </c>
      <c r="C56" s="258" t="s">
        <v>16</v>
      </c>
      <c r="D56" s="258">
        <v>92218.36</v>
      </c>
      <c r="E56" s="258">
        <v>160000</v>
      </c>
      <c r="F56" s="262">
        <v>0.57636474999999998</v>
      </c>
    </row>
    <row r="57" spans="2:11" x14ac:dyDescent="0.25">
      <c r="B57" s="258" t="s">
        <v>75</v>
      </c>
      <c r="C57" s="258" t="s">
        <v>17</v>
      </c>
      <c r="D57" s="258">
        <v>124702.70000000001</v>
      </c>
      <c r="E57" s="258">
        <v>81947.039999999994</v>
      </c>
      <c r="F57" s="262">
        <v>1.5217474603109522</v>
      </c>
    </row>
    <row r="58" spans="2:11" x14ac:dyDescent="0.25">
      <c r="B58" s="258" t="s">
        <v>76</v>
      </c>
      <c r="C58" s="258" t="s">
        <v>8</v>
      </c>
      <c r="D58" s="258">
        <v>72008.01999999999</v>
      </c>
      <c r="E58" s="258">
        <v>109750</v>
      </c>
      <c r="F58" s="262">
        <v>0.65610952164009106</v>
      </c>
    </row>
    <row r="59" spans="2:11" x14ac:dyDescent="0.25">
      <c r="B59" s="258" t="s">
        <v>77</v>
      </c>
      <c r="C59" s="258" t="s">
        <v>9</v>
      </c>
      <c r="D59" s="258">
        <v>332395.49</v>
      </c>
      <c r="E59" s="258">
        <v>432500</v>
      </c>
      <c r="F59" s="262">
        <v>0.76854448554913291</v>
      </c>
    </row>
    <row r="60" spans="2:11" x14ac:dyDescent="0.25">
      <c r="B60" s="258" t="s">
        <v>78</v>
      </c>
      <c r="C60" s="258" t="s">
        <v>10</v>
      </c>
      <c r="D60" s="258">
        <v>83633.36</v>
      </c>
      <c r="E60" s="258">
        <v>69950</v>
      </c>
      <c r="F60" s="262">
        <v>1.1956162973552538</v>
      </c>
    </row>
    <row r="61" spans="2:11" x14ac:dyDescent="0.25">
      <c r="B61" s="258" t="s">
        <v>79</v>
      </c>
      <c r="C61" s="258" t="s">
        <v>114</v>
      </c>
      <c r="D61" s="258">
        <v>73484.599999999991</v>
      </c>
      <c r="E61" s="258">
        <v>241850</v>
      </c>
      <c r="F61" s="262">
        <v>0.3038437047756874</v>
      </c>
    </row>
    <row r="62" spans="2:11" x14ac:dyDescent="0.25">
      <c r="B62" s="258" t="s">
        <v>80</v>
      </c>
      <c r="C62" s="258" t="s">
        <v>12</v>
      </c>
      <c r="D62" s="258">
        <v>204998.69</v>
      </c>
      <c r="E62" s="258">
        <v>175700</v>
      </c>
      <c r="F62" s="262">
        <v>1.1667540694365395</v>
      </c>
    </row>
    <row r="63" spans="2:11" x14ac:dyDescent="0.25">
      <c r="B63" s="259" t="s">
        <v>120</v>
      </c>
      <c r="D63" s="259">
        <v>1449519.3199999998</v>
      </c>
      <c r="E63" s="259">
        <v>1691400</v>
      </c>
      <c r="F63" s="262">
        <v>0.85699380394939095</v>
      </c>
    </row>
    <row r="64" spans="2:11" x14ac:dyDescent="0.25">
      <c r="B64" s="271" t="s">
        <v>97</v>
      </c>
      <c r="C64" s="258" t="s">
        <v>35</v>
      </c>
      <c r="D64" s="258">
        <v>124440.20999999999</v>
      </c>
      <c r="E64" s="258">
        <v>156099.99999999997</v>
      </c>
      <c r="F64" s="262">
        <v>0.79718263933376055</v>
      </c>
      <c r="H64" s="271"/>
      <c r="I64" s="272"/>
      <c r="J64" s="273"/>
      <c r="K64" s="274"/>
    </row>
    <row r="65" spans="2:11" x14ac:dyDescent="0.25">
      <c r="B65" s="271" t="s">
        <v>98</v>
      </c>
      <c r="C65" s="258" t="s">
        <v>34</v>
      </c>
      <c r="D65" s="258">
        <v>74712.490000000005</v>
      </c>
      <c r="E65" s="258">
        <v>162599.99999999997</v>
      </c>
      <c r="F65" s="262">
        <v>0.45948640836408378</v>
      </c>
      <c r="H65" s="271"/>
      <c r="I65" s="275"/>
      <c r="J65" s="273"/>
      <c r="K65" s="274"/>
    </row>
    <row r="66" spans="2:11" x14ac:dyDescent="0.25">
      <c r="B66" s="271" t="s">
        <v>99</v>
      </c>
      <c r="C66" s="258" t="s">
        <v>36</v>
      </c>
      <c r="D66" s="258">
        <v>80628.700000000012</v>
      </c>
      <c r="E66" s="258">
        <v>95099.999999999985</v>
      </c>
      <c r="F66" s="262">
        <v>0.84783070452155651</v>
      </c>
      <c r="H66" s="271"/>
      <c r="I66" s="275"/>
      <c r="J66" s="273"/>
      <c r="K66" s="274"/>
    </row>
    <row r="67" spans="2:11" x14ac:dyDescent="0.25">
      <c r="B67" s="271" t="s">
        <v>100</v>
      </c>
      <c r="C67" s="258" t="s">
        <v>37</v>
      </c>
      <c r="D67" s="258">
        <v>88805.969999999987</v>
      </c>
      <c r="E67" s="258">
        <v>192700</v>
      </c>
      <c r="F67" s="262">
        <v>0.46085090814737928</v>
      </c>
      <c r="H67" s="271"/>
      <c r="I67" s="275"/>
      <c r="J67" s="273"/>
      <c r="K67" s="274"/>
    </row>
    <row r="68" spans="2:11" x14ac:dyDescent="0.25">
      <c r="B68" s="271" t="s">
        <v>101</v>
      </c>
      <c r="C68" s="258" t="s">
        <v>39</v>
      </c>
      <c r="D68" s="258">
        <v>56887.12</v>
      </c>
      <c r="E68" s="258">
        <v>45150</v>
      </c>
      <c r="F68" s="262">
        <v>1.2599583610188263</v>
      </c>
      <c r="H68" s="271"/>
      <c r="I68" s="275"/>
      <c r="J68" s="273"/>
      <c r="K68" s="274"/>
    </row>
    <row r="69" spans="2:11" x14ac:dyDescent="0.25">
      <c r="B69" s="271" t="s">
        <v>102</v>
      </c>
      <c r="C69" s="258" t="s">
        <v>38</v>
      </c>
      <c r="D69" s="258">
        <v>40020.149999999994</v>
      </c>
      <c r="E69" s="258">
        <v>165100</v>
      </c>
      <c r="F69" s="262">
        <v>0.24239945487583278</v>
      </c>
      <c r="H69" s="271"/>
      <c r="I69" s="275"/>
      <c r="J69" s="273"/>
      <c r="K69" s="274"/>
    </row>
    <row r="70" spans="2:11" x14ac:dyDescent="0.25">
      <c r="B70" s="271" t="s">
        <v>103</v>
      </c>
      <c r="C70" s="258" t="s">
        <v>33</v>
      </c>
      <c r="D70" s="258">
        <v>286962.34000000003</v>
      </c>
      <c r="E70" s="258">
        <v>206750</v>
      </c>
      <c r="F70" s="262">
        <v>1.3879677871825877</v>
      </c>
      <c r="H70" s="271"/>
      <c r="I70" s="275"/>
      <c r="J70" s="273"/>
      <c r="K70" s="274"/>
    </row>
    <row r="71" spans="2:11" x14ac:dyDescent="0.25">
      <c r="B71" s="271" t="s">
        <v>104</v>
      </c>
      <c r="C71" s="258" t="s">
        <v>40</v>
      </c>
      <c r="D71" s="258">
        <v>697062.34</v>
      </c>
      <c r="E71" s="258">
        <v>667900.00000000012</v>
      </c>
      <c r="F71" s="262">
        <v>1.0436627339422067</v>
      </c>
      <c r="H71" s="271"/>
      <c r="I71" s="275"/>
      <c r="J71" s="273"/>
      <c r="K71" s="274"/>
    </row>
    <row r="72" spans="2:11" x14ac:dyDescent="0.25">
      <c r="B72" s="259" t="s">
        <v>121</v>
      </c>
      <c r="D72" s="259">
        <v>2126522.85</v>
      </c>
      <c r="E72" s="259">
        <v>2581300</v>
      </c>
      <c r="F72" s="262">
        <v>0.82381856041529467</v>
      </c>
      <c r="H72" s="276"/>
      <c r="I72" s="277"/>
      <c r="J72" s="278"/>
      <c r="K72" s="274"/>
    </row>
    <row r="73" spans="2:11" x14ac:dyDescent="0.25">
      <c r="B73" s="271" t="s">
        <v>106</v>
      </c>
      <c r="C73" s="258" t="s">
        <v>41</v>
      </c>
      <c r="D73" s="258">
        <v>168641.13</v>
      </c>
      <c r="E73" s="258">
        <v>230300</v>
      </c>
      <c r="F73" s="262">
        <v>0.73226717325227964</v>
      </c>
      <c r="H73" s="271"/>
      <c r="I73" s="272"/>
      <c r="J73" s="273"/>
      <c r="K73" s="274"/>
    </row>
    <row r="74" spans="2:11" x14ac:dyDescent="0.25">
      <c r="B74" s="271" t="s">
        <v>107</v>
      </c>
      <c r="C74" s="258" t="s">
        <v>42</v>
      </c>
      <c r="D74" s="258">
        <v>291307.70999999996</v>
      </c>
      <c r="E74" s="258">
        <v>308400.00000000006</v>
      </c>
      <c r="F74" s="262">
        <v>0.94457752918287907</v>
      </c>
      <c r="H74" s="271"/>
      <c r="I74" s="272"/>
      <c r="J74" s="273"/>
      <c r="K74" s="274"/>
    </row>
    <row r="75" spans="2:11" x14ac:dyDescent="0.25">
      <c r="B75" s="271" t="s">
        <v>108</v>
      </c>
      <c r="C75" s="258" t="s">
        <v>47</v>
      </c>
      <c r="D75" s="258">
        <v>231998.25</v>
      </c>
      <c r="E75" s="258">
        <v>203499.99999999997</v>
      </c>
      <c r="F75" s="262">
        <v>1.1400405405405407</v>
      </c>
      <c r="H75" s="271"/>
      <c r="I75" s="272"/>
      <c r="J75" s="273"/>
      <c r="K75" s="274"/>
    </row>
    <row r="76" spans="2:11" x14ac:dyDescent="0.25">
      <c r="B76" s="271" t="s">
        <v>109</v>
      </c>
      <c r="C76" s="258" t="s">
        <v>44</v>
      </c>
      <c r="D76" s="258">
        <v>280339.42000000004</v>
      </c>
      <c r="E76" s="258">
        <v>321900.00000000006</v>
      </c>
      <c r="F76" s="262">
        <v>0.87088977943460699</v>
      </c>
      <c r="H76" s="271"/>
      <c r="I76" s="272"/>
      <c r="J76" s="273"/>
      <c r="K76" s="274"/>
    </row>
    <row r="77" spans="2:11" x14ac:dyDescent="0.25">
      <c r="B77" s="271" t="s">
        <v>110</v>
      </c>
      <c r="C77" s="258" t="s">
        <v>48</v>
      </c>
      <c r="D77" s="258">
        <v>231197.27</v>
      </c>
      <c r="E77" s="258">
        <v>502499.95999999996</v>
      </c>
      <c r="F77" s="262">
        <v>0.46009410627614777</v>
      </c>
      <c r="H77" s="271"/>
      <c r="I77" s="272"/>
      <c r="J77" s="273"/>
      <c r="K77" s="274"/>
    </row>
    <row r="78" spans="2:11" x14ac:dyDescent="0.25">
      <c r="B78" s="271" t="s">
        <v>111</v>
      </c>
      <c r="C78" s="258" t="s">
        <v>45</v>
      </c>
      <c r="D78" s="258">
        <v>260839.86</v>
      </c>
      <c r="E78" s="258">
        <v>225200</v>
      </c>
      <c r="F78" s="262">
        <v>1.158258703374778</v>
      </c>
      <c r="H78" s="271"/>
      <c r="I78" s="272"/>
      <c r="J78" s="273"/>
      <c r="K78" s="274"/>
    </row>
    <row r="79" spans="2:11" x14ac:dyDescent="0.25">
      <c r="B79" s="271" t="s">
        <v>112</v>
      </c>
      <c r="C79" s="258" t="s">
        <v>46</v>
      </c>
      <c r="D79" s="258">
        <v>289281.2</v>
      </c>
      <c r="E79" s="258">
        <v>544900</v>
      </c>
      <c r="F79" s="262">
        <v>0.53088860341347033</v>
      </c>
      <c r="H79" s="271"/>
      <c r="I79" s="272"/>
      <c r="J79" s="273"/>
      <c r="K79" s="274"/>
    </row>
    <row r="80" spans="2:11" x14ac:dyDescent="0.25">
      <c r="B80" s="271" t="s">
        <v>113</v>
      </c>
      <c r="C80" s="258" t="s">
        <v>43</v>
      </c>
      <c r="D80" s="258">
        <v>372918.01000000007</v>
      </c>
      <c r="E80" s="258">
        <v>244600.04000000007</v>
      </c>
      <c r="F80" s="262">
        <v>1.5246032257394559</v>
      </c>
      <c r="H80" s="271"/>
      <c r="I80" s="272"/>
      <c r="J80" s="273"/>
      <c r="K80" s="274"/>
    </row>
  </sheetData>
  <conditionalFormatting sqref="C28:BC28 D28:BC32 C29:C32">
    <cfRule type="cellIs" dxfId="33" priority="1" operator="lessThan">
      <formula>0</formula>
    </cfRule>
  </conditionalFormatting>
  <conditionalFormatting sqref="I24:I26">
    <cfRule type="cellIs" dxfId="32" priority="2" operator="lessThan">
      <formula>0</formula>
    </cfRule>
  </conditionalFormatting>
  <conditionalFormatting sqref="I20:BC23 C22:H22 C24:H24 J24:BC24 I24:I26 AH25:BC26">
    <cfRule type="cellIs" dxfId="31" priority="3" operator="greaterThan">
      <formula>0</formula>
    </cfRule>
  </conditionalFormatting>
  <conditionalFormatting sqref="I20:BC23 C22:H22 C24:H24 J24:BC24 AH25:BC26">
    <cfRule type="cellIs" dxfId="30" priority="4" operator="less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5B73-0D02-432F-8996-029396C81BD0}">
  <dimension ref="A1:BC81"/>
  <sheetViews>
    <sheetView workbookViewId="0">
      <pane xSplit="2" topLeftCell="C1" activePane="topRight" state="frozen"/>
      <selection pane="topRight"/>
    </sheetView>
  </sheetViews>
  <sheetFormatPr defaultColWidth="9.140625" defaultRowHeight="15" x14ac:dyDescent="0.25"/>
  <cols>
    <col min="1" max="1" width="9.140625" style="258"/>
    <col min="2" max="2" width="29.140625" style="264" customWidth="1"/>
    <col min="3" max="3" width="9.140625" style="258" customWidth="1"/>
    <col min="4" max="4" width="15.28515625" style="258" customWidth="1"/>
    <col min="5" max="5" width="17" style="258" bestFit="1" customWidth="1"/>
    <col min="6" max="6" width="9.140625" style="258" customWidth="1"/>
    <col min="7" max="7" width="9.28515625" style="258" bestFit="1" customWidth="1"/>
    <col min="8" max="8" width="10.42578125" style="258" bestFit="1" customWidth="1"/>
    <col min="9" max="10" width="9.140625" style="258" customWidth="1"/>
    <col min="11" max="12" width="10.5703125" style="258" customWidth="1"/>
    <col min="13" max="49" width="9.140625" style="258" customWidth="1"/>
    <col min="50" max="50" width="9.28515625" style="258" bestFit="1" customWidth="1"/>
    <col min="51" max="51" width="10.42578125" style="258" bestFit="1" customWidth="1"/>
    <col min="52" max="52" width="9.140625" style="258"/>
    <col min="53" max="54" width="9.28515625" style="258" bestFit="1" customWidth="1"/>
    <col min="55" max="55" width="10.42578125" style="258" bestFit="1" customWidth="1"/>
    <col min="56" max="16384" width="9.140625" style="258"/>
  </cols>
  <sheetData>
    <row r="1" spans="1:55" x14ac:dyDescent="0.25">
      <c r="AZ1" s="300"/>
    </row>
    <row r="2" spans="1:55" x14ac:dyDescent="0.25">
      <c r="A2" s="318"/>
      <c r="B2" s="342" t="s">
        <v>124</v>
      </c>
      <c r="C2" s="320" t="s">
        <v>2</v>
      </c>
      <c r="D2" s="320" t="s">
        <v>3</v>
      </c>
      <c r="E2" s="320" t="s">
        <v>4</v>
      </c>
      <c r="F2" s="320" t="s">
        <v>5</v>
      </c>
      <c r="G2" s="320" t="s">
        <v>6</v>
      </c>
      <c r="H2" s="320" t="s">
        <v>7</v>
      </c>
      <c r="I2" s="319" t="s">
        <v>8</v>
      </c>
      <c r="J2" s="319" t="s">
        <v>9</v>
      </c>
      <c r="K2" s="319" t="s">
        <v>10</v>
      </c>
      <c r="L2" s="319" t="s">
        <v>114</v>
      </c>
      <c r="M2" s="319" t="s">
        <v>12</v>
      </c>
      <c r="N2" s="319" t="s">
        <v>13</v>
      </c>
      <c r="O2" s="319" t="s">
        <v>14</v>
      </c>
      <c r="P2" s="319" t="s">
        <v>15</v>
      </c>
      <c r="Q2" s="319" t="s">
        <v>16</v>
      </c>
      <c r="R2" s="319" t="s">
        <v>17</v>
      </c>
      <c r="S2" s="319" t="s">
        <v>18</v>
      </c>
      <c r="T2" s="319" t="s">
        <v>19</v>
      </c>
      <c r="U2" s="319" t="s">
        <v>20</v>
      </c>
      <c r="V2" s="319" t="s">
        <v>21</v>
      </c>
      <c r="W2" s="319" t="s">
        <v>22</v>
      </c>
      <c r="X2" s="319" t="s">
        <v>23</v>
      </c>
      <c r="Y2" s="319" t="s">
        <v>24</v>
      </c>
      <c r="Z2" s="319" t="s">
        <v>25</v>
      </c>
      <c r="AA2" s="319" t="s">
        <v>26</v>
      </c>
      <c r="AB2" s="319" t="s">
        <v>27</v>
      </c>
      <c r="AC2" s="319" t="s">
        <v>28</v>
      </c>
      <c r="AD2" s="319" t="s">
        <v>29</v>
      </c>
      <c r="AE2" s="319" t="s">
        <v>30</v>
      </c>
      <c r="AF2" s="319" t="s">
        <v>31</v>
      </c>
      <c r="AG2" s="319" t="s">
        <v>32</v>
      </c>
      <c r="AH2" s="319" t="s">
        <v>34</v>
      </c>
      <c r="AI2" s="319" t="s">
        <v>35</v>
      </c>
      <c r="AJ2" s="319" t="s">
        <v>36</v>
      </c>
      <c r="AK2" s="319" t="s">
        <v>37</v>
      </c>
      <c r="AL2" s="319" t="s">
        <v>38</v>
      </c>
      <c r="AM2" s="319" t="s">
        <v>39</v>
      </c>
      <c r="AN2" s="319" t="s">
        <v>33</v>
      </c>
      <c r="AO2" s="319" t="s">
        <v>40</v>
      </c>
      <c r="AP2" s="319" t="s">
        <v>41</v>
      </c>
      <c r="AQ2" s="319" t="s">
        <v>42</v>
      </c>
      <c r="AR2" s="319" t="s">
        <v>43</v>
      </c>
      <c r="AS2" s="319" t="s">
        <v>44</v>
      </c>
      <c r="AT2" s="319" t="s">
        <v>45</v>
      </c>
      <c r="AU2" s="319" t="s">
        <v>46</v>
      </c>
      <c r="AV2" s="319" t="s">
        <v>47</v>
      </c>
      <c r="AW2" s="319" t="s">
        <v>48</v>
      </c>
      <c r="AX2" s="319" t="s">
        <v>49</v>
      </c>
      <c r="AY2" s="319" t="s">
        <v>50</v>
      </c>
      <c r="AZ2" s="321" t="s">
        <v>51</v>
      </c>
      <c r="BA2" s="319" t="s">
        <v>52</v>
      </c>
      <c r="BB2" s="319" t="s">
        <v>53</v>
      </c>
      <c r="BC2" s="319" t="s">
        <v>54</v>
      </c>
    </row>
    <row r="3" spans="1:55" x14ac:dyDescent="0.25">
      <c r="A3" s="318"/>
      <c r="B3" s="346" t="s">
        <v>62</v>
      </c>
      <c r="C3" s="322">
        <v>6599</v>
      </c>
      <c r="D3" s="322">
        <v>35713</v>
      </c>
      <c r="E3" s="322">
        <v>42893</v>
      </c>
      <c r="F3" s="322">
        <v>2835</v>
      </c>
      <c r="G3" s="322">
        <v>10267</v>
      </c>
      <c r="H3" s="322">
        <v>-3</v>
      </c>
      <c r="I3" s="323">
        <v>32374</v>
      </c>
      <c r="J3" s="323">
        <v>48281</v>
      </c>
      <c r="K3" s="323">
        <v>83005</v>
      </c>
      <c r="L3" s="323">
        <v>13747</v>
      </c>
      <c r="M3" s="323">
        <v>52505</v>
      </c>
      <c r="N3" s="323">
        <v>8962</v>
      </c>
      <c r="O3" s="323">
        <v>10724</v>
      </c>
      <c r="P3" s="323">
        <v>2443</v>
      </c>
      <c r="Q3" s="323">
        <v>15627</v>
      </c>
      <c r="R3" s="323">
        <v>58</v>
      </c>
      <c r="S3" s="324">
        <v>13224</v>
      </c>
      <c r="T3" s="324">
        <v>13154</v>
      </c>
      <c r="U3" s="324">
        <v>18742</v>
      </c>
      <c r="V3" s="324">
        <v>20385</v>
      </c>
      <c r="W3" s="324">
        <v>26109</v>
      </c>
      <c r="X3" s="324">
        <v>20036</v>
      </c>
      <c r="Y3" s="324">
        <v>19219</v>
      </c>
      <c r="Z3" s="324">
        <v>13980</v>
      </c>
      <c r="AA3" s="324">
        <v>21295</v>
      </c>
      <c r="AB3" s="324">
        <v>19406</v>
      </c>
      <c r="AC3" s="324">
        <v>21522</v>
      </c>
      <c r="AD3" s="324">
        <v>43992</v>
      </c>
      <c r="AE3" s="324">
        <v>7837</v>
      </c>
      <c r="AF3" s="324">
        <v>-61</v>
      </c>
      <c r="AG3" s="324">
        <v>56</v>
      </c>
      <c r="AH3" s="325">
        <v>6858</v>
      </c>
      <c r="AI3" s="325">
        <v>31360</v>
      </c>
      <c r="AJ3" s="325">
        <v>10055</v>
      </c>
      <c r="AK3" s="325">
        <v>12451</v>
      </c>
      <c r="AL3" s="325">
        <v>31826</v>
      </c>
      <c r="AM3" s="325">
        <v>1184</v>
      </c>
      <c r="AN3" s="325">
        <v>27230</v>
      </c>
      <c r="AO3" s="325">
        <v>33608</v>
      </c>
      <c r="AP3" s="325">
        <v>40283</v>
      </c>
      <c r="AQ3" s="325">
        <v>27292</v>
      </c>
      <c r="AR3" s="325">
        <v>27634</v>
      </c>
      <c r="AS3" s="325">
        <v>36361</v>
      </c>
      <c r="AT3" s="325">
        <v>16358</v>
      </c>
      <c r="AU3" s="325">
        <v>23153</v>
      </c>
      <c r="AV3" s="325">
        <v>20898</v>
      </c>
      <c r="AW3" s="325">
        <v>38396</v>
      </c>
      <c r="AX3" s="323">
        <v>24295</v>
      </c>
      <c r="AY3" s="323">
        <v>29916</v>
      </c>
      <c r="AZ3" s="326"/>
      <c r="BA3" s="323">
        <v>20401</v>
      </c>
      <c r="BB3" s="323">
        <v>20855</v>
      </c>
      <c r="BC3" s="323">
        <v>25579</v>
      </c>
    </row>
    <row r="4" spans="1:55" x14ac:dyDescent="0.25">
      <c r="A4" s="318"/>
      <c r="B4" s="346" t="s">
        <v>63</v>
      </c>
      <c r="C4" s="322">
        <v>1435</v>
      </c>
      <c r="D4" s="322">
        <v>7506</v>
      </c>
      <c r="E4" s="322">
        <v>6432</v>
      </c>
      <c r="F4" s="322">
        <v>861</v>
      </c>
      <c r="G4" s="322">
        <v>6801</v>
      </c>
      <c r="H4" s="322">
        <v>389</v>
      </c>
      <c r="I4" s="323">
        <v>11484</v>
      </c>
      <c r="J4" s="323">
        <v>2326</v>
      </c>
      <c r="K4" s="323">
        <v>12145</v>
      </c>
      <c r="L4" s="323">
        <v>3196</v>
      </c>
      <c r="M4" s="323">
        <v>8925</v>
      </c>
      <c r="N4" s="323">
        <v>24474</v>
      </c>
      <c r="O4" s="323">
        <v>8267</v>
      </c>
      <c r="P4" s="323">
        <v>9266</v>
      </c>
      <c r="Q4" s="323">
        <v>31115</v>
      </c>
      <c r="R4" s="323">
        <v>0</v>
      </c>
      <c r="S4" s="324">
        <v>12015</v>
      </c>
      <c r="T4" s="324">
        <v>2120</v>
      </c>
      <c r="U4" s="324">
        <v>3394</v>
      </c>
      <c r="V4" s="324">
        <v>3709</v>
      </c>
      <c r="W4" s="324">
        <v>6884</v>
      </c>
      <c r="X4" s="324">
        <v>10526</v>
      </c>
      <c r="Y4" s="324">
        <v>5131</v>
      </c>
      <c r="Z4" s="324">
        <v>86826</v>
      </c>
      <c r="AA4" s="324">
        <v>13344</v>
      </c>
      <c r="AB4" s="324">
        <v>24968</v>
      </c>
      <c r="AC4" s="324">
        <v>16293</v>
      </c>
      <c r="AD4" s="324">
        <v>13244</v>
      </c>
      <c r="AE4" s="324">
        <v>9814</v>
      </c>
      <c r="AF4" s="324">
        <v>0</v>
      </c>
      <c r="AG4" s="324">
        <v>0</v>
      </c>
      <c r="AH4" s="325">
        <v>26426</v>
      </c>
      <c r="AI4" s="325">
        <v>110144</v>
      </c>
      <c r="AJ4" s="325">
        <v>11868</v>
      </c>
      <c r="AK4" s="325">
        <v>45970</v>
      </c>
      <c r="AL4" s="325">
        <v>28299</v>
      </c>
      <c r="AM4" s="325">
        <v>23299</v>
      </c>
      <c r="AN4" s="325">
        <v>23491</v>
      </c>
      <c r="AO4" s="325">
        <v>114699</v>
      </c>
      <c r="AP4" s="325">
        <v>73517</v>
      </c>
      <c r="AQ4" s="325">
        <v>29987</v>
      </c>
      <c r="AR4" s="325">
        <v>151610</v>
      </c>
      <c r="AS4" s="325">
        <v>35910</v>
      </c>
      <c r="AT4" s="325">
        <v>76397</v>
      </c>
      <c r="AU4" s="325">
        <v>128084</v>
      </c>
      <c r="AV4" s="325">
        <v>70669</v>
      </c>
      <c r="AW4" s="325">
        <v>34487</v>
      </c>
      <c r="AX4" s="323">
        <v>59575</v>
      </c>
      <c r="AY4" s="323">
        <v>248384</v>
      </c>
      <c r="AZ4" s="326"/>
      <c r="BA4" s="323">
        <v>46851</v>
      </c>
      <c r="BB4" s="323">
        <v>13253</v>
      </c>
      <c r="BC4" s="323">
        <v>119472</v>
      </c>
    </row>
    <row r="5" spans="1:55" x14ac:dyDescent="0.25">
      <c r="A5" s="318"/>
      <c r="B5" s="346" t="s">
        <v>151</v>
      </c>
      <c r="C5" s="322">
        <v>0</v>
      </c>
      <c r="D5" s="322">
        <v>1713.5999999999985</v>
      </c>
      <c r="E5" s="328">
        <v>-11559.900000000001</v>
      </c>
      <c r="F5" s="322">
        <v>0</v>
      </c>
      <c r="G5" s="322">
        <v>1602</v>
      </c>
      <c r="H5" s="322">
        <v>442794</v>
      </c>
      <c r="I5" s="323">
        <v>0</v>
      </c>
      <c r="J5" s="323">
        <v>9789</v>
      </c>
      <c r="K5" s="323">
        <v>655</v>
      </c>
      <c r="L5" s="323">
        <v>0</v>
      </c>
      <c r="M5" s="323">
        <v>5715</v>
      </c>
      <c r="N5" s="323">
        <v>66989</v>
      </c>
      <c r="O5" s="323">
        <v>119304</v>
      </c>
      <c r="P5" s="323">
        <v>94677</v>
      </c>
      <c r="Q5" s="323">
        <v>153685</v>
      </c>
      <c r="R5" s="323">
        <v>506697</v>
      </c>
      <c r="S5" s="324">
        <v>0</v>
      </c>
      <c r="T5" s="324">
        <v>0</v>
      </c>
      <c r="U5" s="324">
        <v>0</v>
      </c>
      <c r="V5" s="324">
        <v>2652</v>
      </c>
      <c r="W5" s="324">
        <v>0</v>
      </c>
      <c r="X5" s="324">
        <v>0</v>
      </c>
      <c r="Y5" s="324">
        <v>0</v>
      </c>
      <c r="Z5" s="324">
        <v>148715</v>
      </c>
      <c r="AA5" s="324">
        <v>133844</v>
      </c>
      <c r="AB5" s="324">
        <v>175916</v>
      </c>
      <c r="AC5" s="324">
        <v>283103</v>
      </c>
      <c r="AD5" s="324">
        <v>7619</v>
      </c>
      <c r="AE5" s="324">
        <v>49922</v>
      </c>
      <c r="AF5" s="324">
        <v>873754</v>
      </c>
      <c r="AG5" s="324">
        <v>249082</v>
      </c>
      <c r="AH5" s="325">
        <v>23123</v>
      </c>
      <c r="AI5" s="325">
        <v>167167</v>
      </c>
      <c r="AJ5" s="325">
        <v>30079</v>
      </c>
      <c r="AK5" s="325">
        <v>105927</v>
      </c>
      <c r="AL5" s="325">
        <v>158479</v>
      </c>
      <c r="AM5" s="325">
        <v>34005</v>
      </c>
      <c r="AN5" s="325">
        <v>70940</v>
      </c>
      <c r="AO5" s="325">
        <v>165676</v>
      </c>
      <c r="AP5" s="325">
        <v>188369</v>
      </c>
      <c r="AQ5" s="325">
        <v>69955</v>
      </c>
      <c r="AR5" s="325">
        <v>193759</v>
      </c>
      <c r="AS5" s="325">
        <v>199841</v>
      </c>
      <c r="AT5" s="325">
        <v>96459</v>
      </c>
      <c r="AU5" s="325">
        <v>51834</v>
      </c>
      <c r="AV5" s="325">
        <v>59329</v>
      </c>
      <c r="AW5" s="325">
        <v>30957</v>
      </c>
      <c r="AX5" s="323">
        <v>58365</v>
      </c>
      <c r="AY5" s="323">
        <v>60271</v>
      </c>
      <c r="AZ5" s="326"/>
      <c r="BA5" s="323">
        <v>92607</v>
      </c>
      <c r="BB5" s="323">
        <v>41035</v>
      </c>
      <c r="BC5" s="323">
        <v>103051</v>
      </c>
    </row>
    <row r="6" spans="1:55" x14ac:dyDescent="0.25">
      <c r="A6" s="318"/>
      <c r="B6" s="347" t="s">
        <v>152</v>
      </c>
      <c r="C6" s="327">
        <v>404</v>
      </c>
      <c r="D6" s="328">
        <v>46252</v>
      </c>
      <c r="E6" s="323">
        <v>53077</v>
      </c>
      <c r="F6" s="328">
        <v>1143</v>
      </c>
      <c r="G6" s="328">
        <v>9803</v>
      </c>
      <c r="H6" s="323">
        <v>19081</v>
      </c>
      <c r="I6" s="323">
        <v>20012</v>
      </c>
      <c r="J6" s="323">
        <v>29253</v>
      </c>
      <c r="K6" s="323">
        <v>64970</v>
      </c>
      <c r="L6" s="323">
        <v>4090</v>
      </c>
      <c r="M6" s="323">
        <v>37117</v>
      </c>
      <c r="N6" s="323">
        <v>9933</v>
      </c>
      <c r="O6" s="323">
        <v>9228</v>
      </c>
      <c r="P6" s="323">
        <v>7131</v>
      </c>
      <c r="Q6" s="323">
        <v>12287</v>
      </c>
      <c r="R6" s="323">
        <v>17089</v>
      </c>
      <c r="S6" s="323">
        <v>36802</v>
      </c>
      <c r="T6" s="323">
        <v>22015</v>
      </c>
      <c r="U6" s="323">
        <v>33755</v>
      </c>
      <c r="V6" s="323">
        <v>39234</v>
      </c>
      <c r="W6" s="323">
        <v>13956</v>
      </c>
      <c r="X6" s="323">
        <v>11788</v>
      </c>
      <c r="Y6" s="323">
        <v>29455</v>
      </c>
      <c r="Z6" s="323">
        <v>14829</v>
      </c>
      <c r="AA6" s="323">
        <v>22471</v>
      </c>
      <c r="AB6" s="323">
        <v>21540</v>
      </c>
      <c r="AC6" s="323">
        <v>24482</v>
      </c>
      <c r="AD6" s="323">
        <v>18382</v>
      </c>
      <c r="AE6" s="323">
        <v>6570</v>
      </c>
      <c r="AF6" s="323">
        <v>22690</v>
      </c>
      <c r="AG6" s="323">
        <v>19318</v>
      </c>
      <c r="AH6" s="325">
        <v>11200</v>
      </c>
      <c r="AI6" s="325">
        <v>33995</v>
      </c>
      <c r="AJ6" s="325">
        <v>43804</v>
      </c>
      <c r="AK6" s="325">
        <v>84579</v>
      </c>
      <c r="AL6" s="325">
        <v>63060</v>
      </c>
      <c r="AM6" s="325">
        <v>50211</v>
      </c>
      <c r="AN6" s="325">
        <v>21124</v>
      </c>
      <c r="AO6" s="325">
        <v>141833</v>
      </c>
      <c r="AP6" s="325">
        <v>168957</v>
      </c>
      <c r="AQ6" s="325">
        <v>21603</v>
      </c>
      <c r="AR6" s="325">
        <v>26339</v>
      </c>
      <c r="AS6" s="325">
        <v>33169</v>
      </c>
      <c r="AT6" s="325">
        <v>127375</v>
      </c>
      <c r="AU6" s="325">
        <v>119628</v>
      </c>
      <c r="AV6" s="325">
        <v>144542</v>
      </c>
      <c r="AW6" s="325">
        <v>22876</v>
      </c>
      <c r="AX6" s="323">
        <v>33235</v>
      </c>
      <c r="AY6" s="323">
        <v>48823</v>
      </c>
      <c r="AZ6" s="326"/>
      <c r="BA6" s="323">
        <v>17623</v>
      </c>
      <c r="BB6" s="323">
        <v>25972</v>
      </c>
      <c r="BC6" s="323">
        <v>37391</v>
      </c>
    </row>
    <row r="7" spans="1:55" x14ac:dyDescent="0.25">
      <c r="A7" s="318"/>
      <c r="B7" s="341" t="s">
        <v>132</v>
      </c>
      <c r="C7" s="329">
        <v>6771</v>
      </c>
      <c r="D7" s="323">
        <v>26686</v>
      </c>
      <c r="E7" s="323">
        <v>35797</v>
      </c>
      <c r="F7" s="323">
        <v>6163</v>
      </c>
      <c r="G7" s="323">
        <v>8101</v>
      </c>
      <c r="H7" s="323">
        <v>36512</v>
      </c>
      <c r="I7" s="330">
        <v>13583</v>
      </c>
      <c r="J7" s="330">
        <v>89262</v>
      </c>
      <c r="K7" s="330">
        <v>63591</v>
      </c>
      <c r="L7" s="330">
        <v>19870</v>
      </c>
      <c r="M7" s="330">
        <v>54569</v>
      </c>
      <c r="N7" s="330">
        <v>25827</v>
      </c>
      <c r="O7" s="330">
        <v>15711</v>
      </c>
      <c r="P7" s="330">
        <v>7392</v>
      </c>
      <c r="Q7" s="330">
        <v>11507</v>
      </c>
      <c r="R7" s="330">
        <v>30808</v>
      </c>
      <c r="S7" s="323">
        <v>32126</v>
      </c>
      <c r="T7" s="323">
        <v>15647</v>
      </c>
      <c r="U7" s="323">
        <v>31680</v>
      </c>
      <c r="V7" s="323">
        <v>12036</v>
      </c>
      <c r="W7" s="323">
        <v>23654</v>
      </c>
      <c r="X7" s="323">
        <v>14008</v>
      </c>
      <c r="Y7" s="323">
        <v>30526</v>
      </c>
      <c r="Z7" s="323">
        <v>20416</v>
      </c>
      <c r="AA7" s="323">
        <v>13561</v>
      </c>
      <c r="AB7" s="323">
        <v>23863</v>
      </c>
      <c r="AC7" s="323">
        <v>37439</v>
      </c>
      <c r="AD7" s="323">
        <v>13130</v>
      </c>
      <c r="AE7" s="323">
        <v>9958</v>
      </c>
      <c r="AF7" s="323">
        <v>18956</v>
      </c>
      <c r="AG7" s="323">
        <v>20131</v>
      </c>
      <c r="AH7" s="323">
        <v>6546</v>
      </c>
      <c r="AI7" s="323">
        <v>64452</v>
      </c>
      <c r="AJ7" s="323">
        <v>96793</v>
      </c>
      <c r="AK7" s="323">
        <v>20262</v>
      </c>
      <c r="AL7" s="323">
        <v>85419</v>
      </c>
      <c r="AM7" s="323">
        <v>4963</v>
      </c>
      <c r="AN7" s="323">
        <v>63234</v>
      </c>
      <c r="AO7" s="323">
        <v>86175</v>
      </c>
      <c r="AP7" s="323">
        <v>184900</v>
      </c>
      <c r="AQ7" s="323">
        <v>17078</v>
      </c>
      <c r="AR7" s="323">
        <v>35565</v>
      </c>
      <c r="AS7" s="323">
        <v>18442</v>
      </c>
      <c r="AT7" s="323">
        <v>272288</v>
      </c>
      <c r="AU7" s="323">
        <v>92478</v>
      </c>
      <c r="AV7" s="323">
        <v>135638</v>
      </c>
      <c r="AW7" s="323">
        <v>12545</v>
      </c>
      <c r="AX7" s="323">
        <v>16562</v>
      </c>
      <c r="AY7" s="323">
        <v>75223</v>
      </c>
      <c r="AZ7" s="326"/>
      <c r="BA7" s="323">
        <v>67715</v>
      </c>
      <c r="BB7" s="323">
        <v>86279</v>
      </c>
      <c r="BC7" s="323">
        <v>39580</v>
      </c>
    </row>
    <row r="8" spans="1:55" x14ac:dyDescent="0.25">
      <c r="A8" s="319" t="s">
        <v>148</v>
      </c>
      <c r="B8" s="347" t="s">
        <v>115</v>
      </c>
      <c r="C8" s="327"/>
      <c r="D8" s="328"/>
      <c r="E8" s="331"/>
      <c r="F8" s="331"/>
      <c r="G8" s="331"/>
      <c r="H8" s="331"/>
      <c r="I8" s="331">
        <v>0.77426678815489747</v>
      </c>
      <c r="J8" s="331">
        <v>0.77582772254335253</v>
      </c>
      <c r="K8" s="331">
        <v>1.5290867762687634</v>
      </c>
      <c r="L8" s="331">
        <v>0.37141534008683069</v>
      </c>
      <c r="M8" s="331">
        <v>1.3462980079681275</v>
      </c>
      <c r="N8" s="331" t="s">
        <v>125</v>
      </c>
      <c r="O8" s="331" t="s">
        <v>125</v>
      </c>
      <c r="P8" s="331">
        <v>7.2808300000000008</v>
      </c>
      <c r="Q8" s="331">
        <v>1.156959125</v>
      </c>
      <c r="R8" s="331">
        <v>1.2702206205373618</v>
      </c>
      <c r="S8" s="331">
        <v>1.0240488459473966</v>
      </c>
      <c r="T8" s="331">
        <v>1.1104638757596219</v>
      </c>
      <c r="U8" s="331">
        <v>0.58003292632450321</v>
      </c>
      <c r="V8" s="331">
        <v>1.6728316851664984</v>
      </c>
      <c r="W8" s="331">
        <v>1.1948908848968729</v>
      </c>
      <c r="X8" s="331">
        <v>0.3025540563211504</v>
      </c>
      <c r="Y8" s="331">
        <v>1.0323662369551871</v>
      </c>
      <c r="Z8" s="331">
        <v>0.94140625563909774</v>
      </c>
      <c r="AA8" s="331">
        <v>1.790950953678474</v>
      </c>
      <c r="AB8" s="331">
        <v>4.7097391035548686</v>
      </c>
      <c r="AC8" s="331">
        <v>5.9449018754688678</v>
      </c>
      <c r="AD8" s="331">
        <v>0.59791401825139823</v>
      </c>
      <c r="AE8" s="331">
        <v>1.132819068255688</v>
      </c>
      <c r="AF8" s="331">
        <v>6.8451564102564104</v>
      </c>
      <c r="AG8" s="331">
        <v>1.4933946969696972</v>
      </c>
      <c r="AH8" s="331">
        <v>0.5990854243542435</v>
      </c>
      <c r="AI8" s="331">
        <v>1.1106623959000641</v>
      </c>
      <c r="AJ8" s="331">
        <v>1.1015932702418507</v>
      </c>
      <c r="AK8" s="331">
        <v>0.63974836533471713</v>
      </c>
      <c r="AL8" s="331">
        <v>0.25691344639612357</v>
      </c>
      <c r="AM8" s="331">
        <v>1.2599583610188263</v>
      </c>
      <c r="AN8" s="331">
        <v>1.4101786215235792</v>
      </c>
      <c r="AO8" s="331">
        <v>1.0834145830214104</v>
      </c>
      <c r="AP8" s="331">
        <v>0.777094398610508</v>
      </c>
      <c r="AQ8" s="331">
        <v>1.0167419909208819</v>
      </c>
      <c r="AR8" s="331">
        <v>1.7304275583928768</v>
      </c>
      <c r="AS8" s="331">
        <v>0.88031385523454497</v>
      </c>
      <c r="AT8" s="331">
        <v>1.1949013321492008</v>
      </c>
      <c r="AU8" s="331">
        <v>0.53165973573132685</v>
      </c>
      <c r="AV8" s="331">
        <v>1.1820387223587223</v>
      </c>
      <c r="AW8" s="331">
        <v>0.47249906248748758</v>
      </c>
      <c r="AX8" s="331"/>
      <c r="AY8" s="331"/>
      <c r="AZ8" s="331"/>
      <c r="BA8" s="331"/>
      <c r="BB8" s="331"/>
      <c r="BC8" s="331"/>
    </row>
    <row r="9" spans="1:55" x14ac:dyDescent="0.25">
      <c r="A9" s="319" t="s">
        <v>149</v>
      </c>
      <c r="B9" s="341" t="s">
        <v>133</v>
      </c>
      <c r="C9" s="329"/>
      <c r="D9" s="323"/>
      <c r="E9" s="328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32">
        <v>1629</v>
      </c>
      <c r="AI9" s="332">
        <v>12618</v>
      </c>
      <c r="AJ9" s="332">
        <v>3270</v>
      </c>
      <c r="AK9" s="332">
        <v>5552</v>
      </c>
      <c r="AL9" s="332">
        <v>3918</v>
      </c>
      <c r="AM9" s="332">
        <v>2622</v>
      </c>
      <c r="AN9" s="332">
        <v>11393</v>
      </c>
      <c r="AO9" s="332">
        <v>11327</v>
      </c>
      <c r="AP9" s="332">
        <v>10801</v>
      </c>
      <c r="AQ9" s="332">
        <v>6505</v>
      </c>
      <c r="AR9" s="332">
        <v>7752</v>
      </c>
      <c r="AS9" s="332">
        <v>8100</v>
      </c>
      <c r="AT9" s="332">
        <v>8402</v>
      </c>
      <c r="AU9" s="332">
        <v>9283</v>
      </c>
      <c r="AV9" s="332">
        <v>6878</v>
      </c>
      <c r="AW9" s="332">
        <v>7522</v>
      </c>
      <c r="AX9" s="332">
        <v>12443</v>
      </c>
      <c r="AY9" s="332">
        <v>15451</v>
      </c>
      <c r="AZ9" s="333"/>
      <c r="BA9" s="332">
        <v>4315</v>
      </c>
      <c r="BB9" s="332">
        <v>4834</v>
      </c>
      <c r="BC9" s="332">
        <v>9613</v>
      </c>
    </row>
    <row r="10" spans="1:55" x14ac:dyDescent="0.25">
      <c r="C10" s="269"/>
      <c r="D10" s="269"/>
      <c r="E10" s="305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306"/>
      <c r="AI10" s="306"/>
      <c r="AJ10" s="306"/>
      <c r="AK10" s="306"/>
      <c r="AL10" s="306"/>
      <c r="AM10" s="306"/>
      <c r="AN10" s="306"/>
      <c r="AO10" s="306"/>
      <c r="AP10" s="306"/>
      <c r="AQ10" s="306"/>
      <c r="AR10" s="306"/>
      <c r="AS10" s="306"/>
      <c r="AT10" s="306"/>
      <c r="AU10" s="306"/>
      <c r="AV10" s="306"/>
      <c r="AW10" s="306"/>
      <c r="AX10" s="306"/>
      <c r="AY10" s="306"/>
      <c r="AZ10" s="307"/>
      <c r="BA10" s="306"/>
      <c r="BB10" s="306"/>
      <c r="BC10" s="306"/>
    </row>
    <row r="11" spans="1:55" x14ac:dyDescent="0.25">
      <c r="A11" s="318"/>
      <c r="B11" s="342" t="s">
        <v>153</v>
      </c>
      <c r="C11" s="320" t="s">
        <v>2</v>
      </c>
      <c r="D11" s="320" t="s">
        <v>3</v>
      </c>
      <c r="E11" s="320" t="s">
        <v>4</v>
      </c>
      <c r="F11" s="320" t="s">
        <v>5</v>
      </c>
      <c r="G11" s="320" t="s">
        <v>6</v>
      </c>
      <c r="H11" s="320" t="s">
        <v>7</v>
      </c>
      <c r="I11" s="319" t="s">
        <v>8</v>
      </c>
      <c r="J11" s="319" t="s">
        <v>9</v>
      </c>
      <c r="K11" s="319" t="s">
        <v>10</v>
      </c>
      <c r="L11" s="319" t="s">
        <v>114</v>
      </c>
      <c r="M11" s="319" t="s">
        <v>12</v>
      </c>
      <c r="N11" s="319" t="s">
        <v>13</v>
      </c>
      <c r="O11" s="319" t="s">
        <v>14</v>
      </c>
      <c r="P11" s="319" t="s">
        <v>15</v>
      </c>
      <c r="Q11" s="319" t="s">
        <v>16</v>
      </c>
      <c r="R11" s="319" t="s">
        <v>17</v>
      </c>
      <c r="S11" s="319" t="s">
        <v>18</v>
      </c>
      <c r="T11" s="319" t="s">
        <v>19</v>
      </c>
      <c r="U11" s="319" t="s">
        <v>20</v>
      </c>
      <c r="V11" s="319" t="s">
        <v>21</v>
      </c>
      <c r="W11" s="319" t="s">
        <v>22</v>
      </c>
      <c r="X11" s="319" t="s">
        <v>23</v>
      </c>
      <c r="Y11" s="319" t="s">
        <v>24</v>
      </c>
      <c r="Z11" s="319" t="s">
        <v>25</v>
      </c>
      <c r="AA11" s="319" t="s">
        <v>26</v>
      </c>
      <c r="AB11" s="319" t="s">
        <v>27</v>
      </c>
      <c r="AC11" s="319" t="s">
        <v>28</v>
      </c>
      <c r="AD11" s="319" t="s">
        <v>29</v>
      </c>
      <c r="AE11" s="319" t="s">
        <v>30</v>
      </c>
      <c r="AF11" s="319" t="s">
        <v>31</v>
      </c>
      <c r="AG11" s="319" t="s">
        <v>32</v>
      </c>
      <c r="AH11" s="319" t="s">
        <v>34</v>
      </c>
      <c r="AI11" s="319" t="s">
        <v>35</v>
      </c>
      <c r="AJ11" s="319" t="s">
        <v>36</v>
      </c>
      <c r="AK11" s="319" t="s">
        <v>37</v>
      </c>
      <c r="AL11" s="319" t="s">
        <v>38</v>
      </c>
      <c r="AM11" s="319" t="s">
        <v>39</v>
      </c>
      <c r="AN11" s="319" t="s">
        <v>33</v>
      </c>
      <c r="AO11" s="319" t="s">
        <v>40</v>
      </c>
      <c r="AP11" s="319" t="s">
        <v>41</v>
      </c>
      <c r="AQ11" s="319" t="s">
        <v>42</v>
      </c>
      <c r="AR11" s="319" t="s">
        <v>43</v>
      </c>
      <c r="AS11" s="319" t="s">
        <v>44</v>
      </c>
      <c r="AT11" s="319" t="s">
        <v>45</v>
      </c>
      <c r="AU11" s="319" t="s">
        <v>46</v>
      </c>
      <c r="AV11" s="319" t="s">
        <v>47</v>
      </c>
      <c r="AW11" s="319" t="s">
        <v>48</v>
      </c>
      <c r="AX11" s="319" t="s">
        <v>49</v>
      </c>
      <c r="AY11" s="319" t="s">
        <v>50</v>
      </c>
      <c r="AZ11" s="321" t="s">
        <v>51</v>
      </c>
      <c r="BA11" s="319" t="s">
        <v>52</v>
      </c>
      <c r="BB11" s="319" t="s">
        <v>53</v>
      </c>
      <c r="BC11" s="319" t="s">
        <v>54</v>
      </c>
    </row>
    <row r="12" spans="1:55" x14ac:dyDescent="0.25">
      <c r="A12" s="318"/>
      <c r="B12" s="341" t="s">
        <v>62</v>
      </c>
      <c r="C12" s="318"/>
      <c r="D12" s="318"/>
      <c r="E12" s="318"/>
      <c r="F12" s="318"/>
      <c r="G12" s="318"/>
      <c r="H12" s="318"/>
      <c r="I12" s="323">
        <v>20344</v>
      </c>
      <c r="J12" s="323">
        <v>39138</v>
      </c>
      <c r="K12" s="323">
        <v>63223</v>
      </c>
      <c r="L12" s="323">
        <v>10173</v>
      </c>
      <c r="M12" s="323">
        <v>37554</v>
      </c>
      <c r="N12" s="323">
        <v>16177</v>
      </c>
      <c r="O12" s="323">
        <v>8503</v>
      </c>
      <c r="P12" s="323">
        <v>7499</v>
      </c>
      <c r="Q12" s="323">
        <v>18179</v>
      </c>
      <c r="R12" s="323">
        <v>246</v>
      </c>
      <c r="S12" s="323">
        <v>11093</v>
      </c>
      <c r="T12" s="323">
        <v>9277</v>
      </c>
      <c r="U12" s="323">
        <v>13812</v>
      </c>
      <c r="V12" s="323">
        <v>14247</v>
      </c>
      <c r="W12" s="323">
        <v>8421</v>
      </c>
      <c r="X12" s="323">
        <v>9800</v>
      </c>
      <c r="Y12" s="323">
        <v>11814</v>
      </c>
      <c r="Z12" s="323">
        <v>9414</v>
      </c>
      <c r="AA12" s="323">
        <v>9763</v>
      </c>
      <c r="AB12" s="323">
        <v>8526</v>
      </c>
      <c r="AC12" s="323">
        <v>14550</v>
      </c>
      <c r="AD12" s="323">
        <v>15911</v>
      </c>
      <c r="AE12" s="323">
        <v>3359</v>
      </c>
      <c r="AF12" s="323">
        <v>0</v>
      </c>
      <c r="AG12" s="323">
        <v>396</v>
      </c>
      <c r="AH12" s="337">
        <v>7055</v>
      </c>
      <c r="AI12" s="337">
        <v>26660</v>
      </c>
      <c r="AJ12" s="337">
        <v>6581</v>
      </c>
      <c r="AK12" s="337">
        <v>13045</v>
      </c>
      <c r="AL12" s="337">
        <v>13875</v>
      </c>
      <c r="AM12" s="337">
        <v>8794</v>
      </c>
      <c r="AN12" s="337">
        <v>21204</v>
      </c>
      <c r="AO12" s="337">
        <v>23952</v>
      </c>
      <c r="AP12" s="337">
        <v>21577</v>
      </c>
      <c r="AQ12" s="337">
        <v>22537</v>
      </c>
      <c r="AR12" s="337">
        <v>23059</v>
      </c>
      <c r="AS12" s="337">
        <v>25073</v>
      </c>
      <c r="AT12" s="337">
        <v>21077</v>
      </c>
      <c r="AU12" s="337">
        <v>23352</v>
      </c>
      <c r="AV12" s="337">
        <v>20834</v>
      </c>
      <c r="AW12" s="337">
        <v>20429</v>
      </c>
      <c r="AX12" s="337">
        <v>21646</v>
      </c>
      <c r="AY12" s="337">
        <v>30178</v>
      </c>
      <c r="AZ12" s="338"/>
      <c r="BA12" s="337">
        <v>17837</v>
      </c>
      <c r="BB12" s="337">
        <v>19328</v>
      </c>
      <c r="BC12" s="337">
        <v>22079</v>
      </c>
    </row>
    <row r="13" spans="1:55" x14ac:dyDescent="0.25">
      <c r="A13" s="318"/>
      <c r="B13" s="341" t="s">
        <v>63</v>
      </c>
      <c r="C13" s="318"/>
      <c r="D13" s="318"/>
      <c r="E13" s="318"/>
      <c r="F13" s="318"/>
      <c r="G13" s="318"/>
      <c r="H13" s="318"/>
      <c r="I13" s="323">
        <v>4113</v>
      </c>
      <c r="J13" s="323">
        <v>2099</v>
      </c>
      <c r="K13" s="323">
        <v>6619</v>
      </c>
      <c r="L13" s="323">
        <v>3088</v>
      </c>
      <c r="M13" s="323">
        <v>4056</v>
      </c>
      <c r="N13" s="323">
        <v>30818</v>
      </c>
      <c r="O13" s="323">
        <v>5141</v>
      </c>
      <c r="P13" s="323">
        <v>7358</v>
      </c>
      <c r="Q13" s="323">
        <v>30607</v>
      </c>
      <c r="R13" s="323">
        <v>0</v>
      </c>
      <c r="S13" s="323">
        <v>3569</v>
      </c>
      <c r="T13" s="323">
        <v>6714</v>
      </c>
      <c r="U13" s="323">
        <v>1955</v>
      </c>
      <c r="V13" s="323">
        <v>2243</v>
      </c>
      <c r="W13" s="323">
        <v>2792</v>
      </c>
      <c r="X13" s="323">
        <v>3460</v>
      </c>
      <c r="Y13" s="323">
        <v>2204</v>
      </c>
      <c r="Z13" s="323">
        <v>65065</v>
      </c>
      <c r="AA13" s="323">
        <v>55267</v>
      </c>
      <c r="AB13" s="323">
        <v>25191</v>
      </c>
      <c r="AC13" s="323">
        <v>37496</v>
      </c>
      <c r="AD13" s="323">
        <v>48168</v>
      </c>
      <c r="AE13" s="323">
        <v>7927</v>
      </c>
      <c r="AF13" s="323">
        <v>0</v>
      </c>
      <c r="AG13" s="323">
        <v>0</v>
      </c>
      <c r="AH13" s="337">
        <v>2930</v>
      </c>
      <c r="AI13" s="337">
        <v>9057</v>
      </c>
      <c r="AJ13" s="337">
        <v>1954</v>
      </c>
      <c r="AK13" s="337">
        <v>4753</v>
      </c>
      <c r="AL13" s="337">
        <v>4786</v>
      </c>
      <c r="AM13" s="337">
        <v>3082</v>
      </c>
      <c r="AN13" s="337">
        <v>7624</v>
      </c>
      <c r="AO13" s="337">
        <v>8264</v>
      </c>
      <c r="AP13" s="337">
        <v>8929</v>
      </c>
      <c r="AQ13" s="337">
        <v>8262</v>
      </c>
      <c r="AR13" s="337">
        <v>8421</v>
      </c>
      <c r="AS13" s="337">
        <v>9192</v>
      </c>
      <c r="AT13" s="337">
        <v>7792</v>
      </c>
      <c r="AU13" s="337">
        <v>9606</v>
      </c>
      <c r="AV13" s="337">
        <v>7272</v>
      </c>
      <c r="AW13" s="337">
        <v>8221</v>
      </c>
      <c r="AX13" s="337">
        <v>8071</v>
      </c>
      <c r="AY13" s="337">
        <v>10509</v>
      </c>
      <c r="AZ13" s="338"/>
      <c r="BA13" s="337">
        <v>6348</v>
      </c>
      <c r="BB13" s="337">
        <v>6877</v>
      </c>
      <c r="BC13" s="337">
        <v>7988</v>
      </c>
    </row>
    <row r="14" spans="1:55" x14ac:dyDescent="0.25">
      <c r="A14" s="318" t="s">
        <v>135</v>
      </c>
      <c r="B14" s="341" t="s">
        <v>64</v>
      </c>
      <c r="C14" s="318"/>
      <c r="D14" s="339"/>
      <c r="E14" s="339"/>
      <c r="F14" s="339"/>
      <c r="G14" s="318"/>
      <c r="H14" s="318"/>
      <c r="I14" s="323">
        <v>0</v>
      </c>
      <c r="J14" s="323">
        <v>1600</v>
      </c>
      <c r="K14" s="323">
        <v>2695</v>
      </c>
      <c r="L14" s="323">
        <v>1600</v>
      </c>
      <c r="M14" s="323">
        <v>1667</v>
      </c>
      <c r="N14" s="323">
        <v>89498</v>
      </c>
      <c r="O14" s="323">
        <v>148766</v>
      </c>
      <c r="P14" s="323">
        <v>80585</v>
      </c>
      <c r="Q14" s="323">
        <v>236380</v>
      </c>
      <c r="R14" s="323">
        <v>496645</v>
      </c>
      <c r="S14" s="323">
        <v>0</v>
      </c>
      <c r="T14" s="323">
        <v>0</v>
      </c>
      <c r="U14" s="323">
        <v>0</v>
      </c>
      <c r="V14" s="323">
        <v>0</v>
      </c>
      <c r="W14" s="323">
        <v>0</v>
      </c>
      <c r="X14" s="323">
        <v>4800</v>
      </c>
      <c r="Y14" s="323">
        <v>0</v>
      </c>
      <c r="Z14" s="323">
        <v>87859</v>
      </c>
      <c r="AA14" s="323">
        <v>134599</v>
      </c>
      <c r="AB14" s="323">
        <v>185451</v>
      </c>
      <c r="AC14" s="332">
        <v>220143</v>
      </c>
      <c r="AD14" s="323">
        <v>60704</v>
      </c>
      <c r="AE14" s="323">
        <v>74568</v>
      </c>
      <c r="AF14" s="323">
        <v>771305</v>
      </c>
      <c r="AG14" s="323">
        <v>874631</v>
      </c>
      <c r="AH14" s="337">
        <v>7679</v>
      </c>
      <c r="AI14" s="337">
        <v>34220</v>
      </c>
      <c r="AJ14" s="337">
        <v>5581</v>
      </c>
      <c r="AK14" s="337">
        <v>11781</v>
      </c>
      <c r="AL14" s="337">
        <v>12140</v>
      </c>
      <c r="AM14" s="337">
        <v>7920</v>
      </c>
      <c r="AN14" s="337">
        <v>28338</v>
      </c>
      <c r="AO14" s="337">
        <v>24400</v>
      </c>
      <c r="AP14" s="337">
        <v>21608</v>
      </c>
      <c r="AQ14" s="337">
        <v>21651</v>
      </c>
      <c r="AR14" s="337">
        <v>21032</v>
      </c>
      <c r="AS14" s="337">
        <v>26178</v>
      </c>
      <c r="AT14" s="337">
        <v>26810</v>
      </c>
      <c r="AU14" s="337">
        <v>23815</v>
      </c>
      <c r="AV14" s="337">
        <v>22135</v>
      </c>
      <c r="AW14" s="337">
        <v>19504</v>
      </c>
      <c r="AX14" s="337">
        <v>25869</v>
      </c>
      <c r="AY14" s="337">
        <v>37541</v>
      </c>
      <c r="AZ14" s="338"/>
      <c r="BA14" s="337">
        <v>16294</v>
      </c>
      <c r="BB14" s="337">
        <v>15961</v>
      </c>
      <c r="BC14" s="337">
        <v>20101</v>
      </c>
    </row>
    <row r="15" spans="1:55" x14ac:dyDescent="0.25">
      <c r="A15" s="318"/>
      <c r="B15" s="347" t="s">
        <v>154</v>
      </c>
      <c r="C15" s="319"/>
      <c r="D15" s="319"/>
      <c r="E15" s="319"/>
      <c r="F15" s="319"/>
      <c r="G15" s="319"/>
      <c r="H15" s="319"/>
      <c r="I15" s="323">
        <v>24068</v>
      </c>
      <c r="J15" s="323">
        <v>32481</v>
      </c>
      <c r="K15" s="323">
        <v>59735</v>
      </c>
      <c r="L15" s="323">
        <v>3702</v>
      </c>
      <c r="M15" s="323">
        <v>36510</v>
      </c>
      <c r="N15" s="323">
        <v>18553</v>
      </c>
      <c r="O15" s="323">
        <v>12854</v>
      </c>
      <c r="P15" s="323">
        <v>8585</v>
      </c>
      <c r="Q15" s="323">
        <v>23962</v>
      </c>
      <c r="R15" s="323">
        <v>17622</v>
      </c>
      <c r="S15" s="323">
        <v>33463</v>
      </c>
      <c r="T15" s="323">
        <v>26508</v>
      </c>
      <c r="U15" s="323">
        <v>37332</v>
      </c>
      <c r="V15" s="323">
        <v>42029</v>
      </c>
      <c r="W15" s="323">
        <v>18164</v>
      </c>
      <c r="X15" s="323">
        <v>19072</v>
      </c>
      <c r="Y15" s="323">
        <v>29391</v>
      </c>
      <c r="Z15" s="323">
        <v>16534</v>
      </c>
      <c r="AA15" s="323">
        <v>20915</v>
      </c>
      <c r="AB15" s="323">
        <v>18875</v>
      </c>
      <c r="AC15" s="323">
        <v>26120</v>
      </c>
      <c r="AD15" s="323">
        <v>25100</v>
      </c>
      <c r="AE15" s="323">
        <v>6910</v>
      </c>
      <c r="AF15" s="323">
        <v>17541</v>
      </c>
      <c r="AG15" s="323">
        <v>24635</v>
      </c>
      <c r="AH15" s="337">
        <v>15610</v>
      </c>
      <c r="AI15" s="337">
        <v>40709</v>
      </c>
      <c r="AJ15" s="337">
        <v>4383</v>
      </c>
      <c r="AK15" s="337">
        <v>29062</v>
      </c>
      <c r="AL15" s="337">
        <v>21757</v>
      </c>
      <c r="AM15" s="337">
        <v>24566</v>
      </c>
      <c r="AN15" s="337">
        <v>76022</v>
      </c>
      <c r="AO15" s="337">
        <v>87386</v>
      </c>
      <c r="AP15" s="337">
        <v>51231</v>
      </c>
      <c r="AQ15" s="337">
        <v>69940</v>
      </c>
      <c r="AR15" s="337">
        <v>68572</v>
      </c>
      <c r="AS15" s="337">
        <v>62612</v>
      </c>
      <c r="AT15" s="337">
        <v>84902</v>
      </c>
      <c r="AU15" s="337">
        <v>56759</v>
      </c>
      <c r="AV15" s="337">
        <v>29314</v>
      </c>
      <c r="AW15" s="337">
        <v>45946</v>
      </c>
      <c r="AX15" s="337">
        <v>52700</v>
      </c>
      <c r="AY15" s="337">
        <v>98281</v>
      </c>
      <c r="AZ15" s="338"/>
      <c r="BA15" s="337">
        <v>40912</v>
      </c>
      <c r="BB15" s="337">
        <v>44883</v>
      </c>
      <c r="BC15" s="337">
        <v>60422</v>
      </c>
    </row>
    <row r="16" spans="1:55" x14ac:dyDescent="0.25">
      <c r="A16" s="318"/>
      <c r="B16" s="341" t="s">
        <v>132</v>
      </c>
      <c r="C16" s="323">
        <v>7545</v>
      </c>
      <c r="D16" s="323">
        <v>55871.95</v>
      </c>
      <c r="E16" s="323">
        <v>44525.61</v>
      </c>
      <c r="F16" s="323">
        <v>9000</v>
      </c>
      <c r="G16" s="323">
        <v>9729</v>
      </c>
      <c r="H16" s="323">
        <v>26340.65</v>
      </c>
      <c r="I16" s="323">
        <v>16910</v>
      </c>
      <c r="J16" s="323">
        <v>42400</v>
      </c>
      <c r="K16" s="323">
        <v>44961</v>
      </c>
      <c r="L16" s="323">
        <v>10225</v>
      </c>
      <c r="M16" s="323">
        <v>33075</v>
      </c>
      <c r="N16" s="323">
        <v>24762</v>
      </c>
      <c r="O16" s="323">
        <v>17494</v>
      </c>
      <c r="P16" s="323">
        <v>11595</v>
      </c>
      <c r="Q16" s="323">
        <v>19042</v>
      </c>
      <c r="R16" s="323">
        <v>33868</v>
      </c>
      <c r="S16" s="323">
        <v>24110</v>
      </c>
      <c r="T16" s="323">
        <v>17612</v>
      </c>
      <c r="U16" s="323">
        <v>26617</v>
      </c>
      <c r="V16" s="323">
        <v>14350</v>
      </c>
      <c r="W16" s="323">
        <v>17215</v>
      </c>
      <c r="X16" s="323">
        <v>12668</v>
      </c>
      <c r="Y16" s="323">
        <v>20248</v>
      </c>
      <c r="Z16" s="323">
        <v>17880</v>
      </c>
      <c r="AA16" s="323">
        <v>19378</v>
      </c>
      <c r="AB16" s="323">
        <v>16827</v>
      </c>
      <c r="AC16" s="323">
        <v>28623</v>
      </c>
      <c r="AD16" s="323">
        <v>18858</v>
      </c>
      <c r="AE16" s="323">
        <v>12167</v>
      </c>
      <c r="AF16" s="323">
        <v>17505</v>
      </c>
      <c r="AG16" s="323">
        <v>19240</v>
      </c>
      <c r="AH16" s="339">
        <v>10181</v>
      </c>
      <c r="AI16" s="339">
        <v>18140</v>
      </c>
      <c r="AJ16" s="339">
        <v>11800</v>
      </c>
      <c r="AK16" s="339">
        <v>9516</v>
      </c>
      <c r="AL16" s="339">
        <v>11069</v>
      </c>
      <c r="AM16" s="339">
        <v>4860</v>
      </c>
      <c r="AN16" s="339">
        <v>19172</v>
      </c>
      <c r="AO16" s="339">
        <v>19877</v>
      </c>
      <c r="AP16" s="339">
        <v>14520</v>
      </c>
      <c r="AQ16" s="339">
        <v>17881</v>
      </c>
      <c r="AR16" s="339">
        <v>10927</v>
      </c>
      <c r="AS16" s="339">
        <v>12389</v>
      </c>
      <c r="AT16" s="339">
        <v>13084</v>
      </c>
      <c r="AU16" s="339">
        <v>15492</v>
      </c>
      <c r="AV16" s="339">
        <v>12975</v>
      </c>
      <c r="AW16" s="339">
        <v>12390</v>
      </c>
      <c r="AX16" s="339">
        <v>45373</v>
      </c>
      <c r="AY16" s="339">
        <v>51557</v>
      </c>
      <c r="AZ16" s="340"/>
      <c r="BA16" s="339">
        <v>13036</v>
      </c>
      <c r="BB16" s="339">
        <v>11733</v>
      </c>
      <c r="BC16" s="339">
        <v>21294</v>
      </c>
    </row>
    <row r="17" spans="1:55" x14ac:dyDescent="0.25">
      <c r="A17" s="318" t="s">
        <v>149</v>
      </c>
      <c r="B17" s="341" t="s">
        <v>136</v>
      </c>
      <c r="C17" s="318"/>
      <c r="D17" s="318"/>
      <c r="E17" s="318"/>
      <c r="F17" s="318"/>
      <c r="G17" s="318"/>
      <c r="H17" s="318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>
        <v>3160</v>
      </c>
      <c r="AI17" s="339">
        <v>8691</v>
      </c>
      <c r="AJ17" s="339">
        <v>4571</v>
      </c>
      <c r="AK17" s="339">
        <v>4691</v>
      </c>
      <c r="AL17" s="339">
        <v>4740</v>
      </c>
      <c r="AM17" s="339">
        <v>3160</v>
      </c>
      <c r="AN17" s="339">
        <v>7901</v>
      </c>
      <c r="AO17" s="339">
        <v>9728</v>
      </c>
      <c r="AP17" s="339">
        <v>8641</v>
      </c>
      <c r="AQ17" s="339">
        <v>8296</v>
      </c>
      <c r="AR17" s="339">
        <v>8493</v>
      </c>
      <c r="AS17" s="339">
        <v>9234</v>
      </c>
      <c r="AT17" s="339">
        <v>8345</v>
      </c>
      <c r="AU17" s="339">
        <v>9766</v>
      </c>
      <c r="AV17" s="339">
        <v>8094</v>
      </c>
      <c r="AW17" s="339">
        <v>7425</v>
      </c>
      <c r="AX17" s="339">
        <v>10025</v>
      </c>
      <c r="AY17" s="339">
        <v>11073</v>
      </c>
      <c r="AZ17" s="340"/>
      <c r="BA17" s="339">
        <v>7033</v>
      </c>
      <c r="BB17" s="339">
        <v>7033</v>
      </c>
      <c r="BC17" s="339">
        <v>9392</v>
      </c>
    </row>
    <row r="18" spans="1:55" x14ac:dyDescent="0.25"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301"/>
      <c r="BA18" s="260"/>
      <c r="BB18" s="260"/>
      <c r="BC18" s="260"/>
    </row>
    <row r="19" spans="1:55" x14ac:dyDescent="0.25">
      <c r="B19" s="342" t="s">
        <v>67</v>
      </c>
      <c r="C19" s="319"/>
      <c r="D19" s="319"/>
      <c r="E19" s="319"/>
      <c r="F19" s="319"/>
      <c r="G19" s="319"/>
      <c r="H19" s="319"/>
      <c r="I19" s="319" t="s">
        <v>8</v>
      </c>
      <c r="J19" s="319" t="s">
        <v>9</v>
      </c>
      <c r="K19" s="319" t="s">
        <v>10</v>
      </c>
      <c r="L19" s="319" t="s">
        <v>114</v>
      </c>
      <c r="M19" s="319" t="s">
        <v>12</v>
      </c>
      <c r="N19" s="319" t="s">
        <v>13</v>
      </c>
      <c r="O19" s="319" t="s">
        <v>14</v>
      </c>
      <c r="P19" s="319" t="s">
        <v>15</v>
      </c>
      <c r="Q19" s="319" t="s">
        <v>16</v>
      </c>
      <c r="R19" s="319" t="s">
        <v>17</v>
      </c>
      <c r="S19" s="319" t="s">
        <v>18</v>
      </c>
      <c r="T19" s="319" t="s">
        <v>19</v>
      </c>
      <c r="U19" s="319" t="s">
        <v>20</v>
      </c>
      <c r="V19" s="319" t="s">
        <v>21</v>
      </c>
      <c r="W19" s="319" t="s">
        <v>22</v>
      </c>
      <c r="X19" s="319" t="s">
        <v>23</v>
      </c>
      <c r="Y19" s="319" t="s">
        <v>24</v>
      </c>
      <c r="Z19" s="319" t="s">
        <v>25</v>
      </c>
      <c r="AA19" s="319" t="s">
        <v>26</v>
      </c>
      <c r="AB19" s="319" t="s">
        <v>27</v>
      </c>
      <c r="AC19" s="319" t="s">
        <v>28</v>
      </c>
      <c r="AD19" s="319" t="s">
        <v>29</v>
      </c>
      <c r="AE19" s="319" t="s">
        <v>30</v>
      </c>
      <c r="AF19" s="319" t="s">
        <v>31</v>
      </c>
      <c r="AG19" s="319" t="s">
        <v>32</v>
      </c>
      <c r="AH19" s="319" t="s">
        <v>34</v>
      </c>
      <c r="AI19" s="319" t="s">
        <v>35</v>
      </c>
      <c r="AJ19" s="319" t="s">
        <v>36</v>
      </c>
      <c r="AK19" s="319" t="s">
        <v>37</v>
      </c>
      <c r="AL19" s="319" t="s">
        <v>38</v>
      </c>
      <c r="AM19" s="319" t="s">
        <v>39</v>
      </c>
      <c r="AN19" s="319" t="s">
        <v>33</v>
      </c>
      <c r="AO19" s="319" t="s">
        <v>40</v>
      </c>
      <c r="AP19" s="319" t="s">
        <v>41</v>
      </c>
      <c r="AQ19" s="319" t="s">
        <v>42</v>
      </c>
      <c r="AR19" s="319" t="s">
        <v>43</v>
      </c>
      <c r="AS19" s="319" t="s">
        <v>44</v>
      </c>
      <c r="AT19" s="319" t="s">
        <v>45</v>
      </c>
      <c r="AU19" s="319" t="s">
        <v>46</v>
      </c>
      <c r="AV19" s="319" t="s">
        <v>47</v>
      </c>
      <c r="AW19" s="319" t="s">
        <v>48</v>
      </c>
      <c r="AX19" s="319" t="s">
        <v>49</v>
      </c>
      <c r="AY19" s="319" t="s">
        <v>50</v>
      </c>
      <c r="AZ19" s="321" t="s">
        <v>51</v>
      </c>
      <c r="BA19" s="319" t="s">
        <v>52</v>
      </c>
      <c r="BB19" s="319" t="s">
        <v>53</v>
      </c>
      <c r="BC19" s="319" t="s">
        <v>54</v>
      </c>
    </row>
    <row r="20" spans="1:55" x14ac:dyDescent="0.25">
      <c r="B20" s="341" t="s">
        <v>62</v>
      </c>
      <c r="C20" s="318"/>
      <c r="D20" s="318"/>
      <c r="E20" s="318"/>
      <c r="F20" s="318"/>
      <c r="G20" s="318"/>
      <c r="H20" s="318"/>
      <c r="I20" s="343">
        <v>-12030</v>
      </c>
      <c r="J20" s="343">
        <v>-9143</v>
      </c>
      <c r="K20" s="343">
        <v>-19782</v>
      </c>
      <c r="L20" s="343">
        <v>-3574</v>
      </c>
      <c r="M20" s="343">
        <v>-14951</v>
      </c>
      <c r="N20" s="343">
        <v>7215</v>
      </c>
      <c r="O20" s="343">
        <v>-2221</v>
      </c>
      <c r="P20" s="343">
        <v>5056</v>
      </c>
      <c r="Q20" s="343">
        <v>2552</v>
      </c>
      <c r="R20" s="343">
        <v>188</v>
      </c>
      <c r="S20" s="343">
        <v>-2131</v>
      </c>
      <c r="T20" s="343">
        <v>-3877</v>
      </c>
      <c r="U20" s="343">
        <v>-4930</v>
      </c>
      <c r="V20" s="343">
        <v>-6138</v>
      </c>
      <c r="W20" s="343">
        <v>-17688</v>
      </c>
      <c r="X20" s="343">
        <v>-10236</v>
      </c>
      <c r="Y20" s="343">
        <v>-7405</v>
      </c>
      <c r="Z20" s="343">
        <v>-4566</v>
      </c>
      <c r="AA20" s="343">
        <v>-11532</v>
      </c>
      <c r="AB20" s="343">
        <v>-10880</v>
      </c>
      <c r="AC20" s="343">
        <v>-6972</v>
      </c>
      <c r="AD20" s="343">
        <v>-28081</v>
      </c>
      <c r="AE20" s="343">
        <v>-4478</v>
      </c>
      <c r="AF20" s="343">
        <v>61</v>
      </c>
      <c r="AG20" s="343">
        <v>340</v>
      </c>
      <c r="AH20" s="343">
        <v>197</v>
      </c>
      <c r="AI20" s="343">
        <v>-4700</v>
      </c>
      <c r="AJ20" s="343">
        <v>-3474</v>
      </c>
      <c r="AK20" s="343">
        <v>594</v>
      </c>
      <c r="AL20" s="343">
        <v>-17951</v>
      </c>
      <c r="AM20" s="343">
        <v>7610</v>
      </c>
      <c r="AN20" s="343">
        <v>-6026</v>
      </c>
      <c r="AO20" s="343">
        <v>-9656</v>
      </c>
      <c r="AP20" s="343">
        <v>-18706</v>
      </c>
      <c r="AQ20" s="343">
        <v>-4755</v>
      </c>
      <c r="AR20" s="343">
        <v>-4575</v>
      </c>
      <c r="AS20" s="343">
        <v>-11288</v>
      </c>
      <c r="AT20" s="343">
        <v>4719</v>
      </c>
      <c r="AU20" s="343">
        <v>199</v>
      </c>
      <c r="AV20" s="343">
        <v>-64</v>
      </c>
      <c r="AW20" s="343">
        <v>-17967</v>
      </c>
      <c r="AX20" s="343">
        <v>-2649</v>
      </c>
      <c r="AY20" s="343">
        <v>262</v>
      </c>
      <c r="AZ20" s="344">
        <v>0</v>
      </c>
      <c r="BA20" s="343">
        <v>-2564</v>
      </c>
      <c r="BB20" s="343">
        <v>-1527</v>
      </c>
      <c r="BC20" s="343">
        <v>-3500</v>
      </c>
    </row>
    <row r="21" spans="1:55" x14ac:dyDescent="0.25">
      <c r="B21" s="341" t="s">
        <v>63</v>
      </c>
      <c r="C21" s="318"/>
      <c r="D21" s="318"/>
      <c r="E21" s="318"/>
      <c r="F21" s="318"/>
      <c r="G21" s="318"/>
      <c r="H21" s="318"/>
      <c r="I21" s="343">
        <v>-7371</v>
      </c>
      <c r="J21" s="343">
        <v>-227</v>
      </c>
      <c r="K21" s="343">
        <v>-5526</v>
      </c>
      <c r="L21" s="343">
        <v>-108</v>
      </c>
      <c r="M21" s="343">
        <v>-4869</v>
      </c>
      <c r="N21" s="343">
        <v>6344</v>
      </c>
      <c r="O21" s="343">
        <v>-3126</v>
      </c>
      <c r="P21" s="343">
        <v>-1908</v>
      </c>
      <c r="Q21" s="343">
        <v>-508</v>
      </c>
      <c r="R21" s="343">
        <v>0</v>
      </c>
      <c r="S21" s="343">
        <v>-8446</v>
      </c>
      <c r="T21" s="343">
        <v>4594</v>
      </c>
      <c r="U21" s="343">
        <v>-1439</v>
      </c>
      <c r="V21" s="343">
        <v>-1466</v>
      </c>
      <c r="W21" s="343">
        <v>-4092</v>
      </c>
      <c r="X21" s="343">
        <v>-7066</v>
      </c>
      <c r="Y21" s="343">
        <v>-2927</v>
      </c>
      <c r="Z21" s="343">
        <v>-21761</v>
      </c>
      <c r="AA21" s="343">
        <v>41923</v>
      </c>
      <c r="AB21" s="343">
        <v>223</v>
      </c>
      <c r="AC21" s="343">
        <v>21203</v>
      </c>
      <c r="AD21" s="343">
        <v>34924</v>
      </c>
      <c r="AE21" s="343">
        <v>-1887</v>
      </c>
      <c r="AF21" s="343">
        <v>0</v>
      </c>
      <c r="AG21" s="343">
        <v>0</v>
      </c>
      <c r="AH21" s="343">
        <v>-23496</v>
      </c>
      <c r="AI21" s="343">
        <v>-101087</v>
      </c>
      <c r="AJ21" s="343">
        <v>-9914</v>
      </c>
      <c r="AK21" s="343">
        <v>-41217</v>
      </c>
      <c r="AL21" s="343">
        <v>-23513</v>
      </c>
      <c r="AM21" s="343">
        <v>-20217</v>
      </c>
      <c r="AN21" s="343">
        <v>-15867</v>
      </c>
      <c r="AO21" s="343">
        <v>-106435</v>
      </c>
      <c r="AP21" s="343">
        <v>-64588</v>
      </c>
      <c r="AQ21" s="343">
        <v>-21725</v>
      </c>
      <c r="AR21" s="343">
        <v>-143189</v>
      </c>
      <c r="AS21" s="343">
        <v>-26718</v>
      </c>
      <c r="AT21" s="343">
        <v>-68605</v>
      </c>
      <c r="AU21" s="343">
        <v>-118478</v>
      </c>
      <c r="AV21" s="343">
        <v>-63397</v>
      </c>
      <c r="AW21" s="343">
        <v>-26266</v>
      </c>
      <c r="AX21" s="343">
        <v>-51504</v>
      </c>
      <c r="AY21" s="343">
        <v>-237875</v>
      </c>
      <c r="AZ21" s="344">
        <v>0</v>
      </c>
      <c r="BA21" s="343">
        <v>-40503</v>
      </c>
      <c r="BB21" s="343">
        <v>-6376</v>
      </c>
      <c r="BC21" s="343">
        <v>-111484</v>
      </c>
    </row>
    <row r="22" spans="1:55" x14ac:dyDescent="0.25">
      <c r="B22" s="341" t="s">
        <v>64</v>
      </c>
      <c r="C22" s="343"/>
      <c r="D22" s="343"/>
      <c r="E22" s="343"/>
      <c r="F22" s="343"/>
      <c r="G22" s="343"/>
      <c r="H22" s="343"/>
      <c r="I22" s="343">
        <v>0</v>
      </c>
      <c r="J22" s="343">
        <v>-8189</v>
      </c>
      <c r="K22" s="343">
        <v>2040</v>
      </c>
      <c r="L22" s="343">
        <v>1600</v>
      </c>
      <c r="M22" s="343">
        <v>-4048</v>
      </c>
      <c r="N22" s="343">
        <v>22509</v>
      </c>
      <c r="O22" s="343">
        <v>29462</v>
      </c>
      <c r="P22" s="343">
        <v>-14092</v>
      </c>
      <c r="Q22" s="343">
        <v>82695</v>
      </c>
      <c r="R22" s="343">
        <v>-10052</v>
      </c>
      <c r="S22" s="343">
        <v>0</v>
      </c>
      <c r="T22" s="343">
        <v>0</v>
      </c>
      <c r="U22" s="343">
        <v>0</v>
      </c>
      <c r="V22" s="343">
        <v>-2652</v>
      </c>
      <c r="W22" s="343">
        <v>0</v>
      </c>
      <c r="X22" s="343">
        <v>4800</v>
      </c>
      <c r="Y22" s="343">
        <v>0</v>
      </c>
      <c r="Z22" s="343">
        <v>-60856</v>
      </c>
      <c r="AA22" s="343">
        <v>755</v>
      </c>
      <c r="AB22" s="343">
        <v>9535</v>
      </c>
      <c r="AC22" s="343">
        <v>-62960</v>
      </c>
      <c r="AD22" s="343">
        <v>53085</v>
      </c>
      <c r="AE22" s="343">
        <v>24646</v>
      </c>
      <c r="AF22" s="343">
        <v>-102449</v>
      </c>
      <c r="AG22" s="343">
        <v>625549</v>
      </c>
      <c r="AH22" s="343">
        <v>-15444</v>
      </c>
      <c r="AI22" s="343">
        <v>-132947</v>
      </c>
      <c r="AJ22" s="343">
        <v>-24498</v>
      </c>
      <c r="AK22" s="343">
        <v>-94146</v>
      </c>
      <c r="AL22" s="343">
        <v>-146339</v>
      </c>
      <c r="AM22" s="343">
        <v>-26085</v>
      </c>
      <c r="AN22" s="343">
        <v>-42602</v>
      </c>
      <c r="AO22" s="343">
        <v>-141276</v>
      </c>
      <c r="AP22" s="343">
        <v>-166761</v>
      </c>
      <c r="AQ22" s="343">
        <v>-48304</v>
      </c>
      <c r="AR22" s="343">
        <v>-172727</v>
      </c>
      <c r="AS22" s="343">
        <v>-173663</v>
      </c>
      <c r="AT22" s="343">
        <v>-69649</v>
      </c>
      <c r="AU22" s="343">
        <v>-28019</v>
      </c>
      <c r="AV22" s="343">
        <v>-37194</v>
      </c>
      <c r="AW22" s="343">
        <v>-11453</v>
      </c>
      <c r="AX22" s="343">
        <v>-32496</v>
      </c>
      <c r="AY22" s="343">
        <v>-22730</v>
      </c>
      <c r="AZ22" s="344">
        <v>0</v>
      </c>
      <c r="BA22" s="343">
        <v>-76313</v>
      </c>
      <c r="BB22" s="343">
        <v>-25074</v>
      </c>
      <c r="BC22" s="343">
        <v>-82950</v>
      </c>
    </row>
    <row r="23" spans="1:55" x14ac:dyDescent="0.25">
      <c r="B23" s="347" t="s">
        <v>154</v>
      </c>
      <c r="C23" s="319"/>
      <c r="D23" s="319"/>
      <c r="E23" s="319"/>
      <c r="F23" s="319"/>
      <c r="G23" s="319"/>
      <c r="H23" s="319"/>
      <c r="I23" s="343">
        <v>4056</v>
      </c>
      <c r="J23" s="343">
        <v>3228</v>
      </c>
      <c r="K23" s="343">
        <v>-5235</v>
      </c>
      <c r="L23" s="343">
        <v>-388</v>
      </c>
      <c r="M23" s="343">
        <v>-607</v>
      </c>
      <c r="N23" s="343">
        <v>8620</v>
      </c>
      <c r="O23" s="343">
        <v>3626</v>
      </c>
      <c r="P23" s="343">
        <v>1454</v>
      </c>
      <c r="Q23" s="343">
        <v>11675</v>
      </c>
      <c r="R23" s="343">
        <v>533</v>
      </c>
      <c r="S23" s="343">
        <v>-3339</v>
      </c>
      <c r="T23" s="343">
        <v>4493</v>
      </c>
      <c r="U23" s="343">
        <v>3577</v>
      </c>
      <c r="V23" s="343">
        <v>2795</v>
      </c>
      <c r="W23" s="343">
        <v>4208</v>
      </c>
      <c r="X23" s="343">
        <v>7284</v>
      </c>
      <c r="Y23" s="343">
        <v>-64</v>
      </c>
      <c r="Z23" s="343">
        <v>1705</v>
      </c>
      <c r="AA23" s="343">
        <v>-1556</v>
      </c>
      <c r="AB23" s="343">
        <v>-2665</v>
      </c>
      <c r="AC23" s="343">
        <v>1638</v>
      </c>
      <c r="AD23" s="343">
        <v>6718</v>
      </c>
      <c r="AE23" s="343">
        <v>340</v>
      </c>
      <c r="AF23" s="343">
        <v>-5149</v>
      </c>
      <c r="AG23" s="343">
        <v>5317</v>
      </c>
      <c r="AH23" s="343">
        <v>4410</v>
      </c>
      <c r="AI23" s="343">
        <v>6714</v>
      </c>
      <c r="AJ23" s="343">
        <v>-39421</v>
      </c>
      <c r="AK23" s="343">
        <v>-55517</v>
      </c>
      <c r="AL23" s="343">
        <v>-41303</v>
      </c>
      <c r="AM23" s="343">
        <v>-25645</v>
      </c>
      <c r="AN23" s="343">
        <v>54898</v>
      </c>
      <c r="AO23" s="343">
        <v>-54447</v>
      </c>
      <c r="AP23" s="343">
        <v>-117726</v>
      </c>
      <c r="AQ23" s="343">
        <v>48337</v>
      </c>
      <c r="AR23" s="343">
        <v>42233</v>
      </c>
      <c r="AS23" s="343">
        <v>29443</v>
      </c>
      <c r="AT23" s="343">
        <v>-42473</v>
      </c>
      <c r="AU23" s="343">
        <v>-62869</v>
      </c>
      <c r="AV23" s="343">
        <v>-115228</v>
      </c>
      <c r="AW23" s="343">
        <v>23070</v>
      </c>
      <c r="AX23" s="343">
        <v>19465</v>
      </c>
      <c r="AY23" s="343">
        <v>49458</v>
      </c>
      <c r="AZ23" s="344">
        <v>0</v>
      </c>
      <c r="BA23" s="343">
        <v>23289</v>
      </c>
      <c r="BB23" s="343">
        <v>18911</v>
      </c>
      <c r="BC23" s="343">
        <v>23031</v>
      </c>
    </row>
    <row r="24" spans="1:55" x14ac:dyDescent="0.25">
      <c r="B24" s="341" t="s">
        <v>132</v>
      </c>
      <c r="C24" s="343">
        <v>774</v>
      </c>
      <c r="D24" s="343">
        <v>29185.949999999997</v>
      </c>
      <c r="E24" s="343">
        <v>8728.61</v>
      </c>
      <c r="F24" s="343">
        <v>2837</v>
      </c>
      <c r="G24" s="343">
        <v>1628</v>
      </c>
      <c r="H24" s="343">
        <v>-10171.349999999999</v>
      </c>
      <c r="I24" s="343">
        <v>3327</v>
      </c>
      <c r="J24" s="343">
        <v>-46862</v>
      </c>
      <c r="K24" s="343">
        <v>-18630</v>
      </c>
      <c r="L24" s="343">
        <v>-9645</v>
      </c>
      <c r="M24" s="343">
        <v>-21494</v>
      </c>
      <c r="N24" s="343">
        <v>-1065</v>
      </c>
      <c r="O24" s="343">
        <v>1783</v>
      </c>
      <c r="P24" s="343">
        <v>4203</v>
      </c>
      <c r="Q24" s="343">
        <v>7535</v>
      </c>
      <c r="R24" s="343">
        <v>3060</v>
      </c>
      <c r="S24" s="343">
        <v>-8016</v>
      </c>
      <c r="T24" s="343">
        <v>1965</v>
      </c>
      <c r="U24" s="343">
        <v>-5063</v>
      </c>
      <c r="V24" s="343">
        <v>2314</v>
      </c>
      <c r="W24" s="343">
        <v>-6439</v>
      </c>
      <c r="X24" s="343">
        <v>-1340</v>
      </c>
      <c r="Y24" s="343">
        <v>-10278</v>
      </c>
      <c r="Z24" s="343">
        <v>-2536</v>
      </c>
      <c r="AA24" s="343">
        <v>5817</v>
      </c>
      <c r="AB24" s="343">
        <v>-7036</v>
      </c>
      <c r="AC24" s="343">
        <v>-8816</v>
      </c>
      <c r="AD24" s="343">
        <v>5728</v>
      </c>
      <c r="AE24" s="343">
        <v>2209</v>
      </c>
      <c r="AF24" s="343">
        <v>-1451</v>
      </c>
      <c r="AG24" s="343">
        <v>-891</v>
      </c>
      <c r="AH24" s="343">
        <v>3635</v>
      </c>
      <c r="AI24" s="343">
        <v>-46312</v>
      </c>
      <c r="AJ24" s="343">
        <v>-84993</v>
      </c>
      <c r="AK24" s="343">
        <v>-10746</v>
      </c>
      <c r="AL24" s="343">
        <v>-74350</v>
      </c>
      <c r="AM24" s="343">
        <v>-103</v>
      </c>
      <c r="AN24" s="343">
        <v>-44062</v>
      </c>
      <c r="AO24" s="343">
        <v>-66298</v>
      </c>
      <c r="AP24" s="343">
        <v>-170380</v>
      </c>
      <c r="AQ24" s="343">
        <v>803</v>
      </c>
      <c r="AR24" s="343">
        <v>-24638</v>
      </c>
      <c r="AS24" s="343">
        <v>-6053</v>
      </c>
      <c r="AT24" s="343">
        <v>-259204</v>
      </c>
      <c r="AU24" s="343">
        <v>-76986</v>
      </c>
      <c r="AV24" s="343">
        <v>-122663</v>
      </c>
      <c r="AW24" s="343">
        <v>-155</v>
      </c>
      <c r="AX24" s="343">
        <v>28811</v>
      </c>
      <c r="AY24" s="343">
        <v>-23666</v>
      </c>
      <c r="AZ24" s="344">
        <v>0</v>
      </c>
      <c r="BA24" s="343">
        <v>-54679</v>
      </c>
      <c r="BB24" s="343">
        <v>-74546</v>
      </c>
      <c r="BC24" s="343">
        <v>-18286</v>
      </c>
    </row>
    <row r="25" spans="1:55" x14ac:dyDescent="0.25">
      <c r="B25" s="341" t="s">
        <v>136</v>
      </c>
      <c r="C25" s="318"/>
      <c r="D25" s="318"/>
      <c r="E25" s="318"/>
      <c r="F25" s="318"/>
      <c r="G25" s="318"/>
      <c r="H25" s="318"/>
      <c r="I25" s="343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43">
        <v>1531</v>
      </c>
      <c r="AI25" s="343">
        <v>-3927</v>
      </c>
      <c r="AJ25" s="343">
        <v>1301</v>
      </c>
      <c r="AK25" s="343">
        <v>-861</v>
      </c>
      <c r="AL25" s="343">
        <v>822</v>
      </c>
      <c r="AM25" s="343">
        <v>538</v>
      </c>
      <c r="AN25" s="343">
        <v>-3492</v>
      </c>
      <c r="AO25" s="343">
        <v>-1599</v>
      </c>
      <c r="AP25" s="343">
        <v>-2160</v>
      </c>
      <c r="AQ25" s="343">
        <v>1791</v>
      </c>
      <c r="AR25" s="343">
        <v>741</v>
      </c>
      <c r="AS25" s="343">
        <v>1134</v>
      </c>
      <c r="AT25" s="343">
        <v>-57</v>
      </c>
      <c r="AU25" s="343">
        <v>483</v>
      </c>
      <c r="AV25" s="343">
        <v>1216</v>
      </c>
      <c r="AW25" s="343">
        <v>-97</v>
      </c>
      <c r="AX25" s="343">
        <v>-2418</v>
      </c>
      <c r="AY25" s="343">
        <v>-4378</v>
      </c>
      <c r="AZ25" s="344">
        <v>0</v>
      </c>
      <c r="BA25" s="343">
        <v>2718</v>
      </c>
      <c r="BB25" s="343">
        <v>2199</v>
      </c>
      <c r="BC25" s="343">
        <v>-221</v>
      </c>
    </row>
    <row r="26" spans="1:55" x14ac:dyDescent="0.25">
      <c r="I26" s="267"/>
      <c r="AH26" s="267"/>
      <c r="AI26" s="267"/>
      <c r="AJ26" s="267"/>
      <c r="AK26" s="267"/>
      <c r="AL26" s="267"/>
      <c r="AM26" s="267"/>
      <c r="AN26" s="267"/>
      <c r="AO26" s="267"/>
      <c r="AP26" s="267"/>
      <c r="AQ26" s="267"/>
      <c r="AR26" s="267"/>
      <c r="AS26" s="267"/>
      <c r="AT26" s="267"/>
      <c r="AU26" s="267"/>
      <c r="AV26" s="267"/>
      <c r="AW26" s="267"/>
      <c r="AX26" s="267"/>
      <c r="AY26" s="267"/>
      <c r="AZ26" s="302"/>
      <c r="BA26" s="267"/>
      <c r="BB26" s="267"/>
      <c r="BC26" s="267"/>
    </row>
    <row r="27" spans="1:55" x14ac:dyDescent="0.25">
      <c r="B27" s="266" t="s">
        <v>127</v>
      </c>
      <c r="C27" s="335" t="s">
        <v>2</v>
      </c>
      <c r="D27" s="335" t="s">
        <v>3</v>
      </c>
      <c r="E27" s="335" t="s">
        <v>4</v>
      </c>
      <c r="F27" s="335" t="s">
        <v>5</v>
      </c>
      <c r="G27" s="335" t="s">
        <v>6</v>
      </c>
      <c r="H27" s="335" t="s">
        <v>7</v>
      </c>
      <c r="I27" s="334" t="s">
        <v>8</v>
      </c>
      <c r="J27" s="334" t="s">
        <v>9</v>
      </c>
      <c r="K27" s="334" t="s">
        <v>10</v>
      </c>
      <c r="L27" s="334" t="s">
        <v>114</v>
      </c>
      <c r="M27" s="334" t="s">
        <v>12</v>
      </c>
      <c r="N27" s="334" t="s">
        <v>13</v>
      </c>
      <c r="O27" s="334" t="s">
        <v>14</v>
      </c>
      <c r="P27" s="334" t="s">
        <v>15</v>
      </c>
      <c r="Q27" s="334" t="s">
        <v>16</v>
      </c>
      <c r="R27" s="334" t="s">
        <v>17</v>
      </c>
      <c r="S27" s="334" t="s">
        <v>18</v>
      </c>
      <c r="T27" s="334" t="s">
        <v>19</v>
      </c>
      <c r="U27" s="334" t="s">
        <v>20</v>
      </c>
      <c r="V27" s="334" t="s">
        <v>21</v>
      </c>
      <c r="W27" s="334" t="s">
        <v>22</v>
      </c>
      <c r="X27" s="334" t="s">
        <v>23</v>
      </c>
      <c r="Y27" s="334" t="s">
        <v>24</v>
      </c>
      <c r="Z27" s="334" t="s">
        <v>25</v>
      </c>
      <c r="AA27" s="334" t="s">
        <v>26</v>
      </c>
      <c r="AB27" s="334" t="s">
        <v>27</v>
      </c>
      <c r="AC27" s="334" t="s">
        <v>28</v>
      </c>
      <c r="AD27" s="334" t="s">
        <v>29</v>
      </c>
      <c r="AE27" s="334" t="s">
        <v>30</v>
      </c>
      <c r="AF27" s="334" t="s">
        <v>31</v>
      </c>
      <c r="AG27" s="334" t="s">
        <v>32</v>
      </c>
      <c r="AH27" s="334" t="s">
        <v>34</v>
      </c>
      <c r="AI27" s="334" t="s">
        <v>35</v>
      </c>
      <c r="AJ27" s="334" t="s">
        <v>36</v>
      </c>
      <c r="AK27" s="334" t="s">
        <v>37</v>
      </c>
      <c r="AL27" s="334" t="s">
        <v>38</v>
      </c>
      <c r="AM27" s="334" t="s">
        <v>39</v>
      </c>
      <c r="AN27" s="334" t="s">
        <v>33</v>
      </c>
      <c r="AO27" s="334" t="s">
        <v>40</v>
      </c>
      <c r="AP27" s="334" t="s">
        <v>41</v>
      </c>
      <c r="AQ27" s="334" t="s">
        <v>42</v>
      </c>
      <c r="AR27" s="334" t="s">
        <v>43</v>
      </c>
      <c r="AS27" s="334" t="s">
        <v>44</v>
      </c>
      <c r="AT27" s="334" t="s">
        <v>45</v>
      </c>
      <c r="AU27" s="334" t="s">
        <v>46</v>
      </c>
      <c r="AV27" s="334" t="s">
        <v>47</v>
      </c>
      <c r="AW27" s="334" t="s">
        <v>48</v>
      </c>
      <c r="AX27" s="334" t="s">
        <v>49</v>
      </c>
      <c r="AY27" s="334" t="s">
        <v>50</v>
      </c>
      <c r="AZ27" s="334" t="s">
        <v>51</v>
      </c>
      <c r="BA27" s="334" t="s">
        <v>52</v>
      </c>
      <c r="BB27" s="334" t="s">
        <v>53</v>
      </c>
      <c r="BC27" s="334" t="s">
        <v>54</v>
      </c>
    </row>
    <row r="28" spans="1:55" x14ac:dyDescent="0.25">
      <c r="B28" s="348" t="s">
        <v>62</v>
      </c>
      <c r="C28" s="336">
        <v>1690.1899999999987</v>
      </c>
      <c r="D28" s="336">
        <v>-1318.4700000000084</v>
      </c>
      <c r="E28" s="336">
        <v>23400.290000000008</v>
      </c>
      <c r="F28" s="336">
        <v>-195.85999999999967</v>
      </c>
      <c r="G28" s="336">
        <v>-4890.5999999999995</v>
      </c>
      <c r="H28" s="336">
        <v>7764.53</v>
      </c>
      <c r="I28" s="336">
        <v>-10102.330000000002</v>
      </c>
      <c r="J28" s="336">
        <v>-7001.7499999999854</v>
      </c>
      <c r="K28" s="336">
        <v>-16117.770000000004</v>
      </c>
      <c r="L28" s="336">
        <v>5167.9399999999987</v>
      </c>
      <c r="M28" s="336">
        <v>-21681.170000000002</v>
      </c>
      <c r="N28" s="336">
        <v>1722.3299999999981</v>
      </c>
      <c r="O28" s="336">
        <v>-9241.0300000000007</v>
      </c>
      <c r="P28" s="336">
        <v>-1136.68</v>
      </c>
      <c r="Q28" s="336">
        <v>-3435.4800000000014</v>
      </c>
      <c r="R28" s="336">
        <v>-45.03</v>
      </c>
      <c r="S28" s="336">
        <v>6405.0000000000036</v>
      </c>
      <c r="T28" s="336">
        <v>4172.3800000000047</v>
      </c>
      <c r="U28" s="336">
        <v>-75.130000000001019</v>
      </c>
      <c r="V28" s="336">
        <v>17407.840000000011</v>
      </c>
      <c r="W28" s="336">
        <v>-7379.4799999999959</v>
      </c>
      <c r="X28" s="336">
        <v>-6547.4399999999969</v>
      </c>
      <c r="Y28" s="336">
        <v>1676.4100000000035</v>
      </c>
      <c r="Z28" s="336">
        <v>15776.61</v>
      </c>
      <c r="AA28" s="336">
        <v>12515.879999999997</v>
      </c>
      <c r="AB28" s="336">
        <v>2150.119999999999</v>
      </c>
      <c r="AC28" s="336">
        <v>9162.0800000000017</v>
      </c>
      <c r="AD28" s="336">
        <v>-18496.089999999997</v>
      </c>
      <c r="AE28" s="336">
        <v>3038.8000000000011</v>
      </c>
      <c r="AF28" s="336">
        <v>353.88</v>
      </c>
      <c r="AG28" s="336">
        <v>-38.36</v>
      </c>
      <c r="AH28" s="336">
        <v>3886</v>
      </c>
      <c r="AI28" s="336">
        <v>-2768</v>
      </c>
      <c r="AJ28" s="336">
        <v>-3500</v>
      </c>
      <c r="AK28" s="336">
        <v>-3603</v>
      </c>
      <c r="AL28" s="336">
        <v>-5242</v>
      </c>
      <c r="AM28" s="336">
        <v>9971</v>
      </c>
      <c r="AN28" s="336">
        <v>-6313</v>
      </c>
      <c r="AO28" s="336">
        <v>-14503</v>
      </c>
      <c r="AP28" s="336">
        <v>-20925</v>
      </c>
      <c r="AQ28" s="336">
        <v>5410</v>
      </c>
      <c r="AR28" s="336">
        <v>-10570</v>
      </c>
      <c r="AS28" s="336">
        <v>-10523</v>
      </c>
      <c r="AT28" s="336">
        <v>11473</v>
      </c>
      <c r="AU28" s="336">
        <v>-7710</v>
      </c>
      <c r="AV28" s="336">
        <v>5354</v>
      </c>
      <c r="AW28" s="336">
        <v>-22467</v>
      </c>
      <c r="AX28" s="336">
        <v>-2978</v>
      </c>
      <c r="AY28" s="336">
        <v>-8567</v>
      </c>
      <c r="AZ28" s="336">
        <v>-1024</v>
      </c>
      <c r="BA28" s="336">
        <v>-3075</v>
      </c>
      <c r="BB28" s="336">
        <v>-8497</v>
      </c>
      <c r="BC28" s="336">
        <v>-6664</v>
      </c>
    </row>
    <row r="29" spans="1:55" x14ac:dyDescent="0.25">
      <c r="B29" s="348" t="s">
        <v>63</v>
      </c>
      <c r="C29" s="336">
        <v>-828.49</v>
      </c>
      <c r="D29" s="336">
        <v>-2405.4800000000014</v>
      </c>
      <c r="E29" s="336">
        <v>18759.11</v>
      </c>
      <c r="F29" s="336">
        <v>1161.1100000000001</v>
      </c>
      <c r="G29" s="336">
        <v>64.400000000000546</v>
      </c>
      <c r="H29" s="336">
        <v>-350.3</v>
      </c>
      <c r="I29" s="336">
        <v>-2402.42</v>
      </c>
      <c r="J29" s="336">
        <v>475.90999999999985</v>
      </c>
      <c r="K29" s="336">
        <v>-3254.3999999999996</v>
      </c>
      <c r="L29" s="336">
        <v>6825.6</v>
      </c>
      <c r="M29" s="336">
        <v>-6465.6900000000005</v>
      </c>
      <c r="N29" s="336">
        <v>-4001.0699999999997</v>
      </c>
      <c r="O29" s="336">
        <v>6935.5599999999995</v>
      </c>
      <c r="P29" s="336">
        <v>-2173.59</v>
      </c>
      <c r="Q29" s="336">
        <v>16965.240000000005</v>
      </c>
      <c r="R29" s="336">
        <v>0</v>
      </c>
      <c r="S29" s="336">
        <v>14865.810000000001</v>
      </c>
      <c r="T29" s="336">
        <v>1352.52</v>
      </c>
      <c r="U29" s="336">
        <v>1551.9400000000005</v>
      </c>
      <c r="V29" s="336">
        <v>979.57999999999993</v>
      </c>
      <c r="W29" s="336">
        <v>-3088.6</v>
      </c>
      <c r="X29" s="336">
        <v>3051.5099999999984</v>
      </c>
      <c r="Y29" s="336">
        <v>4452.82</v>
      </c>
      <c r="Z29" s="336">
        <v>1367.6100000000006</v>
      </c>
      <c r="AA29" s="336">
        <v>16915.22</v>
      </c>
      <c r="AB29" s="336">
        <v>3548.3600000000006</v>
      </c>
      <c r="AC29" s="336">
        <v>13137.190000000002</v>
      </c>
      <c r="AD29" s="336">
        <v>1558.2799999999988</v>
      </c>
      <c r="AE29" s="336">
        <v>-239.4900000000016</v>
      </c>
      <c r="AF29" s="336">
        <v>0</v>
      </c>
      <c r="AG29" s="336">
        <v>0</v>
      </c>
      <c r="AH29" s="336">
        <v>438</v>
      </c>
      <c r="AI29" s="336">
        <v>-30671</v>
      </c>
      <c r="AJ29" s="336">
        <v>4491</v>
      </c>
      <c r="AK29" s="336">
        <v>-10262</v>
      </c>
      <c r="AL29" s="336">
        <v>-297</v>
      </c>
      <c r="AM29" s="336">
        <v>3437</v>
      </c>
      <c r="AN29" s="336">
        <v>-3514</v>
      </c>
      <c r="AO29" s="336">
        <v>-28167</v>
      </c>
      <c r="AP29" s="336">
        <v>-17243</v>
      </c>
      <c r="AQ29" s="336">
        <v>-18574</v>
      </c>
      <c r="AR29" s="336">
        <v>-58770</v>
      </c>
      <c r="AS29" s="336">
        <v>-6681</v>
      </c>
      <c r="AT29" s="336">
        <v>-16267</v>
      </c>
      <c r="AU29" s="336">
        <v>13916</v>
      </c>
      <c r="AV29" s="336">
        <v>7723</v>
      </c>
      <c r="AW29" s="336">
        <v>44286</v>
      </c>
      <c r="AX29" s="336">
        <v>-13574</v>
      </c>
      <c r="AY29" s="336">
        <v>-18668</v>
      </c>
      <c r="AZ29" s="336">
        <v>-2265</v>
      </c>
      <c r="BA29" s="336">
        <v>-20547</v>
      </c>
      <c r="BB29" s="336">
        <v>46462</v>
      </c>
      <c r="BC29" s="336">
        <v>-46325</v>
      </c>
    </row>
    <row r="30" spans="1:55" x14ac:dyDescent="0.25">
      <c r="B30" s="348" t="s">
        <v>64</v>
      </c>
      <c r="C30" s="336">
        <v>52.5</v>
      </c>
      <c r="D30" s="336">
        <v>20314.260000000002</v>
      </c>
      <c r="E30" s="336">
        <v>28951.9</v>
      </c>
      <c r="F30" s="336">
        <v>52.5</v>
      </c>
      <c r="G30" s="336">
        <v>6347.13</v>
      </c>
      <c r="H30" s="336">
        <v>21670.770000000019</v>
      </c>
      <c r="I30" s="336">
        <v>52.5</v>
      </c>
      <c r="J30" s="336">
        <v>-8073.35</v>
      </c>
      <c r="K30" s="336">
        <v>6827.57</v>
      </c>
      <c r="L30" s="336">
        <v>0</v>
      </c>
      <c r="M30" s="336">
        <v>3365.1800000000003</v>
      </c>
      <c r="N30" s="336">
        <v>11507.14</v>
      </c>
      <c r="O30" s="336">
        <v>-30960.639999999999</v>
      </c>
      <c r="P30" s="336">
        <v>9479.9800000000105</v>
      </c>
      <c r="Q30" s="336">
        <v>28371.579999999987</v>
      </c>
      <c r="R30" s="336">
        <v>34510.350000000093</v>
      </c>
      <c r="S30" s="336">
        <v>0</v>
      </c>
      <c r="T30" s="336">
        <v>537.80999999999995</v>
      </c>
      <c r="U30" s="336">
        <v>75776.88</v>
      </c>
      <c r="V30" s="336">
        <v>-2599.5</v>
      </c>
      <c r="W30" s="336">
        <v>123.9</v>
      </c>
      <c r="X30" s="336">
        <v>52.5</v>
      </c>
      <c r="Y30" s="336">
        <v>278.25</v>
      </c>
      <c r="Z30" s="336">
        <v>25587.790000000008</v>
      </c>
      <c r="AA30" s="336">
        <v>6111.5899999999965</v>
      </c>
      <c r="AB30" s="336">
        <v>-16473.479999999981</v>
      </c>
      <c r="AC30" s="336">
        <v>-75699.239999999991</v>
      </c>
      <c r="AD30" s="336">
        <v>19821.66</v>
      </c>
      <c r="AE30" s="336">
        <v>3496.1300000000047</v>
      </c>
      <c r="AF30" s="336">
        <v>-41404.34999999986</v>
      </c>
      <c r="AG30" s="336">
        <v>702906.3</v>
      </c>
      <c r="AH30" s="336">
        <v>16348</v>
      </c>
      <c r="AI30" s="336">
        <v>-57272</v>
      </c>
      <c r="AJ30" s="336">
        <v>-13947</v>
      </c>
      <c r="AK30" s="336">
        <v>-23624</v>
      </c>
      <c r="AL30" s="336">
        <v>-73218</v>
      </c>
      <c r="AM30" s="336">
        <v>-13037</v>
      </c>
      <c r="AN30" s="336">
        <v>-2115</v>
      </c>
      <c r="AO30" s="336">
        <v>88183</v>
      </c>
      <c r="AP30" s="336">
        <v>-129175</v>
      </c>
      <c r="AQ30" s="336">
        <v>-36705</v>
      </c>
      <c r="AR30" s="336">
        <v>42291</v>
      </c>
      <c r="AS30" s="336">
        <v>-136798</v>
      </c>
      <c r="AT30" s="336">
        <v>-43547</v>
      </c>
      <c r="AU30" s="336">
        <v>118785</v>
      </c>
      <c r="AV30" s="336">
        <v>92613</v>
      </c>
      <c r="AW30" s="336">
        <v>11963</v>
      </c>
      <c r="AX30" s="336">
        <v>1624</v>
      </c>
      <c r="AY30" s="336">
        <v>159718</v>
      </c>
      <c r="AZ30" s="336">
        <v>9798</v>
      </c>
      <c r="BA30" s="336">
        <v>-58780</v>
      </c>
      <c r="BB30" s="336">
        <v>-9096</v>
      </c>
      <c r="BC30" s="336">
        <v>63136</v>
      </c>
    </row>
    <row r="31" spans="1:55" x14ac:dyDescent="0.25">
      <c r="B31" s="348" t="s">
        <v>58</v>
      </c>
      <c r="C31" s="336">
        <v>338.6</v>
      </c>
      <c r="D31" s="336">
        <v>3774.2900000000009</v>
      </c>
      <c r="E31" s="336">
        <v>20177.289999999994</v>
      </c>
      <c r="F31" s="336">
        <v>-62.529999999999973</v>
      </c>
      <c r="G31" s="336">
        <v>-2831.08</v>
      </c>
      <c r="H31" s="336">
        <v>-6914.23</v>
      </c>
      <c r="I31" s="336">
        <v>26731.940000000002</v>
      </c>
      <c r="J31" s="336">
        <v>11325.279999999999</v>
      </c>
      <c r="K31" s="336">
        <v>-16072.480000000003</v>
      </c>
      <c r="L31" s="336">
        <v>3195.24</v>
      </c>
      <c r="M31" s="336">
        <v>29140.660000000003</v>
      </c>
      <c r="N31" s="336">
        <v>5593.3600000000006</v>
      </c>
      <c r="O31" s="336">
        <v>1645.5499999999993</v>
      </c>
      <c r="P31" s="336">
        <v>-1071.3400000000001</v>
      </c>
      <c r="Q31" s="336">
        <v>6165.3600000000006</v>
      </c>
      <c r="R31" s="336">
        <v>270.26000000000204</v>
      </c>
      <c r="S31" s="336">
        <v>-7504.41</v>
      </c>
      <c r="T31" s="336">
        <v>-600.47999999999956</v>
      </c>
      <c r="U31" s="336">
        <v>2186.4500000000044</v>
      </c>
      <c r="V31" s="336">
        <v>1189.5400000000009</v>
      </c>
      <c r="W31" s="336">
        <v>-1937.42</v>
      </c>
      <c r="X31" s="336">
        <v>3704.7700000000004</v>
      </c>
      <c r="Y31" s="336">
        <v>-325.59000000000015</v>
      </c>
      <c r="Z31" s="336">
        <v>13078.470000000001</v>
      </c>
      <c r="AA31" s="336">
        <v>-814.15999999999985</v>
      </c>
      <c r="AB31" s="336">
        <v>348.45000000000073</v>
      </c>
      <c r="AC31" s="336">
        <v>871.0099999999984</v>
      </c>
      <c r="AD31" s="336">
        <v>14671.57</v>
      </c>
      <c r="AE31" s="336">
        <v>640.01999999999953</v>
      </c>
      <c r="AF31" s="336">
        <v>-6976.1200000000008</v>
      </c>
      <c r="AG31" s="336">
        <v>7744.84</v>
      </c>
      <c r="AH31" s="336">
        <v>-4046</v>
      </c>
      <c r="AI31" s="336">
        <v>-23294</v>
      </c>
      <c r="AJ31" s="336">
        <v>-28747</v>
      </c>
      <c r="AK31" s="336">
        <v>-76918</v>
      </c>
      <c r="AL31" s="336">
        <v>-42882</v>
      </c>
      <c r="AM31" s="336">
        <v>-43551</v>
      </c>
      <c r="AN31" s="336">
        <v>-11222</v>
      </c>
      <c r="AO31" s="336">
        <v>-122835</v>
      </c>
      <c r="AP31" s="336">
        <v>-146198</v>
      </c>
      <c r="AQ31" s="336">
        <v>-7821</v>
      </c>
      <c r="AR31" s="336">
        <v>-7694</v>
      </c>
      <c r="AS31" s="336">
        <v>-13960</v>
      </c>
      <c r="AT31" s="336">
        <v>-111636</v>
      </c>
      <c r="AU31" s="336">
        <v>-96630</v>
      </c>
      <c r="AV31" s="336">
        <v>-132224</v>
      </c>
      <c r="AW31" s="336">
        <v>-5436</v>
      </c>
      <c r="AX31" s="336">
        <v>-9287</v>
      </c>
      <c r="AY31" s="336">
        <v>-38897</v>
      </c>
      <c r="AZ31" s="336">
        <v>-6190</v>
      </c>
      <c r="BA31" s="336">
        <v>-125</v>
      </c>
      <c r="BB31" s="336">
        <v>-11816</v>
      </c>
      <c r="BC31" s="336">
        <v>-21996</v>
      </c>
    </row>
    <row r="32" spans="1:55" x14ac:dyDescent="0.25">
      <c r="B32" s="264" t="s">
        <v>132</v>
      </c>
      <c r="C32" s="336">
        <v>4748.01</v>
      </c>
      <c r="D32" s="336">
        <v>7940.5999999999985</v>
      </c>
      <c r="E32" s="336">
        <v>56096.41</v>
      </c>
      <c r="F32" s="336">
        <v>2322.7299999999996</v>
      </c>
      <c r="G32" s="336">
        <v>8875.36</v>
      </c>
      <c r="H32" s="336">
        <v>-5415.119999999999</v>
      </c>
      <c r="I32" s="336">
        <v>-6382.52</v>
      </c>
      <c r="J32" s="336">
        <v>-52881.7</v>
      </c>
      <c r="K32" s="336">
        <v>-25320.36</v>
      </c>
      <c r="L32" s="336">
        <v>25409.940000000002</v>
      </c>
      <c r="M32" s="336">
        <v>-9596.93</v>
      </c>
      <c r="N32" s="336">
        <v>-2844.8100000000013</v>
      </c>
      <c r="O32" s="336">
        <v>-3591.8899999999994</v>
      </c>
      <c r="P32" s="336">
        <v>1565.8799999999992</v>
      </c>
      <c r="Q32" s="336">
        <v>3070.5599999999995</v>
      </c>
      <c r="R32" s="336">
        <v>-707.02000000000044</v>
      </c>
      <c r="S32" s="336">
        <v>-19673.940000000002</v>
      </c>
      <c r="T32" s="336">
        <v>-3520.2099999999991</v>
      </c>
      <c r="U32" s="336">
        <v>-6693.4399999999987</v>
      </c>
      <c r="V32" s="336">
        <v>9072.4900000000016</v>
      </c>
      <c r="W32" s="336">
        <v>-544.5099999999984</v>
      </c>
      <c r="X32" s="336">
        <v>4107.7400000000016</v>
      </c>
      <c r="Y32" s="336">
        <v>-15374.18</v>
      </c>
      <c r="Z32" s="336">
        <v>5270.380000000001</v>
      </c>
      <c r="AA32" s="336">
        <v>1746.7000000000007</v>
      </c>
      <c r="AB32" s="336">
        <v>-16010.98</v>
      </c>
      <c r="AC32" s="336">
        <v>-18718.73</v>
      </c>
      <c r="AD32" s="336">
        <v>7096.7400000000016</v>
      </c>
      <c r="AE32" s="336">
        <v>225.56999999999971</v>
      </c>
      <c r="AF32" s="336">
        <v>1368.9700000000012</v>
      </c>
      <c r="AG32" s="336">
        <v>10284.630000000001</v>
      </c>
      <c r="AH32" s="336">
        <v>11361.64</v>
      </c>
      <c r="AI32" s="336">
        <v>92104.829999999958</v>
      </c>
      <c r="AJ32" s="336">
        <v>-47740.719999999994</v>
      </c>
      <c r="AK32" s="336">
        <v>71420.700000000012</v>
      </c>
      <c r="AL32" s="336">
        <v>-52305.450000000004</v>
      </c>
      <c r="AM32" s="336">
        <v>16606.36</v>
      </c>
      <c r="AN32" s="336">
        <v>-35321</v>
      </c>
      <c r="AO32" s="336">
        <v>-39794.01999999999</v>
      </c>
      <c r="AP32" s="336">
        <v>22118.890000000014</v>
      </c>
      <c r="AQ32" s="336">
        <v>18686.890000000007</v>
      </c>
      <c r="AR32" s="336">
        <v>4431.1700000000201</v>
      </c>
      <c r="AS32" s="336">
        <v>39116.469999999987</v>
      </c>
      <c r="AT32" s="336">
        <v>-149410.90000000002</v>
      </c>
      <c r="AU32" s="336">
        <v>-79559.290000000008</v>
      </c>
      <c r="AV32" s="336">
        <v>-67894.790000000008</v>
      </c>
      <c r="AW32" s="336">
        <v>7940.2999999999993</v>
      </c>
      <c r="AX32" s="336">
        <v>10924.46</v>
      </c>
      <c r="AY32" s="336">
        <v>-48708.999999999993</v>
      </c>
      <c r="AZ32" s="336">
        <v>14183.789999999999</v>
      </c>
      <c r="BA32" s="336">
        <v>-47761.01999999999</v>
      </c>
      <c r="BB32" s="336">
        <v>-78535.649999999994</v>
      </c>
      <c r="BC32" s="336">
        <v>-16523.589999999997</v>
      </c>
    </row>
    <row r="35" spans="2:13" x14ac:dyDescent="0.25">
      <c r="D35" s="259" t="s">
        <v>137</v>
      </c>
      <c r="E35" s="259" t="s">
        <v>138</v>
      </c>
      <c r="K35" s="258" t="s">
        <v>139</v>
      </c>
      <c r="M35" s="258" t="s">
        <v>140</v>
      </c>
    </row>
    <row r="36" spans="2:13" x14ac:dyDescent="0.25">
      <c r="B36" s="266" t="s">
        <v>1</v>
      </c>
      <c r="D36" s="303">
        <v>2602060.7200000002</v>
      </c>
      <c r="E36" s="303">
        <v>2656400</v>
      </c>
      <c r="F36" s="262">
        <v>0.97954401445565431</v>
      </c>
      <c r="J36" s="258" t="s">
        <v>119</v>
      </c>
    </row>
    <row r="37" spans="2:13" x14ac:dyDescent="0.25">
      <c r="B37" s="264" t="s">
        <v>81</v>
      </c>
      <c r="C37" s="258" t="s">
        <v>18</v>
      </c>
      <c r="D37" s="304">
        <v>95390.15</v>
      </c>
      <c r="E37" s="304">
        <v>93150</v>
      </c>
      <c r="F37" s="262">
        <v>1.0240488459473966</v>
      </c>
      <c r="J37" s="258" t="s">
        <v>141</v>
      </c>
      <c r="K37" s="270">
        <v>853852.25</v>
      </c>
      <c r="L37" s="270">
        <v>1029750</v>
      </c>
      <c r="M37" s="267">
        <v>175897.75</v>
      </c>
    </row>
    <row r="38" spans="2:13" x14ac:dyDescent="0.25">
      <c r="B38" s="264" t="s">
        <v>82</v>
      </c>
      <c r="C38" s="258" t="s">
        <v>19</v>
      </c>
      <c r="D38" s="304">
        <v>82229.850000000006</v>
      </c>
      <c r="E38" s="304">
        <v>74050</v>
      </c>
      <c r="F38" s="262">
        <v>1.1104638757596219</v>
      </c>
      <c r="J38" s="258" t="s">
        <v>142</v>
      </c>
      <c r="K38" s="270">
        <v>326162.38</v>
      </c>
      <c r="L38" s="270">
        <v>244947.03999999998</v>
      </c>
      <c r="M38" s="267">
        <v>-81215.340000000026</v>
      </c>
    </row>
    <row r="39" spans="2:13" x14ac:dyDescent="0.25">
      <c r="B39" s="264" t="s">
        <v>83</v>
      </c>
      <c r="C39" s="258" t="s">
        <v>20</v>
      </c>
      <c r="D39" s="304">
        <v>280271.90999999997</v>
      </c>
      <c r="E39" s="304">
        <v>483200</v>
      </c>
      <c r="F39" s="262">
        <v>0.58003292632450321</v>
      </c>
      <c r="J39" s="258" t="s">
        <v>143</v>
      </c>
      <c r="K39" s="270">
        <v>1006681.3</v>
      </c>
      <c r="L39" s="270">
        <v>1372900</v>
      </c>
      <c r="M39" s="267">
        <v>366218.69999999995</v>
      </c>
    </row>
    <row r="40" spans="2:13" x14ac:dyDescent="0.25">
      <c r="B40" s="264" t="s">
        <v>84</v>
      </c>
      <c r="C40" s="258" t="s">
        <v>21</v>
      </c>
      <c r="D40" s="304">
        <v>248666.43</v>
      </c>
      <c r="E40" s="304">
        <v>148650</v>
      </c>
      <c r="F40" s="262">
        <v>1.6728316851664984</v>
      </c>
      <c r="J40" s="258" t="s">
        <v>144</v>
      </c>
      <c r="K40" s="270">
        <v>1595379.4200000002</v>
      </c>
      <c r="L40" s="270">
        <v>1283500</v>
      </c>
      <c r="M40" s="267">
        <v>-311879.42000000016</v>
      </c>
    </row>
    <row r="41" spans="2:13" x14ac:dyDescent="0.25">
      <c r="B41" s="264" t="s">
        <v>85</v>
      </c>
      <c r="C41" s="258" t="s">
        <v>22</v>
      </c>
      <c r="D41" s="304">
        <v>89796.05</v>
      </c>
      <c r="E41" s="304">
        <v>75150</v>
      </c>
      <c r="F41" s="262">
        <v>1.1948908848968729</v>
      </c>
      <c r="J41" s="258" t="s">
        <v>145</v>
      </c>
      <c r="K41" s="270">
        <v>1613297.2800000003</v>
      </c>
      <c r="L41" s="270">
        <v>1691400</v>
      </c>
      <c r="M41" s="267">
        <v>78102.719999999739</v>
      </c>
    </row>
    <row r="42" spans="2:13" x14ac:dyDescent="0.25">
      <c r="B42" s="264" t="s">
        <v>86</v>
      </c>
      <c r="C42" s="258" t="s">
        <v>23</v>
      </c>
      <c r="D42" s="304">
        <v>126240.68</v>
      </c>
      <c r="E42" s="304">
        <v>417250</v>
      </c>
      <c r="F42" s="262">
        <v>0.3025540563211504</v>
      </c>
      <c r="J42" s="258" t="s">
        <v>146</v>
      </c>
      <c r="K42" s="270">
        <v>2235932.56</v>
      </c>
      <c r="L42" s="270">
        <v>2581300</v>
      </c>
      <c r="M42" s="267">
        <v>345367.43999999994</v>
      </c>
    </row>
    <row r="43" spans="2:13" x14ac:dyDescent="0.25">
      <c r="B43" s="264" t="s">
        <v>87</v>
      </c>
      <c r="C43" s="258" t="s">
        <v>24</v>
      </c>
      <c r="D43" s="304">
        <v>84086.23</v>
      </c>
      <c r="E43" s="304">
        <v>81450</v>
      </c>
      <c r="F43" s="262">
        <v>1.0323662369551871</v>
      </c>
      <c r="J43" s="258" t="s">
        <v>147</v>
      </c>
      <c r="K43" s="258">
        <v>0</v>
      </c>
    </row>
    <row r="44" spans="2:13" x14ac:dyDescent="0.25">
      <c r="B44" s="264" t="s">
        <v>88</v>
      </c>
      <c r="C44" s="258" t="s">
        <v>31</v>
      </c>
      <c r="D44" s="304">
        <v>26696.11</v>
      </c>
      <c r="E44" s="304">
        <v>3900</v>
      </c>
      <c r="F44" s="262">
        <v>6.8451564102564104</v>
      </c>
    </row>
    <row r="45" spans="2:13" x14ac:dyDescent="0.25">
      <c r="B45" s="264" t="s">
        <v>89</v>
      </c>
      <c r="C45" s="258" t="s">
        <v>25</v>
      </c>
      <c r="D45" s="304">
        <v>156508.79</v>
      </c>
      <c r="E45" s="304">
        <v>166250</v>
      </c>
      <c r="F45" s="263">
        <v>0.94140625563909774</v>
      </c>
    </row>
    <row r="46" spans="2:13" x14ac:dyDescent="0.25">
      <c r="B46" s="264" t="s">
        <v>90</v>
      </c>
      <c r="C46" s="258" t="s">
        <v>26</v>
      </c>
      <c r="D46" s="304">
        <v>131455.79999999999</v>
      </c>
      <c r="E46" s="304">
        <v>73400</v>
      </c>
      <c r="F46" s="263">
        <v>1.790950953678474</v>
      </c>
    </row>
    <row r="47" spans="2:13" x14ac:dyDescent="0.25">
      <c r="B47" s="264" t="s">
        <v>91</v>
      </c>
      <c r="C47" s="258" t="s">
        <v>27</v>
      </c>
      <c r="D47" s="304">
        <v>304720.12</v>
      </c>
      <c r="E47" s="304">
        <v>64700</v>
      </c>
      <c r="F47" s="263">
        <v>4.7097391035548686</v>
      </c>
    </row>
    <row r="48" spans="2:13" x14ac:dyDescent="0.25">
      <c r="B48" s="264" t="s">
        <v>92</v>
      </c>
      <c r="C48" s="258" t="s">
        <v>28</v>
      </c>
      <c r="D48" s="304">
        <v>396227.71</v>
      </c>
      <c r="E48" s="304">
        <v>66650</v>
      </c>
      <c r="F48" s="263">
        <v>5.9449018754688678</v>
      </c>
    </row>
    <row r="49" spans="2:17" x14ac:dyDescent="0.25">
      <c r="B49" s="264" t="s">
        <v>93</v>
      </c>
      <c r="C49" s="258" t="s">
        <v>32</v>
      </c>
      <c r="D49" s="304">
        <v>19712.810000000001</v>
      </c>
      <c r="E49" s="304">
        <v>13200</v>
      </c>
      <c r="F49" s="263">
        <v>1.4933946969696972</v>
      </c>
    </row>
    <row r="50" spans="2:17" x14ac:dyDescent="0.25">
      <c r="B50" s="264" t="s">
        <v>94</v>
      </c>
      <c r="C50" s="258" t="s">
        <v>29</v>
      </c>
      <c r="D50" s="304">
        <v>507778.48</v>
      </c>
      <c r="E50" s="304">
        <v>849250</v>
      </c>
      <c r="F50" s="263">
        <v>0.59791401825139823</v>
      </c>
    </row>
    <row r="51" spans="2:17" x14ac:dyDescent="0.25">
      <c r="B51" s="264" t="s">
        <v>95</v>
      </c>
      <c r="C51" s="258" t="s">
        <v>30</v>
      </c>
      <c r="D51" s="304">
        <v>52279.6</v>
      </c>
      <c r="E51" s="304">
        <v>46150</v>
      </c>
      <c r="F51" s="263">
        <v>1.132819068255688</v>
      </c>
    </row>
    <row r="52" spans="2:17" x14ac:dyDescent="0.25">
      <c r="B52" s="266" t="s">
        <v>0</v>
      </c>
      <c r="C52" s="259"/>
      <c r="D52" s="303">
        <v>1180014.6299999999</v>
      </c>
      <c r="E52" s="303">
        <v>1274697.04</v>
      </c>
      <c r="F52" s="262">
        <v>0.92572163657020801</v>
      </c>
    </row>
    <row r="53" spans="2:17" x14ac:dyDescent="0.25">
      <c r="B53" s="264" t="s">
        <v>71</v>
      </c>
      <c r="C53" s="258" t="s">
        <v>13</v>
      </c>
      <c r="D53" s="304">
        <v>681.98</v>
      </c>
      <c r="E53" s="304" t="s">
        <v>125</v>
      </c>
      <c r="F53" s="262" t="s">
        <v>125</v>
      </c>
    </row>
    <row r="54" spans="2:17" x14ac:dyDescent="0.25">
      <c r="B54" s="264" t="s">
        <v>72</v>
      </c>
      <c r="C54" s="258" t="s">
        <v>14</v>
      </c>
      <c r="D54" s="304">
        <v>14433.63</v>
      </c>
      <c r="E54" s="304" t="s">
        <v>125</v>
      </c>
      <c r="F54" s="262" t="s">
        <v>125</v>
      </c>
    </row>
    <row r="55" spans="2:17" x14ac:dyDescent="0.25">
      <c r="B55" s="264" t="s">
        <v>73</v>
      </c>
      <c r="C55" s="258" t="s">
        <v>15</v>
      </c>
      <c r="D55" s="304">
        <v>21842.49</v>
      </c>
      <c r="E55" s="304">
        <v>3000</v>
      </c>
      <c r="F55" s="262">
        <v>7.2808300000000008</v>
      </c>
    </row>
    <row r="56" spans="2:17" x14ac:dyDescent="0.25">
      <c r="B56" s="264" t="s">
        <v>74</v>
      </c>
      <c r="C56" s="258" t="s">
        <v>16</v>
      </c>
      <c r="D56" s="304">
        <v>185113.46</v>
      </c>
      <c r="E56" s="304">
        <v>160000</v>
      </c>
      <c r="F56" s="262">
        <v>1.156959125</v>
      </c>
    </row>
    <row r="57" spans="2:17" x14ac:dyDescent="0.25">
      <c r="B57" s="264" t="s">
        <v>75</v>
      </c>
      <c r="C57" s="258" t="s">
        <v>17</v>
      </c>
      <c r="D57" s="304">
        <v>104090.82</v>
      </c>
      <c r="E57" s="304">
        <v>81947.039999999994</v>
      </c>
      <c r="F57" s="262">
        <v>1.2702206205373618</v>
      </c>
    </row>
    <row r="58" spans="2:17" x14ac:dyDescent="0.25">
      <c r="B58" s="264" t="s">
        <v>76</v>
      </c>
      <c r="C58" s="258" t="s">
        <v>8</v>
      </c>
      <c r="D58" s="304">
        <v>84975.78</v>
      </c>
      <c r="E58" s="304">
        <v>109750</v>
      </c>
      <c r="F58" s="262">
        <v>0.77426678815489747</v>
      </c>
    </row>
    <row r="59" spans="2:17" x14ac:dyDescent="0.25">
      <c r="B59" s="264" t="s">
        <v>77</v>
      </c>
      <c r="C59" s="258" t="s">
        <v>9</v>
      </c>
      <c r="D59" s="304">
        <v>335545.49</v>
      </c>
      <c r="E59" s="304">
        <v>432500</v>
      </c>
      <c r="F59" s="262">
        <v>0.77582772254335253</v>
      </c>
    </row>
    <row r="60" spans="2:17" x14ac:dyDescent="0.25">
      <c r="B60" s="264" t="s">
        <v>78</v>
      </c>
      <c r="C60" s="258" t="s">
        <v>10</v>
      </c>
      <c r="D60" s="304">
        <v>106959.62</v>
      </c>
      <c r="E60" s="304">
        <v>69950</v>
      </c>
      <c r="F60" s="262">
        <v>1.5290867762687634</v>
      </c>
    </row>
    <row r="61" spans="2:17" x14ac:dyDescent="0.25">
      <c r="B61" s="264" t="s">
        <v>79</v>
      </c>
      <c r="C61" s="258" t="s">
        <v>114</v>
      </c>
      <c r="D61" s="304">
        <v>89826.8</v>
      </c>
      <c r="E61" s="304">
        <v>241850</v>
      </c>
      <c r="F61" s="262">
        <v>0.37141534008683069</v>
      </c>
    </row>
    <row r="62" spans="2:17" x14ac:dyDescent="0.25">
      <c r="B62" s="264" t="s">
        <v>80</v>
      </c>
      <c r="C62" s="258" t="s">
        <v>12</v>
      </c>
      <c r="D62" s="304">
        <v>236544.56</v>
      </c>
      <c r="E62" s="304">
        <v>175700</v>
      </c>
      <c r="F62" s="262">
        <v>1.3462980079681275</v>
      </c>
      <c r="N62"/>
    </row>
    <row r="63" spans="2:17" x14ac:dyDescent="0.25">
      <c r="B63" s="266" t="s">
        <v>120</v>
      </c>
      <c r="D63" s="304">
        <v>1613297.28</v>
      </c>
      <c r="E63" s="304">
        <v>1691400</v>
      </c>
      <c r="F63" s="262">
        <v>0.95382362539907772</v>
      </c>
    </row>
    <row r="64" spans="2:17" x14ac:dyDescent="0.25">
      <c r="B64" s="271" t="s">
        <v>97</v>
      </c>
      <c r="C64" s="258" t="s">
        <v>35</v>
      </c>
      <c r="D64" s="304">
        <v>173374.4</v>
      </c>
      <c r="E64" s="304">
        <v>156100</v>
      </c>
      <c r="F64" s="262">
        <v>1.1106623959000641</v>
      </c>
      <c r="H64" s="271"/>
      <c r="I64" s="272"/>
      <c r="J64" s="262"/>
      <c r="K64" s="262"/>
      <c r="L64" s="262"/>
      <c r="M64" s="262"/>
      <c r="N64" s="262"/>
      <c r="O64" s="262"/>
      <c r="P64" s="262"/>
      <c r="Q64" s="262"/>
    </row>
    <row r="65" spans="2:17" x14ac:dyDescent="0.25">
      <c r="B65" s="271" t="s">
        <v>98</v>
      </c>
      <c r="C65" s="258" t="s">
        <v>34</v>
      </c>
      <c r="D65" s="304">
        <v>97411.29</v>
      </c>
      <c r="E65" s="304">
        <v>162600</v>
      </c>
      <c r="F65" s="262">
        <v>0.5990854243542435</v>
      </c>
      <c r="H65" s="271"/>
      <c r="I65" s="275"/>
      <c r="J65" s="274"/>
      <c r="K65" s="274"/>
      <c r="L65" s="350"/>
      <c r="M65" s="350"/>
      <c r="N65" s="350"/>
      <c r="O65" s="350"/>
      <c r="P65" s="350"/>
      <c r="Q65" s="350"/>
    </row>
    <row r="66" spans="2:17" x14ac:dyDescent="0.25">
      <c r="B66" s="271" t="s">
        <v>99</v>
      </c>
      <c r="C66" s="258" t="s">
        <v>36</v>
      </c>
      <c r="D66" s="304">
        <v>104761.52</v>
      </c>
      <c r="E66" s="304">
        <v>95100</v>
      </c>
      <c r="F66" s="262">
        <v>1.1015932702418507</v>
      </c>
      <c r="H66" s="271"/>
      <c r="I66" s="275"/>
      <c r="J66" s="273"/>
      <c r="K66" s="274"/>
    </row>
    <row r="67" spans="2:17" x14ac:dyDescent="0.25">
      <c r="B67" s="271" t="s">
        <v>100</v>
      </c>
      <c r="C67" s="258" t="s">
        <v>37</v>
      </c>
      <c r="D67" s="304">
        <v>123279.51</v>
      </c>
      <c r="E67" s="304">
        <v>192700</v>
      </c>
      <c r="F67" s="262">
        <v>0.63974836533471713</v>
      </c>
      <c r="H67" s="271"/>
      <c r="I67" s="275"/>
      <c r="J67" s="273"/>
      <c r="K67" s="274"/>
    </row>
    <row r="68" spans="2:17" x14ac:dyDescent="0.25">
      <c r="B68" s="271" t="s">
        <v>101</v>
      </c>
      <c r="C68" s="258" t="s">
        <v>39</v>
      </c>
      <c r="D68" s="304">
        <v>56887.12</v>
      </c>
      <c r="E68" s="304">
        <v>45150</v>
      </c>
      <c r="F68" s="262">
        <v>1.2599583610188263</v>
      </c>
      <c r="H68" s="271"/>
      <c r="I68" s="275"/>
      <c r="J68" s="273"/>
      <c r="K68" s="274"/>
    </row>
    <row r="69" spans="2:17" x14ac:dyDescent="0.25">
      <c r="B69" s="271" t="s">
        <v>102</v>
      </c>
      <c r="C69" s="258" t="s">
        <v>38</v>
      </c>
      <c r="D69" s="304">
        <v>42416.41</v>
      </c>
      <c r="E69" s="304">
        <v>165100</v>
      </c>
      <c r="F69" s="262">
        <v>0.25691344639612357</v>
      </c>
      <c r="H69" s="271"/>
      <c r="I69" s="275"/>
      <c r="J69" s="273"/>
      <c r="K69" s="274"/>
    </row>
    <row r="70" spans="2:17" x14ac:dyDescent="0.25">
      <c r="B70" s="271" t="s">
        <v>103</v>
      </c>
      <c r="C70" s="258" t="s">
        <v>33</v>
      </c>
      <c r="D70" s="304">
        <v>291554.43</v>
      </c>
      <c r="E70" s="304">
        <v>206750</v>
      </c>
      <c r="F70" s="262">
        <v>1.4101786215235792</v>
      </c>
      <c r="H70" s="271"/>
      <c r="I70" s="275"/>
      <c r="J70" s="273"/>
      <c r="K70" s="274"/>
    </row>
    <row r="71" spans="2:17" x14ac:dyDescent="0.25">
      <c r="B71" s="271" t="s">
        <v>104</v>
      </c>
      <c r="C71" s="258" t="s">
        <v>40</v>
      </c>
      <c r="D71" s="304">
        <v>723612.6</v>
      </c>
      <c r="E71" s="304">
        <v>667900</v>
      </c>
      <c r="F71" s="262">
        <v>1.0834145830214104</v>
      </c>
      <c r="H71" s="271"/>
      <c r="I71" s="275"/>
      <c r="J71" s="273"/>
      <c r="K71" s="274"/>
    </row>
    <row r="72" spans="2:17" x14ac:dyDescent="0.25">
      <c r="B72" s="266" t="s">
        <v>121</v>
      </c>
      <c r="D72" s="304">
        <v>2235932.56</v>
      </c>
      <c r="E72" s="304">
        <v>2581300</v>
      </c>
      <c r="F72" s="262">
        <v>0.86620406771781666</v>
      </c>
      <c r="H72" s="276"/>
      <c r="I72" s="277"/>
      <c r="J72" s="278"/>
      <c r="K72" s="274"/>
    </row>
    <row r="73" spans="2:17" x14ac:dyDescent="0.25">
      <c r="B73" s="271" t="s">
        <v>106</v>
      </c>
      <c r="C73" s="258" t="s">
        <v>41</v>
      </c>
      <c r="D73" s="304">
        <v>178964.84</v>
      </c>
      <c r="E73" s="304">
        <v>230300</v>
      </c>
      <c r="F73" s="262">
        <v>0.777094398610508</v>
      </c>
      <c r="H73" s="271"/>
      <c r="I73" s="272"/>
      <c r="J73" s="273"/>
      <c r="K73" s="274"/>
    </row>
    <row r="74" spans="2:17" x14ac:dyDescent="0.25">
      <c r="B74" s="271" t="s">
        <v>107</v>
      </c>
      <c r="C74" s="258" t="s">
        <v>42</v>
      </c>
      <c r="D74" s="304">
        <v>313563.23</v>
      </c>
      <c r="E74" s="304">
        <v>308400</v>
      </c>
      <c r="F74" s="262">
        <v>1.0167419909208819</v>
      </c>
      <c r="H74" s="271"/>
      <c r="I74" s="272"/>
      <c r="J74" s="273"/>
      <c r="K74" s="274"/>
    </row>
    <row r="75" spans="2:17" x14ac:dyDescent="0.25">
      <c r="B75" s="271" t="s">
        <v>108</v>
      </c>
      <c r="C75" s="258" t="s">
        <v>47</v>
      </c>
      <c r="D75" s="304">
        <v>240544.88</v>
      </c>
      <c r="E75" s="304">
        <v>203500</v>
      </c>
      <c r="F75" s="262">
        <v>1.1820387223587223</v>
      </c>
      <c r="H75" s="271"/>
      <c r="I75" s="272"/>
      <c r="J75" s="273"/>
      <c r="K75" s="274"/>
    </row>
    <row r="76" spans="2:17" x14ac:dyDescent="0.25">
      <c r="B76" s="271" t="s">
        <v>109</v>
      </c>
      <c r="C76" s="258" t="s">
        <v>44</v>
      </c>
      <c r="D76" s="304">
        <v>283373.03000000003</v>
      </c>
      <c r="E76" s="304">
        <v>321900</v>
      </c>
      <c r="F76" s="262">
        <v>0.88031385523454497</v>
      </c>
      <c r="H76" s="271"/>
      <c r="I76" s="272"/>
      <c r="J76" s="273"/>
      <c r="K76" s="274"/>
    </row>
    <row r="77" spans="2:17" x14ac:dyDescent="0.25">
      <c r="B77" s="271" t="s">
        <v>110</v>
      </c>
      <c r="C77" s="258" t="s">
        <v>48</v>
      </c>
      <c r="D77" s="304">
        <v>237430.76</v>
      </c>
      <c r="E77" s="304">
        <v>502499.96</v>
      </c>
      <c r="F77" s="262">
        <v>0.47249906248748758</v>
      </c>
      <c r="H77" s="271"/>
      <c r="I77" s="272"/>
      <c r="J77" s="273"/>
      <c r="K77" s="274"/>
    </row>
    <row r="78" spans="2:17" x14ac:dyDescent="0.25">
      <c r="B78" s="271" t="s">
        <v>111</v>
      </c>
      <c r="C78" s="258" t="s">
        <v>45</v>
      </c>
      <c r="D78" s="304">
        <v>269091.78000000003</v>
      </c>
      <c r="E78" s="304">
        <v>225200</v>
      </c>
      <c r="F78" s="262">
        <v>1.1949013321492008</v>
      </c>
      <c r="H78" s="271"/>
      <c r="I78" s="272"/>
      <c r="J78" s="273"/>
      <c r="K78" s="274"/>
    </row>
    <row r="79" spans="2:17" x14ac:dyDescent="0.25">
      <c r="B79" s="271" t="s">
        <v>112</v>
      </c>
      <c r="C79" s="258" t="s">
        <v>46</v>
      </c>
      <c r="D79" s="304">
        <v>289701.39</v>
      </c>
      <c r="E79" s="304">
        <v>544900</v>
      </c>
      <c r="F79" s="262">
        <v>0.53165973573132685</v>
      </c>
      <c r="H79" s="271"/>
      <c r="I79" s="272"/>
      <c r="J79" s="273"/>
      <c r="K79" s="274"/>
    </row>
    <row r="80" spans="2:17" x14ac:dyDescent="0.25">
      <c r="B80" s="271" t="s">
        <v>113</v>
      </c>
      <c r="C80" s="258" t="s">
        <v>43</v>
      </c>
      <c r="D80" s="304">
        <v>423262.65</v>
      </c>
      <c r="E80" s="304">
        <v>244600.04</v>
      </c>
      <c r="F80" s="262">
        <v>1.7304275583928768</v>
      </c>
      <c r="H80" s="271"/>
      <c r="I80" s="272"/>
      <c r="J80" s="273"/>
      <c r="K80" s="274"/>
    </row>
    <row r="81" spans="5:5" x14ac:dyDescent="0.25">
      <c r="E81" s="349"/>
    </row>
  </sheetData>
  <conditionalFormatting sqref="C28:BC32">
    <cfRule type="cellIs" dxfId="29" priority="1" operator="greaterThanOrEqual">
      <formula>0</formula>
    </cfRule>
    <cfRule type="cellIs" dxfId="28" priority="2" operator="lessThan">
      <formula>0</formula>
    </cfRule>
  </conditionalFormatting>
  <conditionalFormatting sqref="I24:I26">
    <cfRule type="cellIs" dxfId="27" priority="3" operator="lessThan">
      <formula>0</formula>
    </cfRule>
  </conditionalFormatting>
  <conditionalFormatting sqref="I20:BC23 C22:H22 C24:H24 J24:BC24 I24:I26 AH25:BC26">
    <cfRule type="cellIs" dxfId="26" priority="4" operator="greaterThan">
      <formula>0</formula>
    </cfRule>
  </conditionalFormatting>
  <conditionalFormatting sqref="I20:BC23 C22:H22 C24:H24 J24:BC24 AH25:BC26">
    <cfRule type="cellIs" dxfId="25" priority="5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BF46-B49A-400C-904A-A331BC81AB67}">
  <dimension ref="A2:BC81"/>
  <sheetViews>
    <sheetView workbookViewId="0">
      <pane xSplit="2" topLeftCell="C1" activePane="topRight" state="frozen"/>
      <selection pane="topRight"/>
    </sheetView>
  </sheetViews>
  <sheetFormatPr defaultColWidth="9.140625" defaultRowHeight="15" x14ac:dyDescent="0.25"/>
  <cols>
    <col min="1" max="1" width="9.140625" style="258"/>
    <col min="2" max="2" width="29.140625" style="264" customWidth="1"/>
    <col min="3" max="3" width="9.140625" style="258" customWidth="1"/>
    <col min="4" max="4" width="15.28515625" style="258" customWidth="1"/>
    <col min="5" max="5" width="17" style="258" bestFit="1" customWidth="1"/>
    <col min="6" max="6" width="9.140625" style="258" customWidth="1"/>
    <col min="7" max="7" width="9.28515625" style="258" bestFit="1" customWidth="1"/>
    <col min="8" max="8" width="10.42578125" style="258" bestFit="1" customWidth="1"/>
    <col min="9" max="10" width="9.140625" style="258" customWidth="1"/>
    <col min="11" max="12" width="10.5703125" style="258" customWidth="1"/>
    <col min="13" max="34" width="9.140625" style="258" customWidth="1"/>
    <col min="35" max="35" width="10.42578125" style="258" customWidth="1"/>
    <col min="36" max="36" width="9.140625" style="258" customWidth="1"/>
    <col min="37" max="38" width="9.7109375" style="258" bestFit="1" customWidth="1"/>
    <col min="39" max="39" width="10.140625" style="258" customWidth="1"/>
    <col min="40" max="40" width="9.140625" style="258" customWidth="1"/>
    <col min="41" max="42" width="9.7109375" style="258" bestFit="1" customWidth="1"/>
    <col min="43" max="43" width="9.140625" style="258" customWidth="1"/>
    <col min="44" max="47" width="9.7109375" style="258" bestFit="1" customWidth="1"/>
    <col min="48" max="48" width="9.140625" style="258" customWidth="1"/>
    <col min="49" max="49" width="8.7109375" style="258" bestFit="1" customWidth="1"/>
    <col min="50" max="50" width="10" style="258" bestFit="1" customWidth="1"/>
    <col min="51" max="51" width="10.42578125" style="258" bestFit="1" customWidth="1"/>
    <col min="52" max="52" width="9.140625" style="258"/>
    <col min="53" max="53" width="9.7109375" style="258" bestFit="1" customWidth="1"/>
    <col min="54" max="54" width="10" style="258" bestFit="1" customWidth="1"/>
    <col min="55" max="55" width="10.42578125" style="258" bestFit="1" customWidth="1"/>
    <col min="56" max="16384" width="9.140625" style="258"/>
  </cols>
  <sheetData>
    <row r="2" spans="1:55" x14ac:dyDescent="0.25">
      <c r="A2" s="318"/>
      <c r="B2" s="342" t="s">
        <v>124</v>
      </c>
      <c r="C2" s="320" t="s">
        <v>2</v>
      </c>
      <c r="D2" s="320" t="s">
        <v>3</v>
      </c>
      <c r="E2" s="320" t="s">
        <v>4</v>
      </c>
      <c r="F2" s="320" t="s">
        <v>5</v>
      </c>
      <c r="G2" s="320" t="s">
        <v>6</v>
      </c>
      <c r="H2" s="320" t="s">
        <v>7</v>
      </c>
      <c r="I2" s="319" t="s">
        <v>8</v>
      </c>
      <c r="J2" s="319" t="s">
        <v>9</v>
      </c>
      <c r="K2" s="319" t="s">
        <v>10</v>
      </c>
      <c r="L2" s="319" t="s">
        <v>114</v>
      </c>
      <c r="M2" s="319" t="s">
        <v>12</v>
      </c>
      <c r="N2" s="319" t="s">
        <v>13</v>
      </c>
      <c r="O2" s="319" t="s">
        <v>14</v>
      </c>
      <c r="P2" s="319" t="s">
        <v>15</v>
      </c>
      <c r="Q2" s="319" t="s">
        <v>16</v>
      </c>
      <c r="R2" s="319" t="s">
        <v>17</v>
      </c>
      <c r="S2" s="319" t="s">
        <v>18</v>
      </c>
      <c r="T2" s="319" t="s">
        <v>19</v>
      </c>
      <c r="U2" s="319" t="s">
        <v>20</v>
      </c>
      <c r="V2" s="319" t="s">
        <v>21</v>
      </c>
      <c r="W2" s="319" t="s">
        <v>22</v>
      </c>
      <c r="X2" s="319" t="s">
        <v>23</v>
      </c>
      <c r="Y2" s="319" t="s">
        <v>24</v>
      </c>
      <c r="Z2" s="319" t="s">
        <v>25</v>
      </c>
      <c r="AA2" s="319" t="s">
        <v>26</v>
      </c>
      <c r="AB2" s="319" t="s">
        <v>27</v>
      </c>
      <c r="AC2" s="319" t="s">
        <v>28</v>
      </c>
      <c r="AD2" s="319" t="s">
        <v>29</v>
      </c>
      <c r="AE2" s="319" t="s">
        <v>30</v>
      </c>
      <c r="AF2" s="319" t="s">
        <v>31</v>
      </c>
      <c r="AG2" s="319" t="s">
        <v>32</v>
      </c>
      <c r="AH2" s="319" t="s">
        <v>34</v>
      </c>
      <c r="AI2" s="319" t="s">
        <v>35</v>
      </c>
      <c r="AJ2" s="319" t="s">
        <v>36</v>
      </c>
      <c r="AK2" s="319" t="s">
        <v>37</v>
      </c>
      <c r="AL2" s="319" t="s">
        <v>38</v>
      </c>
      <c r="AM2" s="319" t="s">
        <v>39</v>
      </c>
      <c r="AN2" s="319" t="s">
        <v>33</v>
      </c>
      <c r="AO2" s="319" t="s">
        <v>40</v>
      </c>
      <c r="AP2" s="319" t="s">
        <v>41</v>
      </c>
      <c r="AQ2" s="319" t="s">
        <v>42</v>
      </c>
      <c r="AR2" s="319" t="s">
        <v>43</v>
      </c>
      <c r="AS2" s="319" t="s">
        <v>44</v>
      </c>
      <c r="AT2" s="319" t="s">
        <v>45</v>
      </c>
      <c r="AU2" s="319" t="s">
        <v>46</v>
      </c>
      <c r="AV2" s="319" t="s">
        <v>47</v>
      </c>
      <c r="AW2" s="319" t="s">
        <v>48</v>
      </c>
      <c r="AX2" s="319" t="s">
        <v>49</v>
      </c>
      <c r="AY2" s="319" t="s">
        <v>50</v>
      </c>
      <c r="AZ2" s="321" t="s">
        <v>51</v>
      </c>
      <c r="BA2" s="319" t="s">
        <v>52</v>
      </c>
      <c r="BB2" s="319" t="s">
        <v>53</v>
      </c>
      <c r="BC2" s="319" t="s">
        <v>54</v>
      </c>
    </row>
    <row r="3" spans="1:55" x14ac:dyDescent="0.25">
      <c r="A3" s="318"/>
      <c r="B3" s="346" t="s">
        <v>62</v>
      </c>
      <c r="C3" s="322">
        <v>4056</v>
      </c>
      <c r="D3" s="322">
        <v>48747</v>
      </c>
      <c r="E3" s="322">
        <v>60629</v>
      </c>
      <c r="F3" s="322">
        <v>3512</v>
      </c>
      <c r="G3" s="322">
        <v>13925</v>
      </c>
      <c r="H3" s="322">
        <v>4666</v>
      </c>
      <c r="I3" s="323">
        <v>33943</v>
      </c>
      <c r="J3" s="323">
        <v>64046</v>
      </c>
      <c r="K3" s="323">
        <v>87605</v>
      </c>
      <c r="L3" s="323">
        <v>13459</v>
      </c>
      <c r="M3" s="323">
        <v>48284</v>
      </c>
      <c r="N3" s="323">
        <v>17818</v>
      </c>
      <c r="O3" s="323">
        <v>5821</v>
      </c>
      <c r="P3" s="323">
        <v>6844</v>
      </c>
      <c r="Q3" s="323">
        <v>12592</v>
      </c>
      <c r="R3" s="323">
        <v>718</v>
      </c>
      <c r="S3" s="324">
        <v>21942</v>
      </c>
      <c r="T3" s="324">
        <v>15412</v>
      </c>
      <c r="U3" s="324">
        <v>24683</v>
      </c>
      <c r="V3" s="324">
        <v>42266</v>
      </c>
      <c r="W3" s="324">
        <v>20719</v>
      </c>
      <c r="X3" s="324">
        <v>23502</v>
      </c>
      <c r="Y3" s="324">
        <v>13632</v>
      </c>
      <c r="Z3" s="324">
        <v>27776</v>
      </c>
      <c r="AA3" s="324">
        <v>26136</v>
      </c>
      <c r="AB3" s="324">
        <v>22554</v>
      </c>
      <c r="AC3" s="324">
        <v>14447</v>
      </c>
      <c r="AD3" s="324">
        <v>44260</v>
      </c>
      <c r="AE3" s="324">
        <v>7175</v>
      </c>
      <c r="AF3" s="324">
        <v>84</v>
      </c>
      <c r="AG3" s="324">
        <v>89</v>
      </c>
      <c r="AH3" s="325">
        <v>6531</v>
      </c>
      <c r="AI3" s="325">
        <v>34849</v>
      </c>
      <c r="AJ3" s="325">
        <v>14889</v>
      </c>
      <c r="AK3" s="325">
        <v>9056</v>
      </c>
      <c r="AL3" s="325">
        <v>26720</v>
      </c>
      <c r="AM3" s="325">
        <v>11845</v>
      </c>
      <c r="AN3" s="325">
        <v>18452</v>
      </c>
      <c r="AO3" s="325">
        <v>33481</v>
      </c>
      <c r="AP3" s="325">
        <v>36123</v>
      </c>
      <c r="AQ3" s="325">
        <v>33269</v>
      </c>
      <c r="AR3" s="325">
        <v>29992</v>
      </c>
      <c r="AS3" s="325">
        <v>34250</v>
      </c>
      <c r="AT3" s="325">
        <v>19799</v>
      </c>
      <c r="AU3" s="325">
        <v>28733</v>
      </c>
      <c r="AV3" s="325">
        <v>29213</v>
      </c>
      <c r="AW3" s="325">
        <v>36523</v>
      </c>
      <c r="AX3" s="323">
        <v>38131</v>
      </c>
      <c r="AY3" s="323">
        <v>37666</v>
      </c>
      <c r="AZ3" s="326"/>
      <c r="BA3" s="359">
        <v>25386</v>
      </c>
      <c r="BB3" s="323">
        <v>20878</v>
      </c>
      <c r="BC3" s="323">
        <v>19776</v>
      </c>
    </row>
    <row r="4" spans="1:55" x14ac:dyDescent="0.25">
      <c r="A4" s="318"/>
      <c r="B4" s="346" t="s">
        <v>63</v>
      </c>
      <c r="C4" s="322">
        <v>360</v>
      </c>
      <c r="D4" s="322">
        <v>11752</v>
      </c>
      <c r="E4" s="322">
        <v>28810</v>
      </c>
      <c r="F4" s="322">
        <v>1325</v>
      </c>
      <c r="G4" s="322">
        <v>11982</v>
      </c>
      <c r="H4" s="322">
        <v>870</v>
      </c>
      <c r="I4" s="323">
        <v>15819</v>
      </c>
      <c r="J4" s="323">
        <v>5785</v>
      </c>
      <c r="K4" s="323">
        <v>11262</v>
      </c>
      <c r="L4" s="323">
        <v>15144</v>
      </c>
      <c r="M4" s="323">
        <v>9865</v>
      </c>
      <c r="N4" s="323">
        <v>28696</v>
      </c>
      <c r="O4" s="323">
        <v>16003</v>
      </c>
      <c r="P4" s="323">
        <v>8413</v>
      </c>
      <c r="Q4" s="323">
        <v>31561</v>
      </c>
      <c r="R4" s="323">
        <v>0</v>
      </c>
      <c r="S4" s="324">
        <v>16812</v>
      </c>
      <c r="T4" s="324">
        <v>4115</v>
      </c>
      <c r="U4" s="324">
        <v>5756</v>
      </c>
      <c r="V4" s="324">
        <v>4445</v>
      </c>
      <c r="W4" s="324">
        <v>6530</v>
      </c>
      <c r="X4" s="324">
        <v>10694</v>
      </c>
      <c r="Y4" s="324">
        <v>5253</v>
      </c>
      <c r="Z4" s="324">
        <v>72719</v>
      </c>
      <c r="AA4" s="324">
        <v>22690</v>
      </c>
      <c r="AB4" s="324">
        <v>25104</v>
      </c>
      <c r="AC4" s="324">
        <v>15438</v>
      </c>
      <c r="AD4" s="324">
        <v>15286</v>
      </c>
      <c r="AE4" s="324">
        <v>6579</v>
      </c>
      <c r="AF4" s="324">
        <v>0</v>
      </c>
      <c r="AG4" s="324">
        <v>0</v>
      </c>
      <c r="AH4" s="325">
        <v>15505</v>
      </c>
      <c r="AI4" s="325">
        <v>109412</v>
      </c>
      <c r="AJ4" s="325">
        <v>34076</v>
      </c>
      <c r="AK4" s="325">
        <v>31456</v>
      </c>
      <c r="AL4" s="325">
        <v>53644</v>
      </c>
      <c r="AM4" s="325">
        <v>21152</v>
      </c>
      <c r="AN4" s="325">
        <v>32888</v>
      </c>
      <c r="AO4" s="325">
        <v>96260</v>
      </c>
      <c r="AP4" s="325">
        <v>83885</v>
      </c>
      <c r="AQ4" s="325">
        <v>38376</v>
      </c>
      <c r="AR4" s="325">
        <v>108343</v>
      </c>
      <c r="AS4" s="325">
        <v>55940</v>
      </c>
      <c r="AT4" s="325">
        <v>92001</v>
      </c>
      <c r="AU4" s="325">
        <v>113949</v>
      </c>
      <c r="AV4" s="325">
        <v>63716</v>
      </c>
      <c r="AW4" s="325">
        <v>14597</v>
      </c>
      <c r="AX4" s="323">
        <v>39973</v>
      </c>
      <c r="AY4" s="323">
        <v>194481</v>
      </c>
      <c r="AZ4" s="326"/>
      <c r="BA4" s="359">
        <v>39908</v>
      </c>
      <c r="BB4" s="323">
        <v>8501</v>
      </c>
      <c r="BC4" s="323">
        <v>93128</v>
      </c>
    </row>
    <row r="5" spans="1:55" x14ac:dyDescent="0.25">
      <c r="A5" s="318"/>
      <c r="B5" s="346" t="s">
        <v>151</v>
      </c>
      <c r="C5" s="322">
        <v>0</v>
      </c>
      <c r="D5" s="322">
        <v>857</v>
      </c>
      <c r="E5" s="328">
        <v>31403</v>
      </c>
      <c r="F5" s="322">
        <v>0</v>
      </c>
      <c r="G5" s="322">
        <v>7406</v>
      </c>
      <c r="H5" s="322">
        <v>422681</v>
      </c>
      <c r="I5" s="323">
        <v>0</v>
      </c>
      <c r="J5" s="323">
        <v>1361.7699999999995</v>
      </c>
      <c r="K5" s="323">
        <v>6440.989999999998</v>
      </c>
      <c r="L5" s="323">
        <v>0</v>
      </c>
      <c r="M5" s="323">
        <v>35086.659999999996</v>
      </c>
      <c r="N5" s="323">
        <v>37596.509999999995</v>
      </c>
      <c r="O5" s="323">
        <v>58882.89</v>
      </c>
      <c r="P5" s="323">
        <v>86844.39</v>
      </c>
      <c r="Q5" s="323">
        <v>172470.24</v>
      </c>
      <c r="R5" s="323">
        <v>524404.28</v>
      </c>
      <c r="S5" s="324">
        <v>3544</v>
      </c>
      <c r="T5" s="324">
        <v>673</v>
      </c>
      <c r="U5" s="324">
        <v>376</v>
      </c>
      <c r="V5" s="324">
        <v>884</v>
      </c>
      <c r="W5" s="324">
        <v>0</v>
      </c>
      <c r="X5" s="324">
        <v>0</v>
      </c>
      <c r="Y5" s="324">
        <v>0</v>
      </c>
      <c r="Z5" s="324">
        <v>147914</v>
      </c>
      <c r="AA5" s="324">
        <v>165497</v>
      </c>
      <c r="AB5" s="324">
        <v>170424</v>
      </c>
      <c r="AC5" s="324">
        <v>267760</v>
      </c>
      <c r="AD5" s="324">
        <v>22615</v>
      </c>
      <c r="AE5" s="324">
        <v>51836</v>
      </c>
      <c r="AF5" s="324">
        <v>856859</v>
      </c>
      <c r="AG5" s="324">
        <v>865770</v>
      </c>
      <c r="AH5" s="325">
        <v>24312</v>
      </c>
      <c r="AI5" s="325">
        <v>175642</v>
      </c>
      <c r="AJ5" s="325">
        <v>25658</v>
      </c>
      <c r="AK5" s="325">
        <v>41981</v>
      </c>
      <c r="AL5" s="325">
        <v>118638</v>
      </c>
      <c r="AM5" s="325">
        <v>85270</v>
      </c>
      <c r="AN5" s="325">
        <v>91622</v>
      </c>
      <c r="AO5" s="325">
        <v>225065</v>
      </c>
      <c r="AP5" s="325">
        <v>361943</v>
      </c>
      <c r="AQ5" s="325">
        <v>59969</v>
      </c>
      <c r="AR5" s="325">
        <v>298206</v>
      </c>
      <c r="AS5" s="325">
        <v>151081</v>
      </c>
      <c r="AT5" s="325">
        <v>54754</v>
      </c>
      <c r="AU5" s="325">
        <v>238657</v>
      </c>
      <c r="AV5" s="325">
        <v>63347</v>
      </c>
      <c r="AW5" s="325">
        <v>29998</v>
      </c>
      <c r="AX5" s="323">
        <v>295356</v>
      </c>
      <c r="AY5" s="323">
        <v>188541</v>
      </c>
      <c r="AZ5" s="326"/>
      <c r="BA5" s="359">
        <v>127504</v>
      </c>
      <c r="BB5" s="323">
        <v>47738</v>
      </c>
      <c r="BC5" s="323">
        <v>334250</v>
      </c>
    </row>
    <row r="6" spans="1:55" x14ac:dyDescent="0.25">
      <c r="A6" s="318"/>
      <c r="B6" s="347" t="s">
        <v>155</v>
      </c>
      <c r="C6" s="327">
        <v>1135</v>
      </c>
      <c r="D6" s="328">
        <v>50028</v>
      </c>
      <c r="E6" s="323">
        <v>90741</v>
      </c>
      <c r="F6" s="328">
        <v>983</v>
      </c>
      <c r="G6" s="328">
        <v>12126</v>
      </c>
      <c r="H6" s="323">
        <v>12806</v>
      </c>
      <c r="I6" s="323">
        <v>25484</v>
      </c>
      <c r="J6" s="323">
        <v>25273</v>
      </c>
      <c r="K6" s="323">
        <v>72939</v>
      </c>
      <c r="L6" s="323">
        <v>2923</v>
      </c>
      <c r="M6" s="323">
        <v>47142</v>
      </c>
      <c r="N6" s="323">
        <v>23174</v>
      </c>
      <c r="O6" s="323">
        <v>15028</v>
      </c>
      <c r="P6" s="323">
        <v>9475</v>
      </c>
      <c r="Q6" s="323">
        <v>20302</v>
      </c>
      <c r="R6" s="323">
        <v>18054</v>
      </c>
      <c r="S6" s="323">
        <v>34615</v>
      </c>
      <c r="T6" s="323">
        <v>26450</v>
      </c>
      <c r="U6" s="323">
        <v>40584</v>
      </c>
      <c r="V6" s="323">
        <v>57572</v>
      </c>
      <c r="W6" s="323">
        <v>12081</v>
      </c>
      <c r="X6" s="323">
        <v>22205</v>
      </c>
      <c r="Y6" s="323">
        <v>30855</v>
      </c>
      <c r="Z6" s="323">
        <v>24395</v>
      </c>
      <c r="AA6" s="323">
        <v>30373</v>
      </c>
      <c r="AB6" s="323">
        <v>27197</v>
      </c>
      <c r="AC6" s="323">
        <v>41898</v>
      </c>
      <c r="AD6" s="323">
        <v>49473</v>
      </c>
      <c r="AE6" s="323">
        <v>8742</v>
      </c>
      <c r="AF6" s="323">
        <v>39230</v>
      </c>
      <c r="AG6" s="323">
        <v>42555</v>
      </c>
      <c r="AH6" s="325">
        <v>12487</v>
      </c>
      <c r="AI6" s="325">
        <v>171666</v>
      </c>
      <c r="AJ6" s="325">
        <v>59649</v>
      </c>
      <c r="AK6" s="325">
        <v>69007</v>
      </c>
      <c r="AL6" s="325">
        <v>91440</v>
      </c>
      <c r="AM6" s="325">
        <v>63504</v>
      </c>
      <c r="AN6" s="325">
        <v>101212</v>
      </c>
      <c r="AO6" s="325">
        <v>93466</v>
      </c>
      <c r="AP6" s="325">
        <v>69310</v>
      </c>
      <c r="AQ6" s="325">
        <v>44154</v>
      </c>
      <c r="AR6" s="325">
        <v>39143</v>
      </c>
      <c r="AS6" s="325">
        <v>90570</v>
      </c>
      <c r="AT6" s="325">
        <v>219878</v>
      </c>
      <c r="AU6" s="325">
        <v>134994</v>
      </c>
      <c r="AV6" s="325">
        <v>67383</v>
      </c>
      <c r="AW6" s="325">
        <v>20963</v>
      </c>
      <c r="AX6" s="323">
        <v>116981</v>
      </c>
      <c r="AY6" s="323">
        <v>81020</v>
      </c>
      <c r="AZ6" s="326"/>
      <c r="BA6" s="360">
        <v>80029</v>
      </c>
      <c r="BB6" s="323">
        <v>23401</v>
      </c>
      <c r="BC6" s="323">
        <v>50011</v>
      </c>
    </row>
    <row r="7" spans="1:55" x14ac:dyDescent="0.25">
      <c r="A7" s="318"/>
      <c r="B7" s="341" t="s">
        <v>132</v>
      </c>
      <c r="C7" s="329">
        <v>21580</v>
      </c>
      <c r="D7" s="323">
        <v>25386</v>
      </c>
      <c r="E7" s="323">
        <v>54909</v>
      </c>
      <c r="F7" s="323">
        <v>12699</v>
      </c>
      <c r="G7" s="323">
        <v>8629</v>
      </c>
      <c r="H7" s="323">
        <v>58908</v>
      </c>
      <c r="I7" s="330">
        <v>44482</v>
      </c>
      <c r="J7" s="330">
        <v>52428</v>
      </c>
      <c r="K7" s="330">
        <v>130546</v>
      </c>
      <c r="L7" s="330">
        <v>37166</v>
      </c>
      <c r="M7" s="330">
        <v>45540</v>
      </c>
      <c r="N7" s="330">
        <v>39265</v>
      </c>
      <c r="O7" s="330">
        <v>11125</v>
      </c>
      <c r="P7" s="330">
        <v>14112</v>
      </c>
      <c r="Q7" s="330">
        <v>51627</v>
      </c>
      <c r="R7" s="330">
        <v>36512</v>
      </c>
      <c r="S7" s="323">
        <v>23056</v>
      </c>
      <c r="T7" s="323">
        <v>29621</v>
      </c>
      <c r="U7" s="323">
        <v>33992</v>
      </c>
      <c r="V7" s="323">
        <v>15082</v>
      </c>
      <c r="W7" s="323">
        <v>20760</v>
      </c>
      <c r="X7" s="323">
        <v>16842</v>
      </c>
      <c r="Y7" s="323">
        <v>17145</v>
      </c>
      <c r="Z7" s="323">
        <v>47201</v>
      </c>
      <c r="AA7" s="323">
        <v>32223</v>
      </c>
      <c r="AB7" s="323">
        <v>20135</v>
      </c>
      <c r="AC7" s="323">
        <v>22946</v>
      </c>
      <c r="AD7" s="323">
        <v>56098</v>
      </c>
      <c r="AE7" s="323">
        <v>34791</v>
      </c>
      <c r="AF7" s="323">
        <v>43242</v>
      </c>
      <c r="AG7" s="323">
        <v>25214</v>
      </c>
      <c r="AH7" s="323">
        <v>20871</v>
      </c>
      <c r="AI7" s="323">
        <v>296277</v>
      </c>
      <c r="AJ7" s="323">
        <v>48597</v>
      </c>
      <c r="AK7" s="323">
        <v>132028</v>
      </c>
      <c r="AL7" s="323">
        <v>136395</v>
      </c>
      <c r="AM7" s="323">
        <v>31197</v>
      </c>
      <c r="AN7" s="323">
        <v>120154</v>
      </c>
      <c r="AO7" s="323">
        <v>399336</v>
      </c>
      <c r="AP7" s="323">
        <v>135862</v>
      </c>
      <c r="AQ7" s="323">
        <v>99374</v>
      </c>
      <c r="AR7" s="323">
        <v>46754</v>
      </c>
      <c r="AS7" s="323">
        <v>73853</v>
      </c>
      <c r="AT7" s="323">
        <v>-116668</v>
      </c>
      <c r="AU7" s="323">
        <v>146360</v>
      </c>
      <c r="AV7" s="323">
        <v>106417</v>
      </c>
      <c r="AW7" s="323">
        <v>35830</v>
      </c>
      <c r="AX7" s="323">
        <v>118445</v>
      </c>
      <c r="AY7" s="323">
        <v>39968</v>
      </c>
      <c r="AZ7" s="326"/>
      <c r="BA7" s="359">
        <v>67404</v>
      </c>
      <c r="BB7" s="323">
        <v>40160</v>
      </c>
      <c r="BC7" s="323">
        <v>83046</v>
      </c>
    </row>
    <row r="8" spans="1:55" x14ac:dyDescent="0.25">
      <c r="A8" s="319" t="s">
        <v>148</v>
      </c>
      <c r="B8" s="347" t="s">
        <v>115</v>
      </c>
      <c r="C8" s="327"/>
      <c r="D8" s="328"/>
      <c r="E8" s="331"/>
      <c r="F8" s="331"/>
      <c r="G8" s="331"/>
      <c r="H8" s="331"/>
      <c r="I8" s="331">
        <v>0.81556373576309793</v>
      </c>
      <c r="J8" s="331">
        <v>0.79085350289017342</v>
      </c>
      <c r="K8" s="331">
        <v>1.5741189421015009</v>
      </c>
      <c r="L8" s="331">
        <v>0.40172726896836886</v>
      </c>
      <c r="M8" s="331">
        <v>1.3529400113830392</v>
      </c>
      <c r="N8" s="331" t="s">
        <v>125</v>
      </c>
      <c r="O8" s="331" t="s">
        <v>125</v>
      </c>
      <c r="P8" s="331">
        <v>14.466936666666665</v>
      </c>
      <c r="Q8" s="331">
        <v>1.036057</v>
      </c>
      <c r="R8" s="331">
        <v>1.3911977784676544</v>
      </c>
      <c r="S8" s="331">
        <v>1.0240488459473966</v>
      </c>
      <c r="T8" s="331">
        <v>1.1513416610398379</v>
      </c>
      <c r="U8" s="331">
        <v>0.89038445778145703</v>
      </c>
      <c r="V8" s="331">
        <v>1.6728316851664984</v>
      </c>
      <c r="W8" s="331">
        <v>1.1948908848968729</v>
      </c>
      <c r="X8" s="331">
        <v>0.3025540563211504</v>
      </c>
      <c r="Y8" s="331">
        <v>1.0323662369551871</v>
      </c>
      <c r="Z8" s="331">
        <v>1.8327873684210527</v>
      </c>
      <c r="AA8" s="331">
        <v>1.790950953678474</v>
      </c>
      <c r="AB8" s="331">
        <v>4.7032129829984548</v>
      </c>
      <c r="AC8" s="331">
        <v>5.9449018754688678</v>
      </c>
      <c r="AD8" s="331">
        <v>0.59770712982042984</v>
      </c>
      <c r="AE8" s="331">
        <v>1.132819068255688</v>
      </c>
      <c r="AF8" s="331">
        <v>7.1335307692307692</v>
      </c>
      <c r="AG8" s="331">
        <v>1.4933946969696972</v>
      </c>
      <c r="AH8" s="331">
        <v>0.62059434194341967</v>
      </c>
      <c r="AI8" s="331">
        <v>1.5382019218449714</v>
      </c>
      <c r="AJ8" s="331">
        <v>1.3119233438485809</v>
      </c>
      <c r="AK8" s="331">
        <v>0.72512522055007766</v>
      </c>
      <c r="AL8" s="331">
        <v>0.414444033918837</v>
      </c>
      <c r="AM8" s="331">
        <v>1.5737878183831673</v>
      </c>
      <c r="AN8" s="331">
        <v>1.48477146311971</v>
      </c>
      <c r="AO8" s="331">
        <v>1.2268998502769872</v>
      </c>
      <c r="AP8" s="331">
        <v>1.5939217976552322</v>
      </c>
      <c r="AQ8" s="331">
        <v>1.0271704928664072</v>
      </c>
      <c r="AR8" s="331">
        <v>1.743442683002014</v>
      </c>
      <c r="AS8" s="331">
        <v>0.90841366884125507</v>
      </c>
      <c r="AT8" s="331">
        <v>1.8365839253996445</v>
      </c>
      <c r="AU8" s="331">
        <v>0.54250187190310151</v>
      </c>
      <c r="AV8" s="331">
        <v>1.3285525798525801</v>
      </c>
      <c r="AW8" s="331">
        <v>0.74597854694356591</v>
      </c>
      <c r="AX8" s="331"/>
      <c r="AY8" s="331"/>
      <c r="AZ8" s="331"/>
      <c r="BA8" s="331"/>
      <c r="BB8" s="331"/>
      <c r="BC8" s="331"/>
    </row>
    <row r="9" spans="1:55" x14ac:dyDescent="0.25">
      <c r="A9" s="319" t="s">
        <v>149</v>
      </c>
      <c r="B9" s="341" t="s">
        <v>133</v>
      </c>
      <c r="C9" s="329"/>
      <c r="D9" s="323"/>
      <c r="E9" s="328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32">
        <v>3080</v>
      </c>
      <c r="AI9" s="332">
        <v>20827</v>
      </c>
      <c r="AJ9" s="332">
        <v>9294</v>
      </c>
      <c r="AK9" s="332">
        <v>6803</v>
      </c>
      <c r="AL9" s="332">
        <v>4841</v>
      </c>
      <c r="AM9" s="332">
        <v>3248</v>
      </c>
      <c r="AN9" s="332">
        <v>11241</v>
      </c>
      <c r="AO9" s="332">
        <v>11843</v>
      </c>
      <c r="AP9" s="332">
        <v>11094</v>
      </c>
      <c r="AQ9" s="332">
        <v>10020</v>
      </c>
      <c r="AR9" s="332">
        <v>7011</v>
      </c>
      <c r="AS9" s="332">
        <v>7167</v>
      </c>
      <c r="AT9" s="332">
        <v>9508</v>
      </c>
      <c r="AU9" s="332">
        <v>7876</v>
      </c>
      <c r="AV9" s="332">
        <v>12110</v>
      </c>
      <c r="AW9" s="332">
        <v>6362</v>
      </c>
      <c r="AX9" s="332">
        <v>10254</v>
      </c>
      <c r="AY9" s="332">
        <v>23550</v>
      </c>
      <c r="AZ9" s="333"/>
      <c r="BA9" s="359">
        <v>8363</v>
      </c>
      <c r="BB9" s="359">
        <v>5501</v>
      </c>
      <c r="BC9" s="359">
        <v>9695</v>
      </c>
    </row>
    <row r="10" spans="1:55" x14ac:dyDescent="0.25">
      <c r="C10" s="269"/>
      <c r="D10" s="269"/>
      <c r="E10" s="305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306"/>
      <c r="AI10" s="306"/>
      <c r="AJ10" s="306"/>
      <c r="AK10" s="306"/>
      <c r="AL10" s="306"/>
      <c r="AM10" s="306"/>
      <c r="AN10" s="306"/>
      <c r="AO10" s="306"/>
      <c r="AP10" s="306"/>
      <c r="AQ10" s="306"/>
      <c r="AR10" s="306"/>
      <c r="AS10" s="306"/>
      <c r="AT10" s="306"/>
      <c r="AU10" s="306"/>
      <c r="AV10" s="306"/>
      <c r="AW10" s="306"/>
      <c r="AX10" s="306"/>
      <c r="AY10" s="306"/>
      <c r="AZ10" s="306"/>
      <c r="BA10" s="306"/>
      <c r="BB10" s="306"/>
      <c r="BC10" s="306"/>
    </row>
    <row r="11" spans="1:55" x14ac:dyDescent="0.25">
      <c r="A11" s="318"/>
      <c r="B11" s="342" t="s">
        <v>156</v>
      </c>
      <c r="C11" s="320" t="s">
        <v>2</v>
      </c>
      <c r="D11" s="320" t="s">
        <v>3</v>
      </c>
      <c r="E11" s="320" t="s">
        <v>4</v>
      </c>
      <c r="F11" s="320" t="s">
        <v>5</v>
      </c>
      <c r="G11" s="320" t="s">
        <v>6</v>
      </c>
      <c r="H11" s="320" t="s">
        <v>7</v>
      </c>
      <c r="I11" s="319" t="s">
        <v>8</v>
      </c>
      <c r="J11" s="319" t="s">
        <v>9</v>
      </c>
      <c r="K11" s="319" t="s">
        <v>10</v>
      </c>
      <c r="L11" s="319" t="s">
        <v>114</v>
      </c>
      <c r="M11" s="319" t="s">
        <v>12</v>
      </c>
      <c r="N11" s="319" t="s">
        <v>13</v>
      </c>
      <c r="O11" s="319" t="s">
        <v>14</v>
      </c>
      <c r="P11" s="319" t="s">
        <v>15</v>
      </c>
      <c r="Q11" s="319" t="s">
        <v>16</v>
      </c>
      <c r="R11" s="319" t="s">
        <v>17</v>
      </c>
      <c r="S11" s="319" t="s">
        <v>18</v>
      </c>
      <c r="T11" s="319" t="s">
        <v>19</v>
      </c>
      <c r="U11" s="319" t="s">
        <v>20</v>
      </c>
      <c r="V11" s="319" t="s">
        <v>21</v>
      </c>
      <c r="W11" s="319" t="s">
        <v>22</v>
      </c>
      <c r="X11" s="319" t="s">
        <v>23</v>
      </c>
      <c r="Y11" s="319" t="s">
        <v>24</v>
      </c>
      <c r="Z11" s="319" t="s">
        <v>25</v>
      </c>
      <c r="AA11" s="319" t="s">
        <v>26</v>
      </c>
      <c r="AB11" s="319" t="s">
        <v>27</v>
      </c>
      <c r="AC11" s="319" t="s">
        <v>28</v>
      </c>
      <c r="AD11" s="319" t="s">
        <v>29</v>
      </c>
      <c r="AE11" s="319" t="s">
        <v>30</v>
      </c>
      <c r="AF11" s="319" t="s">
        <v>31</v>
      </c>
      <c r="AG11" s="319" t="s">
        <v>32</v>
      </c>
      <c r="AH11" s="319" t="s">
        <v>34</v>
      </c>
      <c r="AI11" s="319" t="s">
        <v>35</v>
      </c>
      <c r="AJ11" s="319" t="s">
        <v>36</v>
      </c>
      <c r="AK11" s="319" t="s">
        <v>37</v>
      </c>
      <c r="AL11" s="319" t="s">
        <v>38</v>
      </c>
      <c r="AM11" s="319" t="s">
        <v>39</v>
      </c>
      <c r="AN11" s="319" t="s">
        <v>33</v>
      </c>
      <c r="AO11" s="319" t="s">
        <v>40</v>
      </c>
      <c r="AP11" s="319" t="s">
        <v>41</v>
      </c>
      <c r="AQ11" s="319" t="s">
        <v>42</v>
      </c>
      <c r="AR11" s="319" t="s">
        <v>43</v>
      </c>
      <c r="AS11" s="319" t="s">
        <v>44</v>
      </c>
      <c r="AT11" s="319" t="s">
        <v>45</v>
      </c>
      <c r="AU11" s="319" t="s">
        <v>46</v>
      </c>
      <c r="AV11" s="319" t="s">
        <v>47</v>
      </c>
      <c r="AW11" s="319" t="s">
        <v>48</v>
      </c>
      <c r="AX11" s="319" t="s">
        <v>49</v>
      </c>
      <c r="AY11" s="319" t="s">
        <v>50</v>
      </c>
      <c r="AZ11" s="321" t="s">
        <v>51</v>
      </c>
      <c r="BA11" s="319" t="s">
        <v>52</v>
      </c>
      <c r="BB11" s="319" t="s">
        <v>53</v>
      </c>
      <c r="BC11" s="319" t="s">
        <v>54</v>
      </c>
    </row>
    <row r="12" spans="1:55" x14ac:dyDescent="0.25">
      <c r="A12" s="318"/>
      <c r="B12" s="341" t="s">
        <v>62</v>
      </c>
      <c r="C12" s="318"/>
      <c r="D12" s="318"/>
      <c r="E12" s="318"/>
      <c r="F12" s="318"/>
      <c r="G12" s="318"/>
      <c r="H12" s="318"/>
      <c r="I12" s="323">
        <v>21266</v>
      </c>
      <c r="J12" s="323">
        <v>41068</v>
      </c>
      <c r="K12" s="323">
        <v>65972</v>
      </c>
      <c r="L12" s="323">
        <v>10648</v>
      </c>
      <c r="M12" s="323">
        <v>39233</v>
      </c>
      <c r="N12" s="323">
        <v>17127</v>
      </c>
      <c r="O12" s="323">
        <v>8995</v>
      </c>
      <c r="P12" s="323">
        <v>7927</v>
      </c>
      <c r="Q12" s="323">
        <v>19241</v>
      </c>
      <c r="R12" s="323">
        <v>254</v>
      </c>
      <c r="S12" s="323">
        <v>11690</v>
      </c>
      <c r="T12" s="323">
        <v>9666</v>
      </c>
      <c r="U12" s="323">
        <v>14370</v>
      </c>
      <c r="V12" s="323">
        <v>14875</v>
      </c>
      <c r="W12" s="323">
        <v>8793</v>
      </c>
      <c r="X12" s="323">
        <v>10297</v>
      </c>
      <c r="Y12" s="323">
        <v>12419</v>
      </c>
      <c r="Z12" s="323">
        <v>9877</v>
      </c>
      <c r="AA12" s="323">
        <v>10263</v>
      </c>
      <c r="AB12" s="323">
        <v>8900</v>
      </c>
      <c r="AC12" s="323">
        <v>15327</v>
      </c>
      <c r="AD12" s="323">
        <v>16720</v>
      </c>
      <c r="AE12" s="323">
        <v>3530</v>
      </c>
      <c r="AF12" s="323">
        <v>0</v>
      </c>
      <c r="AG12" s="323">
        <v>413</v>
      </c>
      <c r="AH12" s="337">
        <v>7427</v>
      </c>
      <c r="AI12" s="337">
        <v>27948</v>
      </c>
      <c r="AJ12" s="337">
        <v>6930</v>
      </c>
      <c r="AK12" s="337">
        <v>13699</v>
      </c>
      <c r="AL12" s="337">
        <v>14541</v>
      </c>
      <c r="AM12" s="337">
        <v>9235</v>
      </c>
      <c r="AN12" s="337">
        <v>22221</v>
      </c>
      <c r="AO12" s="337">
        <v>25160</v>
      </c>
      <c r="AP12" s="337">
        <v>22646</v>
      </c>
      <c r="AQ12" s="337">
        <v>23663</v>
      </c>
      <c r="AR12" s="337">
        <v>24258</v>
      </c>
      <c r="AS12" s="337">
        <v>26400</v>
      </c>
      <c r="AT12" s="337">
        <v>22132</v>
      </c>
      <c r="AU12" s="337">
        <v>24545</v>
      </c>
      <c r="AV12" s="337">
        <v>21860</v>
      </c>
      <c r="AW12" s="337">
        <v>21523</v>
      </c>
      <c r="AX12" s="337">
        <v>22456</v>
      </c>
      <c r="AY12" s="337">
        <v>31726</v>
      </c>
      <c r="AZ12" s="338"/>
      <c r="BA12" s="337">
        <v>18752</v>
      </c>
      <c r="BB12" s="337">
        <v>20275</v>
      </c>
      <c r="BC12" s="337">
        <v>23178</v>
      </c>
    </row>
    <row r="13" spans="1:55" x14ac:dyDescent="0.25">
      <c r="A13" s="318"/>
      <c r="B13" s="341" t="s">
        <v>63</v>
      </c>
      <c r="C13" s="318"/>
      <c r="D13" s="318"/>
      <c r="E13" s="318"/>
      <c r="F13" s="318"/>
      <c r="G13" s="318"/>
      <c r="H13" s="318"/>
      <c r="I13" s="323">
        <v>4247</v>
      </c>
      <c r="J13" s="323">
        <v>2169</v>
      </c>
      <c r="K13" s="323">
        <v>6840</v>
      </c>
      <c r="L13" s="323">
        <v>3191</v>
      </c>
      <c r="M13" s="323">
        <v>4191</v>
      </c>
      <c r="N13" s="323">
        <v>31845</v>
      </c>
      <c r="O13" s="323">
        <v>5223</v>
      </c>
      <c r="P13" s="323">
        <v>7604</v>
      </c>
      <c r="Q13" s="323">
        <v>31531</v>
      </c>
      <c r="R13" s="323">
        <v>0</v>
      </c>
      <c r="S13" s="323">
        <v>3688</v>
      </c>
      <c r="T13" s="323">
        <v>6938</v>
      </c>
      <c r="U13" s="323">
        <v>2020</v>
      </c>
      <c r="V13" s="323">
        <v>2317</v>
      </c>
      <c r="W13" s="323">
        <v>2885</v>
      </c>
      <c r="X13" s="323">
        <v>3576</v>
      </c>
      <c r="Y13" s="323">
        <v>2271</v>
      </c>
      <c r="Z13" s="323">
        <v>67234</v>
      </c>
      <c r="AA13" s="323">
        <v>57109</v>
      </c>
      <c r="AB13" s="323">
        <v>26031</v>
      </c>
      <c r="AC13" s="323">
        <v>38746</v>
      </c>
      <c r="AD13" s="323">
        <v>49773</v>
      </c>
      <c r="AE13" s="323">
        <v>8192</v>
      </c>
      <c r="AF13" s="323">
        <v>0</v>
      </c>
      <c r="AG13" s="323">
        <v>0</v>
      </c>
      <c r="AH13" s="337">
        <v>3059</v>
      </c>
      <c r="AI13" s="337">
        <v>9474</v>
      </c>
      <c r="AJ13" s="337">
        <v>2054</v>
      </c>
      <c r="AK13" s="337">
        <v>4973</v>
      </c>
      <c r="AL13" s="337">
        <v>5001</v>
      </c>
      <c r="AM13" s="337">
        <v>3220</v>
      </c>
      <c r="AN13" s="337">
        <v>7959</v>
      </c>
      <c r="AO13" s="337">
        <v>8651</v>
      </c>
      <c r="AP13" s="337">
        <v>9350</v>
      </c>
      <c r="AQ13" s="337">
        <v>8651</v>
      </c>
      <c r="AR13" s="337">
        <v>8830</v>
      </c>
      <c r="AS13" s="337">
        <v>9645</v>
      </c>
      <c r="AT13" s="337">
        <v>8154</v>
      </c>
      <c r="AU13" s="337">
        <v>10074</v>
      </c>
      <c r="AV13" s="337">
        <v>7619</v>
      </c>
      <c r="AW13" s="337">
        <v>8635</v>
      </c>
      <c r="AX13" s="337">
        <v>8342</v>
      </c>
      <c r="AY13" s="337">
        <v>10954</v>
      </c>
      <c r="AZ13" s="338"/>
      <c r="BA13" s="337">
        <v>6644</v>
      </c>
      <c r="BB13" s="337">
        <v>7191</v>
      </c>
      <c r="BC13" s="337">
        <v>8361</v>
      </c>
    </row>
    <row r="14" spans="1:55" x14ac:dyDescent="0.25">
      <c r="A14" s="318" t="s">
        <v>135</v>
      </c>
      <c r="B14" s="341" t="s">
        <v>64</v>
      </c>
      <c r="C14" s="318"/>
      <c r="D14" s="339"/>
      <c r="E14" s="339"/>
      <c r="F14" s="339"/>
      <c r="G14" s="318"/>
      <c r="H14" s="318"/>
      <c r="I14" s="323">
        <v>0</v>
      </c>
      <c r="J14" s="323">
        <v>1600</v>
      </c>
      <c r="K14" s="323">
        <v>2695</v>
      </c>
      <c r="L14" s="323">
        <v>1600</v>
      </c>
      <c r="M14" s="323">
        <v>1667</v>
      </c>
      <c r="N14" s="323">
        <v>92380</v>
      </c>
      <c r="O14" s="323">
        <v>151245</v>
      </c>
      <c r="P14" s="323">
        <v>83550</v>
      </c>
      <c r="Q14" s="323">
        <v>240875</v>
      </c>
      <c r="R14" s="323">
        <v>510386</v>
      </c>
      <c r="S14" s="323">
        <v>0</v>
      </c>
      <c r="T14" s="323">
        <v>0</v>
      </c>
      <c r="U14" s="323">
        <v>0</v>
      </c>
      <c r="V14" s="323">
        <v>0</v>
      </c>
      <c r="W14" s="323">
        <v>0</v>
      </c>
      <c r="X14" s="323">
        <v>6000</v>
      </c>
      <c r="Y14" s="323">
        <v>0</v>
      </c>
      <c r="Z14" s="323">
        <v>96859</v>
      </c>
      <c r="AA14" s="323">
        <v>137700</v>
      </c>
      <c r="AB14" s="323">
        <v>190691</v>
      </c>
      <c r="AC14" s="332">
        <v>224504</v>
      </c>
      <c r="AD14" s="323">
        <v>60704</v>
      </c>
      <c r="AE14" s="323">
        <v>75720</v>
      </c>
      <c r="AF14" s="323">
        <v>791946</v>
      </c>
      <c r="AG14" s="323">
        <v>899738</v>
      </c>
      <c r="AH14" s="337">
        <v>7679</v>
      </c>
      <c r="AI14" s="337">
        <v>34220</v>
      </c>
      <c r="AJ14" s="337">
        <v>5581</v>
      </c>
      <c r="AK14" s="337">
        <v>11781</v>
      </c>
      <c r="AL14" s="337">
        <v>12140</v>
      </c>
      <c r="AM14" s="337">
        <v>7920</v>
      </c>
      <c r="AN14" s="337">
        <v>28338</v>
      </c>
      <c r="AO14" s="337">
        <v>24400</v>
      </c>
      <c r="AP14" s="337">
        <v>21608</v>
      </c>
      <c r="AQ14" s="337">
        <v>21651</v>
      </c>
      <c r="AR14" s="337">
        <v>21032</v>
      </c>
      <c r="AS14" s="337">
        <v>26178</v>
      </c>
      <c r="AT14" s="337">
        <v>26810</v>
      </c>
      <c r="AU14" s="337">
        <v>23815</v>
      </c>
      <c r="AV14" s="337">
        <v>22135</v>
      </c>
      <c r="AW14" s="337">
        <v>19504</v>
      </c>
      <c r="AX14" s="337">
        <v>25869</v>
      </c>
      <c r="AY14" s="337">
        <v>37541</v>
      </c>
      <c r="AZ14" s="338"/>
      <c r="BA14" s="337">
        <v>16294</v>
      </c>
      <c r="BB14" s="337">
        <v>15961</v>
      </c>
      <c r="BC14" s="337">
        <v>20101</v>
      </c>
    </row>
    <row r="15" spans="1:55" x14ac:dyDescent="0.25">
      <c r="A15" s="318"/>
      <c r="B15" s="347" t="s">
        <v>154</v>
      </c>
      <c r="C15" s="319"/>
      <c r="D15" s="319"/>
      <c r="E15" s="319"/>
      <c r="F15" s="319"/>
      <c r="G15" s="319"/>
      <c r="H15" s="319"/>
      <c r="I15" s="323">
        <v>24870</v>
      </c>
      <c r="J15" s="323">
        <v>33564</v>
      </c>
      <c r="K15" s="323">
        <v>61726</v>
      </c>
      <c r="L15" s="323">
        <v>3825</v>
      </c>
      <c r="M15" s="323">
        <v>37727</v>
      </c>
      <c r="N15" s="323">
        <v>19171</v>
      </c>
      <c r="O15" s="323">
        <v>13282</v>
      </c>
      <c r="P15" s="323">
        <v>8872</v>
      </c>
      <c r="Q15" s="323">
        <v>24761</v>
      </c>
      <c r="R15" s="323">
        <v>18210</v>
      </c>
      <c r="S15" s="323">
        <v>34578</v>
      </c>
      <c r="T15" s="323">
        <v>27392</v>
      </c>
      <c r="U15" s="323">
        <v>38577</v>
      </c>
      <c r="V15" s="323">
        <v>43430</v>
      </c>
      <c r="W15" s="323">
        <v>18770</v>
      </c>
      <c r="X15" s="323">
        <v>19708</v>
      </c>
      <c r="Y15" s="323">
        <v>30371</v>
      </c>
      <c r="Z15" s="323">
        <v>17086</v>
      </c>
      <c r="AA15" s="323">
        <v>21612</v>
      </c>
      <c r="AB15" s="323">
        <v>19504</v>
      </c>
      <c r="AC15" s="323">
        <v>26990</v>
      </c>
      <c r="AD15" s="323">
        <v>26140</v>
      </c>
      <c r="AE15" s="323">
        <v>7141</v>
      </c>
      <c r="AF15" s="323">
        <v>18125</v>
      </c>
      <c r="AG15" s="323">
        <v>25456</v>
      </c>
      <c r="AH15" s="337">
        <v>5910</v>
      </c>
      <c r="AI15" s="337">
        <v>18263</v>
      </c>
      <c r="AJ15" s="337">
        <v>-722</v>
      </c>
      <c r="AK15" s="337">
        <v>16816</v>
      </c>
      <c r="AL15" s="337">
        <v>8126</v>
      </c>
      <c r="AM15" s="337">
        <v>17105</v>
      </c>
      <c r="AN15" s="337">
        <v>59868</v>
      </c>
      <c r="AO15" s="337">
        <v>60315</v>
      </c>
      <c r="AP15" s="337">
        <v>28730</v>
      </c>
      <c r="AQ15" s="337">
        <v>49045</v>
      </c>
      <c r="AR15" s="337">
        <v>44728</v>
      </c>
      <c r="AS15" s="337">
        <v>33167</v>
      </c>
      <c r="AT15" s="337">
        <v>67034</v>
      </c>
      <c r="AU15" s="337">
        <v>30383</v>
      </c>
      <c r="AV15" s="337">
        <v>6439</v>
      </c>
      <c r="AW15" s="337">
        <v>22723</v>
      </c>
      <c r="AX15" s="337">
        <v>44519</v>
      </c>
      <c r="AY15" s="337">
        <v>73117</v>
      </c>
      <c r="AZ15" s="338"/>
      <c r="BA15" s="337">
        <v>26179</v>
      </c>
      <c r="BB15" s="337">
        <v>27760</v>
      </c>
      <c r="BC15" s="337">
        <v>38272</v>
      </c>
    </row>
    <row r="16" spans="1:55" x14ac:dyDescent="0.25">
      <c r="A16" s="318"/>
      <c r="B16" s="341" t="s">
        <v>132</v>
      </c>
      <c r="C16" s="323">
        <v>10845</v>
      </c>
      <c r="D16" s="323">
        <v>34296</v>
      </c>
      <c r="E16" s="323">
        <v>53426</v>
      </c>
      <c r="F16" s="323">
        <v>9000</v>
      </c>
      <c r="G16" s="323">
        <v>13383</v>
      </c>
      <c r="H16" s="323">
        <v>26341</v>
      </c>
      <c r="I16" s="323">
        <v>16910</v>
      </c>
      <c r="J16" s="323">
        <v>42400</v>
      </c>
      <c r="K16" s="323">
        <v>45796</v>
      </c>
      <c r="L16" s="323">
        <v>9125</v>
      </c>
      <c r="M16" s="323">
        <v>27722</v>
      </c>
      <c r="N16" s="323">
        <v>24762</v>
      </c>
      <c r="O16" s="323">
        <v>17494</v>
      </c>
      <c r="P16" s="323">
        <v>11595</v>
      </c>
      <c r="Q16" s="323">
        <v>19042</v>
      </c>
      <c r="R16" s="323">
        <v>33868</v>
      </c>
      <c r="S16" s="323">
        <v>24110</v>
      </c>
      <c r="T16" s="323">
        <v>17612</v>
      </c>
      <c r="U16" s="323">
        <v>27117</v>
      </c>
      <c r="V16" s="323">
        <v>14350</v>
      </c>
      <c r="W16" s="323">
        <v>17215</v>
      </c>
      <c r="X16" s="323">
        <v>12668</v>
      </c>
      <c r="Y16" s="323">
        <v>20248</v>
      </c>
      <c r="Z16" s="323">
        <v>17880</v>
      </c>
      <c r="AA16" s="323">
        <v>19378</v>
      </c>
      <c r="AB16" s="323">
        <v>16827</v>
      </c>
      <c r="AC16" s="323">
        <v>15970</v>
      </c>
      <c r="AD16" s="323">
        <v>19358</v>
      </c>
      <c r="AE16" s="323">
        <v>12167</v>
      </c>
      <c r="AF16" s="323">
        <v>17505</v>
      </c>
      <c r="AG16" s="323">
        <v>20740</v>
      </c>
      <c r="AH16" s="339">
        <v>7861</v>
      </c>
      <c r="AI16" s="339">
        <v>17681</v>
      </c>
      <c r="AJ16" s="339">
        <v>14291</v>
      </c>
      <c r="AK16" s="339">
        <v>10145</v>
      </c>
      <c r="AL16" s="339">
        <v>12633</v>
      </c>
      <c r="AM16" s="339">
        <v>4408</v>
      </c>
      <c r="AN16" s="339">
        <v>13503</v>
      </c>
      <c r="AO16" s="339">
        <v>18894</v>
      </c>
      <c r="AP16" s="339">
        <v>12630</v>
      </c>
      <c r="AQ16" s="339">
        <v>14064</v>
      </c>
      <c r="AR16" s="339">
        <v>14830</v>
      </c>
      <c r="AS16" s="339">
        <v>14614</v>
      </c>
      <c r="AT16" s="339">
        <v>14080</v>
      </c>
      <c r="AU16" s="339">
        <v>17355</v>
      </c>
      <c r="AV16" s="339">
        <v>9593</v>
      </c>
      <c r="AW16" s="339">
        <v>13047</v>
      </c>
      <c r="AX16" s="339">
        <v>35955</v>
      </c>
      <c r="AY16" s="339">
        <v>45832</v>
      </c>
      <c r="AZ16" s="340"/>
      <c r="BA16" s="339">
        <v>9272</v>
      </c>
      <c r="BB16" s="339">
        <v>9990</v>
      </c>
      <c r="BC16" s="339">
        <v>26594</v>
      </c>
    </row>
    <row r="17" spans="1:55" x14ac:dyDescent="0.25">
      <c r="A17" s="318" t="s">
        <v>149</v>
      </c>
      <c r="B17" s="341" t="s">
        <v>136</v>
      </c>
      <c r="C17" s="318"/>
      <c r="D17" s="318"/>
      <c r="E17" s="318"/>
      <c r="F17" s="318"/>
      <c r="G17" s="318"/>
      <c r="H17" s="318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>
        <v>3266</v>
      </c>
      <c r="AI17" s="339">
        <v>8980</v>
      </c>
      <c r="AJ17" s="339">
        <v>4723</v>
      </c>
      <c r="AK17" s="339">
        <v>4847</v>
      </c>
      <c r="AL17" s="339">
        <v>4898</v>
      </c>
      <c r="AM17" s="339">
        <v>3266</v>
      </c>
      <c r="AN17" s="339">
        <v>8164</v>
      </c>
      <c r="AO17" s="339">
        <v>10052</v>
      </c>
      <c r="AP17" s="339">
        <v>8929</v>
      </c>
      <c r="AQ17" s="339">
        <v>8572</v>
      </c>
      <c r="AR17" s="339">
        <v>8776</v>
      </c>
      <c r="AS17" s="339">
        <v>9542</v>
      </c>
      <c r="AT17" s="339">
        <v>8623</v>
      </c>
      <c r="AU17" s="339">
        <v>10091</v>
      </c>
      <c r="AV17" s="339">
        <v>8363</v>
      </c>
      <c r="AW17" s="339">
        <v>7673</v>
      </c>
      <c r="AX17" s="339">
        <v>10360</v>
      </c>
      <c r="AY17" s="339">
        <v>11442</v>
      </c>
      <c r="AZ17" s="340"/>
      <c r="BA17" s="339">
        <v>7267</v>
      </c>
      <c r="BB17" s="339">
        <v>7267</v>
      </c>
      <c r="BC17" s="339">
        <v>9705</v>
      </c>
    </row>
    <row r="18" spans="1:55" x14ac:dyDescent="0.25"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</row>
    <row r="19" spans="1:55" x14ac:dyDescent="0.25">
      <c r="B19" s="342" t="s">
        <v>67</v>
      </c>
      <c r="C19" s="319"/>
      <c r="D19" s="319"/>
      <c r="E19" s="319"/>
      <c r="F19" s="319"/>
      <c r="G19" s="319"/>
      <c r="H19" s="319"/>
      <c r="I19" s="319" t="s">
        <v>8</v>
      </c>
      <c r="J19" s="319" t="s">
        <v>9</v>
      </c>
      <c r="K19" s="319" t="s">
        <v>10</v>
      </c>
      <c r="L19" s="319" t="s">
        <v>114</v>
      </c>
      <c r="M19" s="319" t="s">
        <v>12</v>
      </c>
      <c r="N19" s="319" t="s">
        <v>13</v>
      </c>
      <c r="O19" s="319" t="s">
        <v>14</v>
      </c>
      <c r="P19" s="319" t="s">
        <v>15</v>
      </c>
      <c r="Q19" s="319" t="s">
        <v>16</v>
      </c>
      <c r="R19" s="319" t="s">
        <v>17</v>
      </c>
      <c r="S19" s="319" t="s">
        <v>18</v>
      </c>
      <c r="T19" s="319" t="s">
        <v>19</v>
      </c>
      <c r="U19" s="319" t="s">
        <v>20</v>
      </c>
      <c r="V19" s="319" t="s">
        <v>21</v>
      </c>
      <c r="W19" s="319" t="s">
        <v>22</v>
      </c>
      <c r="X19" s="319" t="s">
        <v>23</v>
      </c>
      <c r="Y19" s="319" t="s">
        <v>24</v>
      </c>
      <c r="Z19" s="319" t="s">
        <v>25</v>
      </c>
      <c r="AA19" s="319" t="s">
        <v>26</v>
      </c>
      <c r="AB19" s="319" t="s">
        <v>27</v>
      </c>
      <c r="AC19" s="319" t="s">
        <v>28</v>
      </c>
      <c r="AD19" s="319" t="s">
        <v>29</v>
      </c>
      <c r="AE19" s="319" t="s">
        <v>30</v>
      </c>
      <c r="AF19" s="319" t="s">
        <v>31</v>
      </c>
      <c r="AG19" s="319" t="s">
        <v>32</v>
      </c>
      <c r="AH19" s="319" t="s">
        <v>34</v>
      </c>
      <c r="AI19" s="319" t="s">
        <v>35</v>
      </c>
      <c r="AJ19" s="319" t="s">
        <v>36</v>
      </c>
      <c r="AK19" s="319" t="s">
        <v>37</v>
      </c>
      <c r="AL19" s="319" t="s">
        <v>38</v>
      </c>
      <c r="AM19" s="319" t="s">
        <v>39</v>
      </c>
      <c r="AN19" s="319" t="s">
        <v>33</v>
      </c>
      <c r="AO19" s="319" t="s">
        <v>40</v>
      </c>
      <c r="AP19" s="319" t="s">
        <v>41</v>
      </c>
      <c r="AQ19" s="319" t="s">
        <v>42</v>
      </c>
      <c r="AR19" s="319" t="s">
        <v>43</v>
      </c>
      <c r="AS19" s="319" t="s">
        <v>44</v>
      </c>
      <c r="AT19" s="319" t="s">
        <v>45</v>
      </c>
      <c r="AU19" s="319" t="s">
        <v>46</v>
      </c>
      <c r="AV19" s="319" t="s">
        <v>47</v>
      </c>
      <c r="AW19" s="319" t="s">
        <v>48</v>
      </c>
      <c r="AX19" s="319" t="s">
        <v>49</v>
      </c>
      <c r="AY19" s="319" t="s">
        <v>50</v>
      </c>
      <c r="AZ19" s="321" t="s">
        <v>51</v>
      </c>
      <c r="BA19" s="319" t="s">
        <v>52</v>
      </c>
      <c r="BB19" s="319" t="s">
        <v>53</v>
      </c>
      <c r="BC19" s="319" t="s">
        <v>54</v>
      </c>
    </row>
    <row r="20" spans="1:55" x14ac:dyDescent="0.25">
      <c r="B20" s="341" t="s">
        <v>62</v>
      </c>
      <c r="C20" s="318"/>
      <c r="D20" s="318"/>
      <c r="E20" s="318"/>
      <c r="F20" s="318"/>
      <c r="G20" s="318"/>
      <c r="H20" s="318"/>
      <c r="I20" s="343">
        <v>-12677</v>
      </c>
      <c r="J20" s="343">
        <v>-22978</v>
      </c>
      <c r="K20" s="343">
        <v>-21633</v>
      </c>
      <c r="L20" s="343">
        <v>-2811</v>
      </c>
      <c r="M20" s="343">
        <v>-9051</v>
      </c>
      <c r="N20" s="343">
        <v>-691</v>
      </c>
      <c r="O20" s="343">
        <v>3174</v>
      </c>
      <c r="P20" s="343">
        <v>1083</v>
      </c>
      <c r="Q20" s="343">
        <v>6649</v>
      </c>
      <c r="R20" s="343">
        <v>-464</v>
      </c>
      <c r="S20" s="343">
        <v>-10252</v>
      </c>
      <c r="T20" s="343">
        <v>-5746</v>
      </c>
      <c r="U20" s="343">
        <v>-10313</v>
      </c>
      <c r="V20" s="343">
        <v>-27391</v>
      </c>
      <c r="W20" s="343">
        <v>-11926</v>
      </c>
      <c r="X20" s="343">
        <v>-13205</v>
      </c>
      <c r="Y20" s="343">
        <v>-1213</v>
      </c>
      <c r="Z20" s="343">
        <v>-17899</v>
      </c>
      <c r="AA20" s="343">
        <v>-15873</v>
      </c>
      <c r="AB20" s="343">
        <v>-13654</v>
      </c>
      <c r="AC20" s="343">
        <v>880</v>
      </c>
      <c r="AD20" s="343">
        <v>-27540</v>
      </c>
      <c r="AE20" s="343">
        <v>-3645</v>
      </c>
      <c r="AF20" s="343">
        <v>-84</v>
      </c>
      <c r="AG20" s="343">
        <v>324</v>
      </c>
      <c r="AH20" s="343">
        <v>896</v>
      </c>
      <c r="AI20" s="343">
        <v>-6901</v>
      </c>
      <c r="AJ20" s="343">
        <v>-7959</v>
      </c>
      <c r="AK20" s="343">
        <v>4643</v>
      </c>
      <c r="AL20" s="343">
        <v>-12179</v>
      </c>
      <c r="AM20" s="343">
        <v>-2610</v>
      </c>
      <c r="AN20" s="343">
        <v>3769</v>
      </c>
      <c r="AO20" s="343">
        <v>-8321</v>
      </c>
      <c r="AP20" s="343">
        <v>-13477</v>
      </c>
      <c r="AQ20" s="343">
        <v>-9606</v>
      </c>
      <c r="AR20" s="343">
        <v>-5734</v>
      </c>
      <c r="AS20" s="343">
        <v>-7850</v>
      </c>
      <c r="AT20" s="343">
        <v>2333</v>
      </c>
      <c r="AU20" s="343">
        <v>-4188</v>
      </c>
      <c r="AV20" s="343">
        <v>-7353</v>
      </c>
      <c r="AW20" s="343">
        <v>-15000</v>
      </c>
      <c r="AX20" s="343">
        <v>-15675</v>
      </c>
      <c r="AY20" s="343">
        <v>-5940</v>
      </c>
      <c r="AZ20" s="344">
        <v>0</v>
      </c>
      <c r="BA20" s="343">
        <v>-6634</v>
      </c>
      <c r="BB20" s="343">
        <v>-603</v>
      </c>
      <c r="BC20" s="343">
        <v>3402</v>
      </c>
    </row>
    <row r="21" spans="1:55" x14ac:dyDescent="0.25">
      <c r="B21" s="341" t="s">
        <v>63</v>
      </c>
      <c r="C21" s="318"/>
      <c r="D21" s="318"/>
      <c r="E21" s="318"/>
      <c r="F21" s="318"/>
      <c r="G21" s="318"/>
      <c r="H21" s="318"/>
      <c r="I21" s="343">
        <v>-11572</v>
      </c>
      <c r="J21" s="343">
        <v>-3616</v>
      </c>
      <c r="K21" s="343">
        <v>-4422</v>
      </c>
      <c r="L21" s="343">
        <v>-11953</v>
      </c>
      <c r="M21" s="343">
        <v>-5674</v>
      </c>
      <c r="N21" s="343">
        <v>3149</v>
      </c>
      <c r="O21" s="343">
        <v>-10780</v>
      </c>
      <c r="P21" s="343">
        <v>-809</v>
      </c>
      <c r="Q21" s="343">
        <v>-30</v>
      </c>
      <c r="R21" s="343">
        <v>0</v>
      </c>
      <c r="S21" s="343">
        <v>-13124</v>
      </c>
      <c r="T21" s="343">
        <v>2823</v>
      </c>
      <c r="U21" s="343">
        <v>-3736</v>
      </c>
      <c r="V21" s="343">
        <v>-2128</v>
      </c>
      <c r="W21" s="343">
        <v>-3645</v>
      </c>
      <c r="X21" s="343">
        <v>-7118</v>
      </c>
      <c r="Y21" s="343">
        <v>-2982</v>
      </c>
      <c r="Z21" s="343">
        <v>-5485</v>
      </c>
      <c r="AA21" s="343">
        <v>34419</v>
      </c>
      <c r="AB21" s="343">
        <v>927</v>
      </c>
      <c r="AC21" s="343">
        <v>23308</v>
      </c>
      <c r="AD21" s="343">
        <v>34487</v>
      </c>
      <c r="AE21" s="343">
        <v>1613</v>
      </c>
      <c r="AF21" s="343">
        <v>0</v>
      </c>
      <c r="AG21" s="343">
        <v>0</v>
      </c>
      <c r="AH21" s="343">
        <v>-12446</v>
      </c>
      <c r="AI21" s="343">
        <v>-99938</v>
      </c>
      <c r="AJ21" s="343">
        <v>-32022</v>
      </c>
      <c r="AK21" s="343">
        <v>-26483</v>
      </c>
      <c r="AL21" s="343">
        <v>-48643</v>
      </c>
      <c r="AM21" s="343">
        <v>-17932</v>
      </c>
      <c r="AN21" s="343">
        <v>-24929</v>
      </c>
      <c r="AO21" s="343">
        <v>-87609</v>
      </c>
      <c r="AP21" s="343">
        <v>-74535</v>
      </c>
      <c r="AQ21" s="343">
        <v>-29725</v>
      </c>
      <c r="AR21" s="343">
        <v>-99513</v>
      </c>
      <c r="AS21" s="343">
        <v>-46295</v>
      </c>
      <c r="AT21" s="343">
        <v>-83847</v>
      </c>
      <c r="AU21" s="343">
        <v>-103875</v>
      </c>
      <c r="AV21" s="343">
        <v>-56097</v>
      </c>
      <c r="AW21" s="343">
        <v>-5962</v>
      </c>
      <c r="AX21" s="343">
        <v>-31631</v>
      </c>
      <c r="AY21" s="343">
        <v>-183527</v>
      </c>
      <c r="AZ21" s="344">
        <v>0</v>
      </c>
      <c r="BA21" s="343">
        <v>-33264</v>
      </c>
      <c r="BB21" s="343">
        <v>-1310</v>
      </c>
      <c r="BC21" s="343">
        <v>-84767</v>
      </c>
    </row>
    <row r="22" spans="1:55" x14ac:dyDescent="0.25">
      <c r="B22" s="341" t="s">
        <v>64</v>
      </c>
      <c r="C22" s="343"/>
      <c r="D22" s="343"/>
      <c r="E22" s="343"/>
      <c r="F22" s="343"/>
      <c r="G22" s="343"/>
      <c r="H22" s="343"/>
      <c r="I22" s="343">
        <v>0</v>
      </c>
      <c r="J22" s="343">
        <v>238.23000000000047</v>
      </c>
      <c r="K22" s="343">
        <v>-3745.989999999998</v>
      </c>
      <c r="L22" s="343">
        <v>1600</v>
      </c>
      <c r="M22" s="343">
        <v>-33419.659999999996</v>
      </c>
      <c r="N22" s="343">
        <v>54783.490000000005</v>
      </c>
      <c r="O22" s="343">
        <v>92362.11</v>
      </c>
      <c r="P22" s="343">
        <v>-3294.3899999999994</v>
      </c>
      <c r="Q22" s="343">
        <v>68404.760000000009</v>
      </c>
      <c r="R22" s="343">
        <v>-14018.280000000028</v>
      </c>
      <c r="S22" s="343">
        <v>-3544</v>
      </c>
      <c r="T22" s="343">
        <v>-673</v>
      </c>
      <c r="U22" s="343">
        <v>-376</v>
      </c>
      <c r="V22" s="343">
        <v>-884</v>
      </c>
      <c r="W22" s="343">
        <v>0</v>
      </c>
      <c r="X22" s="343">
        <v>6000</v>
      </c>
      <c r="Y22" s="343">
        <v>0</v>
      </c>
      <c r="Z22" s="343">
        <v>-51055</v>
      </c>
      <c r="AA22" s="343">
        <v>-27797</v>
      </c>
      <c r="AB22" s="343">
        <v>20267</v>
      </c>
      <c r="AC22" s="343">
        <v>-43256</v>
      </c>
      <c r="AD22" s="343">
        <v>38089</v>
      </c>
      <c r="AE22" s="343">
        <v>23884</v>
      </c>
      <c r="AF22" s="343">
        <v>-64913</v>
      </c>
      <c r="AG22" s="343">
        <v>33968</v>
      </c>
      <c r="AH22" s="343">
        <v>-16633</v>
      </c>
      <c r="AI22" s="343">
        <v>-141422</v>
      </c>
      <c r="AJ22" s="343">
        <v>-20077</v>
      </c>
      <c r="AK22" s="343">
        <v>-30200</v>
      </c>
      <c r="AL22" s="343">
        <v>-106498</v>
      </c>
      <c r="AM22" s="343">
        <v>-77350</v>
      </c>
      <c r="AN22" s="343">
        <v>-63284</v>
      </c>
      <c r="AO22" s="343">
        <v>-200665</v>
      </c>
      <c r="AP22" s="343">
        <v>-340335</v>
      </c>
      <c r="AQ22" s="343">
        <v>-38318</v>
      </c>
      <c r="AR22" s="343">
        <v>-277174</v>
      </c>
      <c r="AS22" s="343">
        <v>-124903</v>
      </c>
      <c r="AT22" s="343">
        <v>-27944</v>
      </c>
      <c r="AU22" s="343">
        <v>-214842</v>
      </c>
      <c r="AV22" s="343">
        <v>-41212</v>
      </c>
      <c r="AW22" s="343">
        <v>-10494</v>
      </c>
      <c r="AX22" s="343">
        <v>-269487</v>
      </c>
      <c r="AY22" s="343">
        <v>-151000</v>
      </c>
      <c r="AZ22" s="344">
        <v>0</v>
      </c>
      <c r="BA22" s="343">
        <v>-111210</v>
      </c>
      <c r="BB22" s="343">
        <v>-31777</v>
      </c>
      <c r="BC22" s="343">
        <v>-314149</v>
      </c>
    </row>
    <row r="23" spans="1:55" x14ac:dyDescent="0.25">
      <c r="B23" s="347" t="s">
        <v>154</v>
      </c>
      <c r="C23" s="319"/>
      <c r="D23" s="319"/>
      <c r="E23" s="319"/>
      <c r="F23" s="319"/>
      <c r="G23" s="319"/>
      <c r="H23" s="319"/>
      <c r="I23" s="343">
        <v>-614</v>
      </c>
      <c r="J23" s="343">
        <v>8291</v>
      </c>
      <c r="K23" s="343">
        <v>-11213</v>
      </c>
      <c r="L23" s="343">
        <v>902</v>
      </c>
      <c r="M23" s="343">
        <v>-9415</v>
      </c>
      <c r="N23" s="343">
        <v>-4003</v>
      </c>
      <c r="O23" s="343">
        <v>-1746</v>
      </c>
      <c r="P23" s="343">
        <v>-603</v>
      </c>
      <c r="Q23" s="343">
        <v>4459</v>
      </c>
      <c r="R23" s="343">
        <v>156</v>
      </c>
      <c r="S23" s="343">
        <v>-37</v>
      </c>
      <c r="T23" s="343">
        <v>942</v>
      </c>
      <c r="U23" s="343">
        <v>-2007</v>
      </c>
      <c r="V23" s="343">
        <v>-14142</v>
      </c>
      <c r="W23" s="343">
        <v>6689</v>
      </c>
      <c r="X23" s="343">
        <v>-2497</v>
      </c>
      <c r="Y23" s="343">
        <v>-484</v>
      </c>
      <c r="Z23" s="343">
        <v>-7309</v>
      </c>
      <c r="AA23" s="343">
        <v>-8761</v>
      </c>
      <c r="AB23" s="343">
        <v>-7693</v>
      </c>
      <c r="AC23" s="343">
        <v>-14908</v>
      </c>
      <c r="AD23" s="343">
        <v>-23333</v>
      </c>
      <c r="AE23" s="343">
        <v>-1601</v>
      </c>
      <c r="AF23" s="343">
        <v>-21105</v>
      </c>
      <c r="AG23" s="343">
        <v>-17099</v>
      </c>
      <c r="AH23" s="343">
        <v>-6577</v>
      </c>
      <c r="AI23" s="343">
        <v>-153403</v>
      </c>
      <c r="AJ23" s="343">
        <v>-60371</v>
      </c>
      <c r="AK23" s="343">
        <v>-52191</v>
      </c>
      <c r="AL23" s="343">
        <v>-83314</v>
      </c>
      <c r="AM23" s="343">
        <v>-46399</v>
      </c>
      <c r="AN23" s="343">
        <v>-41344</v>
      </c>
      <c r="AO23" s="343">
        <v>-33151</v>
      </c>
      <c r="AP23" s="343">
        <v>-40580</v>
      </c>
      <c r="AQ23" s="343">
        <v>4891</v>
      </c>
      <c r="AR23" s="343">
        <v>5585</v>
      </c>
      <c r="AS23" s="343">
        <v>-57403</v>
      </c>
      <c r="AT23" s="343">
        <v>-152844</v>
      </c>
      <c r="AU23" s="343">
        <v>-104611</v>
      </c>
      <c r="AV23" s="343">
        <v>-60944</v>
      </c>
      <c r="AW23" s="343">
        <v>1760</v>
      </c>
      <c r="AX23" s="343">
        <v>-72462</v>
      </c>
      <c r="AY23" s="343">
        <v>-7903</v>
      </c>
      <c r="AZ23" s="344">
        <v>0</v>
      </c>
      <c r="BA23" s="343">
        <v>-53850</v>
      </c>
      <c r="BB23" s="343">
        <v>4359</v>
      </c>
      <c r="BC23" s="343">
        <v>-11739</v>
      </c>
    </row>
    <row r="24" spans="1:55" x14ac:dyDescent="0.25">
      <c r="B24" s="341" t="s">
        <v>132</v>
      </c>
      <c r="C24" s="343">
        <v>-10735</v>
      </c>
      <c r="D24" s="343">
        <v>8910</v>
      </c>
      <c r="E24" s="343">
        <v>-1483</v>
      </c>
      <c r="F24" s="343">
        <v>-3699</v>
      </c>
      <c r="G24" s="343">
        <v>4754</v>
      </c>
      <c r="H24" s="343">
        <v>-32567</v>
      </c>
      <c r="I24" s="343">
        <v>-27572</v>
      </c>
      <c r="J24" s="343">
        <v>-10028</v>
      </c>
      <c r="K24" s="343">
        <v>-84750</v>
      </c>
      <c r="L24" s="343">
        <v>-28041</v>
      </c>
      <c r="M24" s="343">
        <v>-17818</v>
      </c>
      <c r="N24" s="343">
        <v>-14503</v>
      </c>
      <c r="O24" s="343">
        <v>6369</v>
      </c>
      <c r="P24" s="343">
        <v>-2517</v>
      </c>
      <c r="Q24" s="343">
        <v>-32585</v>
      </c>
      <c r="R24" s="343">
        <v>-2644</v>
      </c>
      <c r="S24" s="343">
        <v>1054</v>
      </c>
      <c r="T24" s="343">
        <v>-12009</v>
      </c>
      <c r="U24" s="343">
        <v>-6875</v>
      </c>
      <c r="V24" s="343">
        <v>-732</v>
      </c>
      <c r="W24" s="343">
        <v>-3545</v>
      </c>
      <c r="X24" s="343">
        <v>-4174</v>
      </c>
      <c r="Y24" s="343">
        <v>3103</v>
      </c>
      <c r="Z24" s="343">
        <v>-29321</v>
      </c>
      <c r="AA24" s="343">
        <v>-12845</v>
      </c>
      <c r="AB24" s="343">
        <v>-3308</v>
      </c>
      <c r="AC24" s="343">
        <v>-6976</v>
      </c>
      <c r="AD24" s="343">
        <v>-36740</v>
      </c>
      <c r="AE24" s="343">
        <v>-22624</v>
      </c>
      <c r="AF24" s="343">
        <v>-25737</v>
      </c>
      <c r="AG24" s="343">
        <v>-4474</v>
      </c>
      <c r="AH24" s="343">
        <v>-13010</v>
      </c>
      <c r="AI24" s="343">
        <v>-278596</v>
      </c>
      <c r="AJ24" s="343">
        <v>-34306</v>
      </c>
      <c r="AK24" s="343">
        <v>-121883</v>
      </c>
      <c r="AL24" s="343">
        <v>-123762</v>
      </c>
      <c r="AM24" s="343">
        <v>-26789</v>
      </c>
      <c r="AN24" s="343">
        <v>-106651</v>
      </c>
      <c r="AO24" s="343">
        <v>-380442</v>
      </c>
      <c r="AP24" s="343">
        <v>-123232</v>
      </c>
      <c r="AQ24" s="343">
        <v>-85310</v>
      </c>
      <c r="AR24" s="343">
        <v>-31924</v>
      </c>
      <c r="AS24" s="343">
        <v>-59239</v>
      </c>
      <c r="AT24" s="343">
        <v>130748</v>
      </c>
      <c r="AU24" s="343">
        <v>-129005</v>
      </c>
      <c r="AV24" s="343">
        <v>-96824</v>
      </c>
      <c r="AW24" s="343">
        <v>-22783</v>
      </c>
      <c r="AX24" s="343">
        <v>-82490</v>
      </c>
      <c r="AY24" s="343">
        <v>5864</v>
      </c>
      <c r="AZ24" s="344">
        <v>0</v>
      </c>
      <c r="BA24" s="343">
        <v>-58132</v>
      </c>
      <c r="BB24" s="343">
        <v>-30170</v>
      </c>
      <c r="BC24" s="343">
        <v>-56452</v>
      </c>
    </row>
    <row r="25" spans="1:55" x14ac:dyDescent="0.25">
      <c r="B25" s="341" t="s">
        <v>136</v>
      </c>
      <c r="C25" s="318"/>
      <c r="D25" s="318"/>
      <c r="E25" s="318"/>
      <c r="F25" s="318"/>
      <c r="G25" s="318"/>
      <c r="H25" s="318"/>
      <c r="I25" s="343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43">
        <v>186</v>
      </c>
      <c r="AI25" s="343">
        <v>-11847</v>
      </c>
      <c r="AJ25" s="343">
        <v>-4571</v>
      </c>
      <c r="AK25" s="343">
        <v>-1956</v>
      </c>
      <c r="AL25" s="343">
        <v>57</v>
      </c>
      <c r="AM25" s="343">
        <v>18</v>
      </c>
      <c r="AN25" s="343">
        <v>-3077</v>
      </c>
      <c r="AO25" s="343">
        <v>-1791</v>
      </c>
      <c r="AP25" s="343">
        <v>-2165</v>
      </c>
      <c r="AQ25" s="343">
        <v>-1448</v>
      </c>
      <c r="AR25" s="343">
        <v>1765</v>
      </c>
      <c r="AS25" s="343">
        <v>2375</v>
      </c>
      <c r="AT25" s="343">
        <v>-885</v>
      </c>
      <c r="AU25" s="343">
        <v>2215</v>
      </c>
      <c r="AV25" s="343">
        <v>-3747</v>
      </c>
      <c r="AW25" s="343">
        <v>1311</v>
      </c>
      <c r="AX25" s="343">
        <v>106</v>
      </c>
      <c r="AY25" s="343">
        <v>-12108</v>
      </c>
      <c r="AZ25" s="344">
        <v>0</v>
      </c>
      <c r="BA25" s="343">
        <v>-1096</v>
      </c>
      <c r="BB25" s="343">
        <v>1766</v>
      </c>
      <c r="BC25" s="343">
        <v>10</v>
      </c>
    </row>
    <row r="26" spans="1:55" x14ac:dyDescent="0.25">
      <c r="I26" s="267"/>
      <c r="AH26" s="267"/>
      <c r="AI26" s="267"/>
      <c r="AJ26" s="267"/>
      <c r="AK26" s="267"/>
      <c r="AL26" s="267"/>
      <c r="AM26" s="267"/>
      <c r="AN26" s="267"/>
      <c r="AO26" s="267"/>
      <c r="AP26" s="267"/>
      <c r="AQ26" s="267"/>
      <c r="AR26" s="267"/>
      <c r="AS26" s="267"/>
      <c r="AT26" s="267"/>
      <c r="AU26" s="267"/>
      <c r="AV26" s="267"/>
      <c r="AW26" s="267"/>
      <c r="AX26" s="267"/>
      <c r="AY26" s="267"/>
      <c r="AZ26" s="267"/>
      <c r="BA26" s="267"/>
      <c r="BB26" s="267"/>
      <c r="BC26" s="267"/>
    </row>
    <row r="27" spans="1:55" x14ac:dyDescent="0.25">
      <c r="B27" s="266" t="s">
        <v>127</v>
      </c>
      <c r="C27" s="335" t="s">
        <v>2</v>
      </c>
      <c r="D27" s="335" t="s">
        <v>3</v>
      </c>
      <c r="E27" s="335" t="s">
        <v>4</v>
      </c>
      <c r="F27" s="335" t="s">
        <v>5</v>
      </c>
      <c r="G27" s="335" t="s">
        <v>6</v>
      </c>
      <c r="H27" s="335" t="s">
        <v>7</v>
      </c>
      <c r="I27" s="334" t="s">
        <v>8</v>
      </c>
      <c r="J27" s="334" t="s">
        <v>9</v>
      </c>
      <c r="K27" s="334" t="s">
        <v>10</v>
      </c>
      <c r="L27" s="334" t="s">
        <v>114</v>
      </c>
      <c r="M27" s="334" t="s">
        <v>12</v>
      </c>
      <c r="N27" s="334" t="s">
        <v>13</v>
      </c>
      <c r="O27" s="334" t="s">
        <v>14</v>
      </c>
      <c r="P27" s="334" t="s">
        <v>15</v>
      </c>
      <c r="Q27" s="334" t="s">
        <v>16</v>
      </c>
      <c r="R27" s="334" t="s">
        <v>17</v>
      </c>
      <c r="S27" s="334" t="s">
        <v>18</v>
      </c>
      <c r="T27" s="334" t="s">
        <v>19</v>
      </c>
      <c r="U27" s="334" t="s">
        <v>20</v>
      </c>
      <c r="V27" s="334" t="s">
        <v>21</v>
      </c>
      <c r="W27" s="334" t="s">
        <v>22</v>
      </c>
      <c r="X27" s="334" t="s">
        <v>23</v>
      </c>
      <c r="Y27" s="334" t="s">
        <v>24</v>
      </c>
      <c r="Z27" s="334" t="s">
        <v>25</v>
      </c>
      <c r="AA27" s="334" t="s">
        <v>26</v>
      </c>
      <c r="AB27" s="334" t="s">
        <v>27</v>
      </c>
      <c r="AC27" s="334" t="s">
        <v>28</v>
      </c>
      <c r="AD27" s="334" t="s">
        <v>29</v>
      </c>
      <c r="AE27" s="334" t="s">
        <v>30</v>
      </c>
      <c r="AF27" s="334" t="s">
        <v>31</v>
      </c>
      <c r="AG27" s="334" t="s">
        <v>32</v>
      </c>
      <c r="AH27" s="334" t="s">
        <v>34</v>
      </c>
      <c r="AI27" s="334" t="s">
        <v>35</v>
      </c>
      <c r="AJ27" s="334" t="s">
        <v>36</v>
      </c>
      <c r="AK27" s="334" t="s">
        <v>37</v>
      </c>
      <c r="AL27" s="334" t="s">
        <v>38</v>
      </c>
      <c r="AM27" s="334" t="s">
        <v>39</v>
      </c>
      <c r="AN27" s="334" t="s">
        <v>33</v>
      </c>
      <c r="AO27" s="334" t="s">
        <v>40</v>
      </c>
      <c r="AP27" s="334" t="s">
        <v>41</v>
      </c>
      <c r="AQ27" s="334" t="s">
        <v>42</v>
      </c>
      <c r="AR27" s="334" t="s">
        <v>43</v>
      </c>
      <c r="AS27" s="334" t="s">
        <v>44</v>
      </c>
      <c r="AT27" s="334" t="s">
        <v>45</v>
      </c>
      <c r="AU27" s="334" t="s">
        <v>46</v>
      </c>
      <c r="AV27" s="334" t="s">
        <v>47</v>
      </c>
      <c r="AW27" s="334" t="s">
        <v>48</v>
      </c>
      <c r="AX27" s="334" t="s">
        <v>49</v>
      </c>
      <c r="AY27" s="334" t="s">
        <v>50</v>
      </c>
      <c r="AZ27" s="334" t="s">
        <v>51</v>
      </c>
      <c r="BA27" s="334" t="s">
        <v>52</v>
      </c>
      <c r="BB27" s="334" t="s">
        <v>53</v>
      </c>
      <c r="BC27" s="334" t="s">
        <v>54</v>
      </c>
    </row>
    <row r="28" spans="1:55" x14ac:dyDescent="0.25">
      <c r="B28" s="348" t="s">
        <v>62</v>
      </c>
      <c r="C28" s="336">
        <v>2543</v>
      </c>
      <c r="D28" s="336">
        <v>-13034</v>
      </c>
      <c r="E28" s="336">
        <v>-17736</v>
      </c>
      <c r="F28" s="336">
        <v>-677</v>
      </c>
      <c r="G28" s="336">
        <v>-3658</v>
      </c>
      <c r="H28" s="336">
        <v>-4669</v>
      </c>
      <c r="I28" s="336">
        <v>-1569</v>
      </c>
      <c r="J28" s="336">
        <v>-15765</v>
      </c>
      <c r="K28" s="336">
        <v>-4600</v>
      </c>
      <c r="L28" s="336">
        <v>288</v>
      </c>
      <c r="M28" s="336">
        <v>4221</v>
      </c>
      <c r="N28" s="336">
        <v>-8856</v>
      </c>
      <c r="O28" s="336">
        <v>4903</v>
      </c>
      <c r="P28" s="336">
        <v>-4401</v>
      </c>
      <c r="Q28" s="336">
        <v>3035</v>
      </c>
      <c r="R28" s="336">
        <v>-660</v>
      </c>
      <c r="S28" s="336">
        <v>-8718</v>
      </c>
      <c r="T28" s="336">
        <v>-2258</v>
      </c>
      <c r="U28" s="336">
        <v>-5941</v>
      </c>
      <c r="V28" s="336">
        <v>-21881</v>
      </c>
      <c r="W28" s="336">
        <v>5390</v>
      </c>
      <c r="X28" s="336">
        <v>-3466</v>
      </c>
      <c r="Y28" s="336">
        <v>5587</v>
      </c>
      <c r="Z28" s="336">
        <v>-13796</v>
      </c>
      <c r="AA28" s="336">
        <v>-4841</v>
      </c>
      <c r="AB28" s="336">
        <v>-3148</v>
      </c>
      <c r="AC28" s="336">
        <v>7075</v>
      </c>
      <c r="AD28" s="336">
        <v>-268</v>
      </c>
      <c r="AE28" s="336">
        <v>662</v>
      </c>
      <c r="AF28" s="336">
        <v>-145</v>
      </c>
      <c r="AG28" s="336">
        <v>-33</v>
      </c>
      <c r="AH28" s="336">
        <v>327</v>
      </c>
      <c r="AI28" s="336">
        <v>-3489</v>
      </c>
      <c r="AJ28" s="336">
        <v>-4834</v>
      </c>
      <c r="AK28" s="336">
        <v>3395</v>
      </c>
      <c r="AL28" s="336">
        <v>5106</v>
      </c>
      <c r="AM28" s="336">
        <v>-10661</v>
      </c>
      <c r="AN28" s="336">
        <v>8778</v>
      </c>
      <c r="AO28" s="336">
        <v>127</v>
      </c>
      <c r="AP28" s="336">
        <v>4160</v>
      </c>
      <c r="AQ28" s="336">
        <v>-5977</v>
      </c>
      <c r="AR28" s="336">
        <v>-2358</v>
      </c>
      <c r="AS28" s="336">
        <v>2111</v>
      </c>
      <c r="AT28" s="336">
        <v>-3441</v>
      </c>
      <c r="AU28" s="336">
        <v>-5580</v>
      </c>
      <c r="AV28" s="336">
        <v>-8315</v>
      </c>
      <c r="AW28" s="336">
        <v>1873</v>
      </c>
      <c r="AX28" s="336">
        <v>-13836</v>
      </c>
      <c r="AY28" s="336">
        <v>-7750</v>
      </c>
      <c r="AZ28" s="336">
        <v>0</v>
      </c>
      <c r="BA28" s="336">
        <v>-4985</v>
      </c>
      <c r="BB28" s="336">
        <v>-23</v>
      </c>
      <c r="BC28" s="336">
        <v>5803</v>
      </c>
    </row>
    <row r="29" spans="1:55" x14ac:dyDescent="0.25">
      <c r="B29" s="348" t="s">
        <v>63</v>
      </c>
      <c r="C29" s="336">
        <v>1075</v>
      </c>
      <c r="D29" s="336">
        <v>-4246</v>
      </c>
      <c r="E29" s="336">
        <v>-22378</v>
      </c>
      <c r="F29" s="336">
        <v>-464</v>
      </c>
      <c r="G29" s="336">
        <v>-5181</v>
      </c>
      <c r="H29" s="336">
        <v>-481</v>
      </c>
      <c r="I29" s="336">
        <v>-4335</v>
      </c>
      <c r="J29" s="336">
        <v>-3459</v>
      </c>
      <c r="K29" s="336">
        <v>883</v>
      </c>
      <c r="L29" s="336">
        <v>-11948</v>
      </c>
      <c r="M29" s="336">
        <v>-940</v>
      </c>
      <c r="N29" s="336">
        <v>-4222</v>
      </c>
      <c r="O29" s="336">
        <v>-7736</v>
      </c>
      <c r="P29" s="336">
        <v>853</v>
      </c>
      <c r="Q29" s="336">
        <v>-446</v>
      </c>
      <c r="R29" s="336">
        <v>0</v>
      </c>
      <c r="S29" s="336">
        <v>-4797</v>
      </c>
      <c r="T29" s="336">
        <v>-1995</v>
      </c>
      <c r="U29" s="336">
        <v>-2362</v>
      </c>
      <c r="V29" s="336">
        <v>-736</v>
      </c>
      <c r="W29" s="336">
        <v>354</v>
      </c>
      <c r="X29" s="336">
        <v>-168</v>
      </c>
      <c r="Y29" s="336">
        <v>-122</v>
      </c>
      <c r="Z29" s="336">
        <v>14107</v>
      </c>
      <c r="AA29" s="336">
        <v>-9346</v>
      </c>
      <c r="AB29" s="336">
        <v>-136</v>
      </c>
      <c r="AC29" s="336">
        <v>855</v>
      </c>
      <c r="AD29" s="336">
        <v>-2042</v>
      </c>
      <c r="AE29" s="336">
        <v>3235</v>
      </c>
      <c r="AF29" s="336">
        <v>0</v>
      </c>
      <c r="AG29" s="336">
        <v>0</v>
      </c>
      <c r="AH29" s="336">
        <v>10921</v>
      </c>
      <c r="AI29" s="336">
        <v>732</v>
      </c>
      <c r="AJ29" s="336">
        <v>-22208</v>
      </c>
      <c r="AK29" s="336">
        <v>14514</v>
      </c>
      <c r="AL29" s="336">
        <v>-25345</v>
      </c>
      <c r="AM29" s="336">
        <v>2147</v>
      </c>
      <c r="AN29" s="336">
        <v>-9397</v>
      </c>
      <c r="AO29" s="336">
        <v>18439</v>
      </c>
      <c r="AP29" s="336">
        <v>-10368</v>
      </c>
      <c r="AQ29" s="336">
        <v>-8389</v>
      </c>
      <c r="AR29" s="336">
        <v>43267</v>
      </c>
      <c r="AS29" s="336">
        <v>-20030</v>
      </c>
      <c r="AT29" s="336">
        <v>-15604</v>
      </c>
      <c r="AU29" s="336">
        <v>14135</v>
      </c>
      <c r="AV29" s="336">
        <v>6953</v>
      </c>
      <c r="AW29" s="336">
        <v>19890</v>
      </c>
      <c r="AX29" s="336">
        <v>19602</v>
      </c>
      <c r="AY29" s="336">
        <v>53903</v>
      </c>
      <c r="AZ29" s="336">
        <v>0</v>
      </c>
      <c r="BA29" s="336">
        <v>6943</v>
      </c>
      <c r="BB29" s="336">
        <v>4752</v>
      </c>
      <c r="BC29" s="336">
        <v>26344</v>
      </c>
    </row>
    <row r="30" spans="1:55" x14ac:dyDescent="0.25">
      <c r="B30" s="348" t="s">
        <v>64</v>
      </c>
      <c r="C30" s="336">
        <v>0</v>
      </c>
      <c r="D30" s="336">
        <v>856.59999999999854</v>
      </c>
      <c r="E30" s="336">
        <v>-42962.9</v>
      </c>
      <c r="F30" s="336">
        <v>0</v>
      </c>
      <c r="G30" s="336">
        <v>-5804</v>
      </c>
      <c r="H30" s="336">
        <v>20113</v>
      </c>
      <c r="I30" s="336">
        <v>0</v>
      </c>
      <c r="J30" s="336">
        <v>8427.23</v>
      </c>
      <c r="K30" s="336">
        <v>-5785.989999999998</v>
      </c>
      <c r="L30" s="336">
        <v>0</v>
      </c>
      <c r="M30" s="336">
        <v>-29371.659999999996</v>
      </c>
      <c r="N30" s="336">
        <v>29392.490000000005</v>
      </c>
      <c r="O30" s="336">
        <v>60421.11</v>
      </c>
      <c r="P30" s="336">
        <v>7832.6100000000006</v>
      </c>
      <c r="Q30" s="336">
        <v>-18785.239999999991</v>
      </c>
      <c r="R30" s="336">
        <v>-17707.280000000028</v>
      </c>
      <c r="S30" s="336">
        <v>-3544</v>
      </c>
      <c r="T30" s="336">
        <v>-673</v>
      </c>
      <c r="U30" s="336">
        <v>-376</v>
      </c>
      <c r="V30" s="336">
        <v>1768</v>
      </c>
      <c r="W30" s="336">
        <v>0</v>
      </c>
      <c r="X30" s="336">
        <v>0</v>
      </c>
      <c r="Y30" s="336">
        <v>0</v>
      </c>
      <c r="Z30" s="336">
        <v>801</v>
      </c>
      <c r="AA30" s="336">
        <v>-31653</v>
      </c>
      <c r="AB30" s="336">
        <v>5492</v>
      </c>
      <c r="AC30" s="336">
        <v>15343</v>
      </c>
      <c r="AD30" s="336">
        <v>-14996</v>
      </c>
      <c r="AE30" s="336">
        <v>-1914</v>
      </c>
      <c r="AF30" s="336">
        <v>16895</v>
      </c>
      <c r="AG30" s="336">
        <v>-616688</v>
      </c>
      <c r="AH30" s="336">
        <v>-1189</v>
      </c>
      <c r="AI30" s="336">
        <v>-8475</v>
      </c>
      <c r="AJ30" s="336">
        <v>4421</v>
      </c>
      <c r="AK30" s="336">
        <v>63946</v>
      </c>
      <c r="AL30" s="336">
        <v>39841</v>
      </c>
      <c r="AM30" s="336">
        <v>-51265</v>
      </c>
      <c r="AN30" s="336">
        <v>-20682</v>
      </c>
      <c r="AO30" s="336">
        <v>-59389</v>
      </c>
      <c r="AP30" s="336">
        <v>-173574</v>
      </c>
      <c r="AQ30" s="336">
        <v>9986</v>
      </c>
      <c r="AR30" s="336">
        <v>-104447</v>
      </c>
      <c r="AS30" s="336">
        <v>48760</v>
      </c>
      <c r="AT30" s="336">
        <v>41705</v>
      </c>
      <c r="AU30" s="336">
        <v>-186823</v>
      </c>
      <c r="AV30" s="336">
        <v>-4018</v>
      </c>
      <c r="AW30" s="336">
        <v>959</v>
      </c>
      <c r="AX30" s="336">
        <v>-236991</v>
      </c>
      <c r="AY30" s="336">
        <v>-128270</v>
      </c>
      <c r="AZ30" s="336">
        <v>0</v>
      </c>
      <c r="BA30" s="336">
        <v>-34897</v>
      </c>
      <c r="BB30" s="336">
        <v>-6703</v>
      </c>
      <c r="BC30" s="336">
        <v>-231199</v>
      </c>
    </row>
    <row r="31" spans="1:55" x14ac:dyDescent="0.25">
      <c r="B31" s="348" t="s">
        <v>58</v>
      </c>
      <c r="C31" s="336">
        <v>-731</v>
      </c>
      <c r="D31" s="336">
        <v>-3776</v>
      </c>
      <c r="E31" s="336">
        <v>-37664</v>
      </c>
      <c r="F31" s="336">
        <v>160</v>
      </c>
      <c r="G31" s="336">
        <v>-2323</v>
      </c>
      <c r="H31" s="336">
        <v>6275</v>
      </c>
      <c r="I31" s="336">
        <v>-5472</v>
      </c>
      <c r="J31" s="336">
        <v>3980</v>
      </c>
      <c r="K31" s="336">
        <v>-7969</v>
      </c>
      <c r="L31" s="336">
        <v>1167</v>
      </c>
      <c r="M31" s="336">
        <v>-10025</v>
      </c>
      <c r="N31" s="336">
        <v>-13241</v>
      </c>
      <c r="O31" s="336">
        <v>-5800</v>
      </c>
      <c r="P31" s="336">
        <v>-2344</v>
      </c>
      <c r="Q31" s="336">
        <v>-8015</v>
      </c>
      <c r="R31" s="336">
        <v>-965</v>
      </c>
      <c r="S31" s="336">
        <v>2187</v>
      </c>
      <c r="T31" s="336">
        <v>-4435</v>
      </c>
      <c r="U31" s="336">
        <v>-6829</v>
      </c>
      <c r="V31" s="336">
        <v>-18338</v>
      </c>
      <c r="W31" s="336">
        <v>1875</v>
      </c>
      <c r="X31" s="336">
        <v>-10417</v>
      </c>
      <c r="Y31" s="336">
        <v>-1400</v>
      </c>
      <c r="Z31" s="336">
        <v>-9566</v>
      </c>
      <c r="AA31" s="336">
        <v>-7902</v>
      </c>
      <c r="AB31" s="336">
        <v>-5657</v>
      </c>
      <c r="AC31" s="336">
        <v>-17416</v>
      </c>
      <c r="AD31" s="336">
        <v>-31091</v>
      </c>
      <c r="AE31" s="336">
        <v>-2172</v>
      </c>
      <c r="AF31" s="336">
        <v>-16540</v>
      </c>
      <c r="AG31" s="336">
        <v>-23237</v>
      </c>
      <c r="AH31" s="336">
        <v>-1287</v>
      </c>
      <c r="AI31" s="336">
        <v>-137671</v>
      </c>
      <c r="AJ31" s="336">
        <v>-15845</v>
      </c>
      <c r="AK31" s="336">
        <v>15572</v>
      </c>
      <c r="AL31" s="336">
        <v>-28380</v>
      </c>
      <c r="AM31" s="336">
        <v>-13293</v>
      </c>
      <c r="AN31" s="336">
        <v>-80088</v>
      </c>
      <c r="AO31" s="336">
        <v>48367</v>
      </c>
      <c r="AP31" s="336">
        <v>99647</v>
      </c>
      <c r="AQ31" s="336">
        <v>-22551</v>
      </c>
      <c r="AR31" s="336">
        <v>-12804</v>
      </c>
      <c r="AS31" s="336">
        <v>-57401</v>
      </c>
      <c r="AT31" s="336">
        <v>-92503</v>
      </c>
      <c r="AU31" s="336">
        <v>-15366</v>
      </c>
      <c r="AV31" s="336">
        <v>77159</v>
      </c>
      <c r="AW31" s="336">
        <v>1913</v>
      </c>
      <c r="AX31" s="336">
        <v>-83746</v>
      </c>
      <c r="AY31" s="336">
        <v>-32197</v>
      </c>
      <c r="AZ31" s="336">
        <v>0</v>
      </c>
      <c r="BA31" s="336">
        <v>-62406</v>
      </c>
      <c r="BB31" s="336">
        <v>2571</v>
      </c>
      <c r="BC31" s="336">
        <v>-12620</v>
      </c>
    </row>
    <row r="32" spans="1:55" x14ac:dyDescent="0.25">
      <c r="B32" s="264" t="s">
        <v>132</v>
      </c>
      <c r="C32" s="336">
        <v>-14809</v>
      </c>
      <c r="D32" s="336">
        <v>1300</v>
      </c>
      <c r="E32" s="336">
        <v>-19112</v>
      </c>
      <c r="F32" s="336">
        <v>-6536</v>
      </c>
      <c r="G32" s="336">
        <v>-528</v>
      </c>
      <c r="H32" s="336">
        <v>-22396</v>
      </c>
      <c r="I32" s="336">
        <v>-30899</v>
      </c>
      <c r="J32" s="336">
        <v>36834</v>
      </c>
      <c r="K32" s="336">
        <v>-66955</v>
      </c>
      <c r="L32" s="336">
        <v>-17296</v>
      </c>
      <c r="M32" s="336">
        <v>9029</v>
      </c>
      <c r="N32" s="336">
        <v>-13438</v>
      </c>
      <c r="O32" s="336">
        <v>4586</v>
      </c>
      <c r="P32" s="336">
        <v>-6720</v>
      </c>
      <c r="Q32" s="336">
        <v>-40120</v>
      </c>
      <c r="R32" s="336">
        <v>-5704</v>
      </c>
      <c r="S32" s="336">
        <v>9070</v>
      </c>
      <c r="T32" s="336">
        <v>-13974</v>
      </c>
      <c r="U32" s="336">
        <v>-2312</v>
      </c>
      <c r="V32" s="336">
        <v>-3046</v>
      </c>
      <c r="W32" s="336">
        <v>2894</v>
      </c>
      <c r="X32" s="336">
        <v>-2834</v>
      </c>
      <c r="Y32" s="336">
        <v>13381</v>
      </c>
      <c r="Z32" s="336">
        <v>-26785</v>
      </c>
      <c r="AA32" s="336">
        <v>-18662</v>
      </c>
      <c r="AB32" s="336">
        <v>3728</v>
      </c>
      <c r="AC32" s="336">
        <v>14493</v>
      </c>
      <c r="AD32" s="336">
        <v>-42968</v>
      </c>
      <c r="AE32" s="336">
        <v>-24833</v>
      </c>
      <c r="AF32" s="336">
        <v>-24286</v>
      </c>
      <c r="AG32" s="336">
        <v>-5083</v>
      </c>
      <c r="AH32" s="336">
        <v>-14325</v>
      </c>
      <c r="AI32" s="336">
        <v>-231825</v>
      </c>
      <c r="AJ32" s="336">
        <v>48196</v>
      </c>
      <c r="AK32" s="336">
        <v>-111766</v>
      </c>
      <c r="AL32" s="336">
        <v>-50976</v>
      </c>
      <c r="AM32" s="336">
        <v>-26234</v>
      </c>
      <c r="AN32" s="336">
        <v>-56920</v>
      </c>
      <c r="AO32" s="336">
        <v>-313161</v>
      </c>
      <c r="AP32" s="336">
        <v>49038</v>
      </c>
      <c r="AQ32" s="336">
        <v>-82296</v>
      </c>
      <c r="AR32" s="336">
        <v>-11189</v>
      </c>
      <c r="AS32" s="336">
        <v>-55411</v>
      </c>
      <c r="AT32" s="336">
        <v>388956</v>
      </c>
      <c r="AU32" s="336">
        <v>-53882</v>
      </c>
      <c r="AV32" s="336">
        <v>29221</v>
      </c>
      <c r="AW32" s="336">
        <v>-23285</v>
      </c>
      <c r="AX32" s="336">
        <v>-101883</v>
      </c>
      <c r="AY32" s="336">
        <v>35255</v>
      </c>
      <c r="AZ32" s="336">
        <v>0</v>
      </c>
      <c r="BA32" s="336">
        <v>311</v>
      </c>
      <c r="BB32" s="336">
        <v>46119</v>
      </c>
      <c r="BC32" s="336">
        <v>-43466</v>
      </c>
    </row>
    <row r="35" spans="2:13" x14ac:dyDescent="0.25">
      <c r="D35" s="259" t="s">
        <v>137</v>
      </c>
      <c r="E35" s="259" t="s">
        <v>138</v>
      </c>
      <c r="K35" s="258" t="s">
        <v>139</v>
      </c>
      <c r="M35" s="258" t="s">
        <v>140</v>
      </c>
    </row>
    <row r="36" spans="2:13" x14ac:dyDescent="0.25">
      <c r="B36" s="266" t="s">
        <v>1</v>
      </c>
      <c r="D36" s="303">
        <v>2903768.41</v>
      </c>
      <c r="E36" s="303">
        <v>2656400</v>
      </c>
      <c r="F36" s="262">
        <v>1.0931216721879236</v>
      </c>
      <c r="J36" s="258" t="s">
        <v>119</v>
      </c>
    </row>
    <row r="37" spans="2:13" x14ac:dyDescent="0.25">
      <c r="B37" s="264" t="s">
        <v>81</v>
      </c>
      <c r="C37" s="258" t="s">
        <v>18</v>
      </c>
      <c r="D37" s="304">
        <v>95390.15</v>
      </c>
      <c r="E37" s="304">
        <v>93150</v>
      </c>
      <c r="F37" s="262">
        <v>1.0240488459473966</v>
      </c>
      <c r="J37" s="258" t="s">
        <v>141</v>
      </c>
      <c r="K37" s="270">
        <v>876531.17999999993</v>
      </c>
      <c r="L37" s="270">
        <v>1029750</v>
      </c>
      <c r="M37" s="267">
        <v>153218.82000000007</v>
      </c>
    </row>
    <row r="38" spans="2:13" x14ac:dyDescent="0.25">
      <c r="B38" s="264" t="s">
        <v>82</v>
      </c>
      <c r="C38" s="258" t="s">
        <v>19</v>
      </c>
      <c r="D38" s="304">
        <v>85256.85</v>
      </c>
      <c r="E38" s="304">
        <v>74050</v>
      </c>
      <c r="F38" s="262">
        <v>1.1513416610398379</v>
      </c>
      <c r="J38" s="258" t="s">
        <v>142</v>
      </c>
      <c r="K38" s="270">
        <v>338290.07999999996</v>
      </c>
      <c r="L38" s="270">
        <v>244947.03999999998</v>
      </c>
      <c r="M38" s="267">
        <v>-93343.039999999979</v>
      </c>
    </row>
    <row r="39" spans="2:13" x14ac:dyDescent="0.25">
      <c r="B39" s="264" t="s">
        <v>83</v>
      </c>
      <c r="C39" s="258" t="s">
        <v>20</v>
      </c>
      <c r="D39" s="304">
        <v>430233.77</v>
      </c>
      <c r="E39" s="304">
        <v>483200</v>
      </c>
      <c r="F39" s="262">
        <v>0.89038445778145703</v>
      </c>
      <c r="J39" s="258" t="s">
        <v>143</v>
      </c>
      <c r="K39" s="270">
        <v>1159670.1599999999</v>
      </c>
      <c r="L39" s="270">
        <v>1372900</v>
      </c>
      <c r="M39" s="267">
        <v>213229.84000000008</v>
      </c>
    </row>
    <row r="40" spans="2:13" x14ac:dyDescent="0.25">
      <c r="B40" s="264" t="s">
        <v>84</v>
      </c>
      <c r="C40" s="258" t="s">
        <v>21</v>
      </c>
      <c r="D40" s="304">
        <v>248666.43</v>
      </c>
      <c r="E40" s="304">
        <v>148650</v>
      </c>
      <c r="F40" s="262">
        <v>1.6728316851664984</v>
      </c>
      <c r="J40" s="258" t="s">
        <v>144</v>
      </c>
      <c r="K40" s="270">
        <v>1744098.2500000002</v>
      </c>
      <c r="L40" s="270">
        <v>1283500</v>
      </c>
      <c r="M40" s="267">
        <v>-460598.25000000023</v>
      </c>
    </row>
    <row r="41" spans="2:13" x14ac:dyDescent="0.25">
      <c r="B41" s="264" t="s">
        <v>85</v>
      </c>
      <c r="C41" s="258" t="s">
        <v>22</v>
      </c>
      <c r="D41" s="304">
        <v>89796.05</v>
      </c>
      <c r="E41" s="304">
        <v>75150</v>
      </c>
      <c r="F41" s="262">
        <v>1.1948908848968729</v>
      </c>
      <c r="J41" s="258" t="s">
        <v>145</v>
      </c>
      <c r="K41" s="270">
        <v>1871421.64</v>
      </c>
      <c r="L41" s="270">
        <v>1691400</v>
      </c>
      <c r="M41" s="267">
        <v>-180021.6399999999</v>
      </c>
    </row>
    <row r="42" spans="2:13" x14ac:dyDescent="0.25">
      <c r="B42" s="264" t="s">
        <v>86</v>
      </c>
      <c r="C42" s="258" t="s">
        <v>23</v>
      </c>
      <c r="D42" s="304">
        <v>126240.68</v>
      </c>
      <c r="E42" s="304">
        <v>417250</v>
      </c>
      <c r="F42" s="262">
        <v>0.3025540563211504</v>
      </c>
      <c r="J42" s="258" t="s">
        <v>146</v>
      </c>
      <c r="K42" s="270">
        <v>2757146.69</v>
      </c>
      <c r="L42" s="270">
        <v>2581300</v>
      </c>
      <c r="M42" s="267">
        <v>-175846.68999999994</v>
      </c>
    </row>
    <row r="43" spans="2:13" x14ac:dyDescent="0.25">
      <c r="B43" s="264" t="s">
        <v>87</v>
      </c>
      <c r="C43" s="258" t="s">
        <v>24</v>
      </c>
      <c r="D43" s="304">
        <v>84086.23</v>
      </c>
      <c r="E43" s="304">
        <v>81450</v>
      </c>
      <c r="F43" s="262">
        <v>1.0323662369551871</v>
      </c>
      <c r="J43" s="258" t="s">
        <v>147</v>
      </c>
      <c r="K43" s="258">
        <v>0</v>
      </c>
    </row>
    <row r="44" spans="2:13" x14ac:dyDescent="0.25">
      <c r="B44" s="264" t="s">
        <v>88</v>
      </c>
      <c r="C44" s="258" t="s">
        <v>31</v>
      </c>
      <c r="D44" s="304">
        <v>27820.77</v>
      </c>
      <c r="E44" s="304">
        <v>3900</v>
      </c>
      <c r="F44" s="262">
        <v>7.1335307692307692</v>
      </c>
    </row>
    <row r="45" spans="2:13" x14ac:dyDescent="0.25">
      <c r="B45" s="264" t="s">
        <v>89</v>
      </c>
      <c r="C45" s="258" t="s">
        <v>25</v>
      </c>
      <c r="D45" s="304">
        <v>304700.90000000002</v>
      </c>
      <c r="E45" s="304">
        <v>166250</v>
      </c>
      <c r="F45" s="263">
        <v>1.8327873684210527</v>
      </c>
    </row>
    <row r="46" spans="2:13" x14ac:dyDescent="0.25">
      <c r="B46" s="264" t="s">
        <v>90</v>
      </c>
      <c r="C46" s="258" t="s">
        <v>26</v>
      </c>
      <c r="D46" s="304">
        <v>131455.79999999999</v>
      </c>
      <c r="E46" s="304">
        <v>73400</v>
      </c>
      <c r="F46" s="263">
        <v>1.790950953678474</v>
      </c>
    </row>
    <row r="47" spans="2:13" x14ac:dyDescent="0.25">
      <c r="B47" s="264" t="s">
        <v>91</v>
      </c>
      <c r="C47" s="258" t="s">
        <v>27</v>
      </c>
      <c r="D47" s="304">
        <v>304297.88</v>
      </c>
      <c r="E47" s="304">
        <v>64700</v>
      </c>
      <c r="F47" s="263">
        <v>4.7032129829984548</v>
      </c>
    </row>
    <row r="48" spans="2:13" x14ac:dyDescent="0.25">
      <c r="B48" s="264" t="s">
        <v>92</v>
      </c>
      <c r="C48" s="258" t="s">
        <v>28</v>
      </c>
      <c r="D48" s="304">
        <v>396227.71</v>
      </c>
      <c r="E48" s="304">
        <v>66650</v>
      </c>
      <c r="F48" s="263">
        <v>5.9449018754688678</v>
      </c>
    </row>
    <row r="49" spans="2:17" x14ac:dyDescent="0.25">
      <c r="B49" s="264" t="s">
        <v>93</v>
      </c>
      <c r="C49" s="258" t="s">
        <v>32</v>
      </c>
      <c r="D49" s="304">
        <v>19712.810000000001</v>
      </c>
      <c r="E49" s="304">
        <v>13200</v>
      </c>
      <c r="F49" s="263">
        <v>1.4933946969696972</v>
      </c>
    </row>
    <row r="50" spans="2:17" x14ac:dyDescent="0.25">
      <c r="B50" s="264" t="s">
        <v>94</v>
      </c>
      <c r="C50" s="258" t="s">
        <v>29</v>
      </c>
      <c r="D50" s="304">
        <v>507602.78</v>
      </c>
      <c r="E50" s="304">
        <v>849250</v>
      </c>
      <c r="F50" s="263">
        <v>0.59770712982042984</v>
      </c>
    </row>
    <row r="51" spans="2:17" x14ac:dyDescent="0.25">
      <c r="B51" s="264" t="s">
        <v>95</v>
      </c>
      <c r="C51" s="258" t="s">
        <v>30</v>
      </c>
      <c r="D51" s="304">
        <v>52279.6</v>
      </c>
      <c r="E51" s="304">
        <v>46150</v>
      </c>
      <c r="F51" s="263">
        <v>1.132819068255688</v>
      </c>
    </row>
    <row r="52" spans="2:17" x14ac:dyDescent="0.25">
      <c r="B52" s="266" t="s">
        <v>0</v>
      </c>
      <c r="C52" s="259"/>
      <c r="D52" s="303">
        <v>1214821.26</v>
      </c>
      <c r="E52" s="303">
        <v>1274697.04</v>
      </c>
      <c r="F52" s="262">
        <v>0.95302744250508342</v>
      </c>
    </row>
    <row r="53" spans="2:17" x14ac:dyDescent="0.25">
      <c r="B53" s="264" t="s">
        <v>71</v>
      </c>
      <c r="C53" s="258" t="s">
        <v>13</v>
      </c>
      <c r="D53" s="304">
        <v>681.98</v>
      </c>
      <c r="E53" s="304" t="s">
        <v>130</v>
      </c>
      <c r="F53" s="262" t="s">
        <v>125</v>
      </c>
    </row>
    <row r="54" spans="2:17" x14ac:dyDescent="0.25">
      <c r="B54" s="264" t="s">
        <v>72</v>
      </c>
      <c r="C54" s="258" t="s">
        <v>14</v>
      </c>
      <c r="D54" s="304">
        <v>14433.63</v>
      </c>
      <c r="E54" s="304" t="s">
        <v>130</v>
      </c>
      <c r="F54" s="262" t="s">
        <v>125</v>
      </c>
    </row>
    <row r="55" spans="2:17" x14ac:dyDescent="0.25">
      <c r="B55" s="264" t="s">
        <v>73</v>
      </c>
      <c r="C55" s="258" t="s">
        <v>15</v>
      </c>
      <c r="D55" s="304">
        <v>43400.81</v>
      </c>
      <c r="E55" s="304">
        <v>3000</v>
      </c>
      <c r="F55" s="262">
        <v>14.466936666666665</v>
      </c>
    </row>
    <row r="56" spans="2:17" x14ac:dyDescent="0.25">
      <c r="B56" s="264" t="s">
        <v>74</v>
      </c>
      <c r="C56" s="258" t="s">
        <v>16</v>
      </c>
      <c r="D56" s="304">
        <v>165769.12</v>
      </c>
      <c r="E56" s="304">
        <v>160000</v>
      </c>
      <c r="F56" s="262">
        <v>1.036057</v>
      </c>
    </row>
    <row r="57" spans="2:17" x14ac:dyDescent="0.25">
      <c r="B57" s="264" t="s">
        <v>75</v>
      </c>
      <c r="C57" s="258" t="s">
        <v>17</v>
      </c>
      <c r="D57" s="304">
        <v>114004.54</v>
      </c>
      <c r="E57" s="304">
        <v>81947.039999999994</v>
      </c>
      <c r="F57" s="262">
        <v>1.3911977784676544</v>
      </c>
    </row>
    <row r="58" spans="2:17" x14ac:dyDescent="0.25">
      <c r="B58" s="264" t="s">
        <v>76</v>
      </c>
      <c r="C58" s="258" t="s">
        <v>8</v>
      </c>
      <c r="D58" s="304">
        <v>89508.12</v>
      </c>
      <c r="E58" s="304">
        <v>109750</v>
      </c>
      <c r="F58" s="262">
        <v>0.81556373576309793</v>
      </c>
    </row>
    <row r="59" spans="2:17" x14ac:dyDescent="0.25">
      <c r="B59" s="264" t="s">
        <v>77</v>
      </c>
      <c r="C59" s="258" t="s">
        <v>9</v>
      </c>
      <c r="D59" s="304">
        <v>342044.14</v>
      </c>
      <c r="E59" s="304">
        <v>432500</v>
      </c>
      <c r="F59" s="262">
        <v>0.79085350289017342</v>
      </c>
    </row>
    <row r="60" spans="2:17" x14ac:dyDescent="0.25">
      <c r="B60" s="264" t="s">
        <v>78</v>
      </c>
      <c r="C60" s="258" t="s">
        <v>10</v>
      </c>
      <c r="D60" s="304">
        <v>110109.62</v>
      </c>
      <c r="E60" s="304">
        <v>69950</v>
      </c>
      <c r="F60" s="262">
        <v>1.5741189421015009</v>
      </c>
    </row>
    <row r="61" spans="2:17" x14ac:dyDescent="0.25">
      <c r="B61" s="264" t="s">
        <v>79</v>
      </c>
      <c r="C61" s="258" t="s">
        <v>114</v>
      </c>
      <c r="D61" s="304">
        <v>97157.74</v>
      </c>
      <c r="E61" s="304">
        <v>241850</v>
      </c>
      <c r="F61" s="262">
        <v>0.40172726896836886</v>
      </c>
    </row>
    <row r="62" spans="2:17" x14ac:dyDescent="0.25">
      <c r="B62" s="264" t="s">
        <v>80</v>
      </c>
      <c r="C62" s="258" t="s">
        <v>12</v>
      </c>
      <c r="D62" s="304">
        <v>237711.56</v>
      </c>
      <c r="E62" s="304">
        <v>175700</v>
      </c>
      <c r="F62" s="262">
        <v>1.3529400113830392</v>
      </c>
      <c r="N62"/>
    </row>
    <row r="63" spans="2:17" x14ac:dyDescent="0.25">
      <c r="B63" s="266" t="s">
        <v>120</v>
      </c>
      <c r="D63" s="303">
        <v>1871421.64</v>
      </c>
      <c r="E63" s="303">
        <v>1691400</v>
      </c>
      <c r="F63" s="262">
        <v>1.1064335107011942</v>
      </c>
    </row>
    <row r="64" spans="2:17" x14ac:dyDescent="0.25">
      <c r="B64" s="271" t="s">
        <v>97</v>
      </c>
      <c r="C64" s="258" t="s">
        <v>35</v>
      </c>
      <c r="D64" s="304">
        <v>240113.32</v>
      </c>
      <c r="E64" s="304">
        <v>156099.99999999997</v>
      </c>
      <c r="F64" s="262">
        <v>1.5382019218449714</v>
      </c>
      <c r="H64" s="271"/>
      <c r="I64" s="272"/>
      <c r="J64" s="262"/>
      <c r="K64" s="262"/>
      <c r="L64" s="262"/>
      <c r="M64" s="262"/>
      <c r="N64" s="262"/>
      <c r="O64" s="262"/>
      <c r="P64" s="262"/>
      <c r="Q64" s="262"/>
    </row>
    <row r="65" spans="2:17" x14ac:dyDescent="0.25">
      <c r="B65" s="271" t="s">
        <v>98</v>
      </c>
      <c r="C65" s="258" t="s">
        <v>34</v>
      </c>
      <c r="D65" s="304">
        <v>100908.64000000001</v>
      </c>
      <c r="E65" s="304">
        <v>162599.99999999997</v>
      </c>
      <c r="F65" s="262">
        <v>0.62059434194341967</v>
      </c>
      <c r="H65" s="271"/>
      <c r="I65" s="275"/>
      <c r="J65" s="274"/>
      <c r="K65" s="274"/>
      <c r="L65" s="350"/>
      <c r="M65" s="350"/>
      <c r="N65" s="350"/>
      <c r="O65" s="350"/>
      <c r="P65" s="350"/>
      <c r="Q65" s="350"/>
    </row>
    <row r="66" spans="2:17" x14ac:dyDescent="0.25">
      <c r="B66" s="271" t="s">
        <v>99</v>
      </c>
      <c r="C66" s="258" t="s">
        <v>36</v>
      </c>
      <c r="D66" s="304">
        <v>124763.91000000002</v>
      </c>
      <c r="E66" s="304">
        <v>95099.999999999985</v>
      </c>
      <c r="F66" s="262">
        <v>1.3119233438485809</v>
      </c>
      <c r="H66" s="271"/>
      <c r="I66" s="275"/>
      <c r="J66" s="273"/>
      <c r="K66" s="274"/>
    </row>
    <row r="67" spans="2:17" x14ac:dyDescent="0.25">
      <c r="B67" s="271" t="s">
        <v>100</v>
      </c>
      <c r="C67" s="258" t="s">
        <v>37</v>
      </c>
      <c r="D67" s="304">
        <v>139731.62999999998</v>
      </c>
      <c r="E67" s="304">
        <v>192700</v>
      </c>
      <c r="F67" s="262">
        <v>0.72512522055007766</v>
      </c>
      <c r="H67" s="271"/>
      <c r="I67" s="275"/>
      <c r="J67" s="273"/>
      <c r="K67" s="274"/>
    </row>
    <row r="68" spans="2:17" x14ac:dyDescent="0.25">
      <c r="B68" s="271" t="s">
        <v>101</v>
      </c>
      <c r="C68" s="258" t="s">
        <v>39</v>
      </c>
      <c r="D68" s="304">
        <v>71056.52</v>
      </c>
      <c r="E68" s="304">
        <v>45150</v>
      </c>
      <c r="F68" s="262">
        <v>1.5737878183831673</v>
      </c>
      <c r="H68" s="271"/>
      <c r="I68" s="275"/>
      <c r="J68" s="273"/>
      <c r="K68" s="274"/>
    </row>
    <row r="69" spans="2:17" x14ac:dyDescent="0.25">
      <c r="B69" s="271" t="s">
        <v>102</v>
      </c>
      <c r="C69" s="258" t="s">
        <v>38</v>
      </c>
      <c r="D69" s="304">
        <v>68424.709999999992</v>
      </c>
      <c r="E69" s="304">
        <v>165100</v>
      </c>
      <c r="F69" s="262">
        <v>0.414444033918837</v>
      </c>
      <c r="H69" s="271"/>
      <c r="I69" s="275"/>
      <c r="J69" s="273"/>
      <c r="K69" s="274"/>
    </row>
    <row r="70" spans="2:17" x14ac:dyDescent="0.25">
      <c r="B70" s="271" t="s">
        <v>103</v>
      </c>
      <c r="C70" s="258" t="s">
        <v>33</v>
      </c>
      <c r="D70" s="304">
        <v>306976.50000000006</v>
      </c>
      <c r="E70" s="304">
        <v>206750</v>
      </c>
      <c r="F70" s="262">
        <v>1.48477146311971</v>
      </c>
      <c r="H70" s="271"/>
      <c r="I70" s="275"/>
      <c r="J70" s="273"/>
      <c r="K70" s="274"/>
    </row>
    <row r="71" spans="2:17" x14ac:dyDescent="0.25">
      <c r="B71" s="271" t="s">
        <v>104</v>
      </c>
      <c r="C71" s="258" t="s">
        <v>40</v>
      </c>
      <c r="D71" s="304">
        <v>819446.40999999992</v>
      </c>
      <c r="E71" s="304">
        <v>667900.00000000012</v>
      </c>
      <c r="F71" s="262">
        <v>1.2268998502769872</v>
      </c>
      <c r="H71" s="271"/>
      <c r="I71" s="275"/>
      <c r="J71" s="273"/>
      <c r="K71" s="274"/>
    </row>
    <row r="72" spans="2:17" x14ac:dyDescent="0.25">
      <c r="B72" s="266" t="s">
        <v>121</v>
      </c>
      <c r="D72" s="303">
        <v>2757146.69</v>
      </c>
      <c r="E72" s="303">
        <v>2581300</v>
      </c>
      <c r="F72" s="262">
        <v>1.0681233060860806</v>
      </c>
      <c r="H72" s="276"/>
      <c r="I72" s="277"/>
      <c r="J72" s="278"/>
      <c r="K72" s="274"/>
    </row>
    <row r="73" spans="2:17" x14ac:dyDescent="0.25">
      <c r="B73" s="271" t="s">
        <v>106</v>
      </c>
      <c r="C73" s="258" t="s">
        <v>41</v>
      </c>
      <c r="D73" s="304">
        <v>367080.19</v>
      </c>
      <c r="E73" s="304">
        <v>230300</v>
      </c>
      <c r="F73" s="262">
        <v>1.5939217976552322</v>
      </c>
      <c r="H73" s="271"/>
      <c r="I73" s="272"/>
      <c r="J73" s="273"/>
      <c r="K73" s="274"/>
    </row>
    <row r="74" spans="2:17" x14ac:dyDescent="0.25">
      <c r="B74" s="271" t="s">
        <v>107</v>
      </c>
      <c r="C74" s="258" t="s">
        <v>42</v>
      </c>
      <c r="D74" s="304">
        <v>316779.38</v>
      </c>
      <c r="E74" s="304">
        <v>308400.00000000006</v>
      </c>
      <c r="F74" s="262">
        <v>1.0271704928664072</v>
      </c>
      <c r="H74" s="271"/>
      <c r="I74" s="272"/>
      <c r="J74" s="273"/>
      <c r="K74" s="274"/>
    </row>
    <row r="75" spans="2:17" x14ac:dyDescent="0.25">
      <c r="B75" s="271" t="s">
        <v>108</v>
      </c>
      <c r="C75" s="258" t="s">
        <v>47</v>
      </c>
      <c r="D75" s="304">
        <v>270360.45</v>
      </c>
      <c r="E75" s="304">
        <v>203499.99999999997</v>
      </c>
      <c r="F75" s="262">
        <v>1.3285525798525801</v>
      </c>
      <c r="H75" s="271"/>
      <c r="I75" s="272"/>
      <c r="J75" s="273"/>
      <c r="K75" s="274"/>
    </row>
    <row r="76" spans="2:17" x14ac:dyDescent="0.25">
      <c r="B76" s="271" t="s">
        <v>109</v>
      </c>
      <c r="C76" s="258" t="s">
        <v>44</v>
      </c>
      <c r="D76" s="304">
        <v>292418.36000000004</v>
      </c>
      <c r="E76" s="304">
        <v>321900.00000000006</v>
      </c>
      <c r="F76" s="262">
        <v>0.90841366884125507</v>
      </c>
      <c r="H76" s="271"/>
      <c r="I76" s="272"/>
      <c r="J76" s="273"/>
      <c r="K76" s="274"/>
    </row>
    <row r="77" spans="2:17" x14ac:dyDescent="0.25">
      <c r="B77" s="271" t="s">
        <v>110</v>
      </c>
      <c r="C77" s="258" t="s">
        <v>48</v>
      </c>
      <c r="D77" s="304">
        <v>374854.18999999994</v>
      </c>
      <c r="E77" s="304">
        <v>502499.95999999996</v>
      </c>
      <c r="F77" s="262">
        <v>0.74597854694356591</v>
      </c>
      <c r="H77" s="271"/>
      <c r="I77" s="272"/>
      <c r="J77" s="273"/>
      <c r="K77" s="274"/>
    </row>
    <row r="78" spans="2:17" x14ac:dyDescent="0.25">
      <c r="B78" s="271" t="s">
        <v>111</v>
      </c>
      <c r="C78" s="258" t="s">
        <v>45</v>
      </c>
      <c r="D78" s="304">
        <v>413598.69999999995</v>
      </c>
      <c r="E78" s="304">
        <v>225200</v>
      </c>
      <c r="F78" s="262">
        <v>1.8365839253996445</v>
      </c>
      <c r="H78" s="271"/>
      <c r="I78" s="272"/>
      <c r="J78" s="273"/>
      <c r="K78" s="274"/>
    </row>
    <row r="79" spans="2:17" x14ac:dyDescent="0.25">
      <c r="B79" s="271" t="s">
        <v>112</v>
      </c>
      <c r="C79" s="258" t="s">
        <v>46</v>
      </c>
      <c r="D79" s="304">
        <v>295609.27</v>
      </c>
      <c r="E79" s="304">
        <v>544900</v>
      </c>
      <c r="F79" s="262">
        <v>0.54250187190310151</v>
      </c>
      <c r="H79" s="271"/>
      <c r="I79" s="272"/>
      <c r="J79" s="273"/>
      <c r="K79" s="274"/>
    </row>
    <row r="80" spans="2:17" x14ac:dyDescent="0.25">
      <c r="B80" s="271" t="s">
        <v>113</v>
      </c>
      <c r="C80" s="258" t="s">
        <v>43</v>
      </c>
      <c r="D80" s="304">
        <v>426446.15000000008</v>
      </c>
      <c r="E80" s="304">
        <v>244600.04000000007</v>
      </c>
      <c r="F80" s="262">
        <v>1.743442683002014</v>
      </c>
      <c r="H80" s="271"/>
      <c r="I80" s="272"/>
      <c r="J80" s="273"/>
      <c r="K80" s="274"/>
    </row>
    <row r="81" spans="5:5" x14ac:dyDescent="0.25">
      <c r="E81" s="349"/>
    </row>
  </sheetData>
  <conditionalFormatting sqref="C28:BC32">
    <cfRule type="cellIs" dxfId="24" priority="1" operator="greaterThanOrEqual">
      <formula>0</formula>
    </cfRule>
    <cfRule type="cellIs" dxfId="23" priority="2" operator="lessThan">
      <formula>0</formula>
    </cfRule>
  </conditionalFormatting>
  <conditionalFormatting sqref="I24:I26">
    <cfRule type="cellIs" dxfId="22" priority="7" operator="lessThan">
      <formula>0</formula>
    </cfRule>
  </conditionalFormatting>
  <conditionalFormatting sqref="I20:BC23 C22:H22 C24:H24 J24:BC24 I24:I26 AH25:BC26">
    <cfRule type="cellIs" dxfId="21" priority="8" operator="greaterThan">
      <formula>0</formula>
    </cfRule>
  </conditionalFormatting>
  <conditionalFormatting sqref="I20:BC23 C22:H22 C24:H24 J24:BC24 AH25:BC26">
    <cfRule type="cellIs" dxfId="20" priority="9" operator="lessThan">
      <formula>0</formula>
    </cfRule>
  </conditionalFormatting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E832-C441-4201-B075-6FE6D047AD95}">
  <dimension ref="A1:BE81"/>
  <sheetViews>
    <sheetView workbookViewId="0">
      <pane xSplit="2" topLeftCell="C1" activePane="topRight" state="frozen"/>
      <selection pane="topRight" sqref="A1:XFD1048576"/>
    </sheetView>
  </sheetViews>
  <sheetFormatPr defaultColWidth="9.140625" defaultRowHeight="15" x14ac:dyDescent="0.25"/>
  <cols>
    <col min="1" max="1" width="9.140625" style="258"/>
    <col min="2" max="2" width="29.140625" style="264" customWidth="1"/>
    <col min="3" max="3" width="9.140625" style="258" customWidth="1"/>
    <col min="4" max="4" width="15.28515625" style="258" customWidth="1"/>
    <col min="5" max="5" width="17" style="258" bestFit="1" customWidth="1"/>
    <col min="6" max="6" width="9.140625" style="258" customWidth="1"/>
    <col min="7" max="7" width="9.28515625" style="258" bestFit="1" customWidth="1"/>
    <col min="8" max="8" width="10.42578125" style="258" bestFit="1" customWidth="1"/>
    <col min="9" max="10" width="9.140625" style="258" customWidth="1"/>
    <col min="11" max="12" width="10.5703125" style="258" customWidth="1"/>
    <col min="13" max="13" width="11" style="258" customWidth="1"/>
    <col min="14" max="34" width="9.140625" style="258" customWidth="1"/>
    <col min="35" max="35" width="10.42578125" style="258" customWidth="1"/>
    <col min="36" max="36" width="9.140625" style="258" customWidth="1"/>
    <col min="37" max="38" width="9.7109375" style="258" bestFit="1" customWidth="1"/>
    <col min="39" max="39" width="10.140625" style="258" customWidth="1"/>
    <col min="40" max="40" width="9.140625" style="258" customWidth="1"/>
    <col min="41" max="42" width="9.7109375" style="258" bestFit="1" customWidth="1"/>
    <col min="43" max="43" width="9.140625" style="258" customWidth="1"/>
    <col min="44" max="47" width="9.7109375" style="258" bestFit="1" customWidth="1"/>
    <col min="48" max="48" width="9.140625" style="258" customWidth="1"/>
    <col min="49" max="49" width="8.7109375" style="258" bestFit="1" customWidth="1"/>
    <col min="50" max="50" width="10" style="258" bestFit="1" customWidth="1"/>
    <col min="51" max="51" width="10.42578125" style="258" bestFit="1" customWidth="1"/>
    <col min="52" max="52" width="9.140625" style="258"/>
    <col min="53" max="53" width="9.7109375" style="258" bestFit="1" customWidth="1"/>
    <col min="54" max="54" width="10" style="258" bestFit="1" customWidth="1"/>
    <col min="55" max="55" width="10.42578125" style="258" bestFit="1" customWidth="1"/>
    <col min="56" max="56" width="9.140625" style="258"/>
    <col min="57" max="57" width="12.140625" style="258" bestFit="1" customWidth="1"/>
    <col min="58" max="16384" width="9.140625" style="258"/>
  </cols>
  <sheetData>
    <row r="1" spans="1:57" x14ac:dyDescent="0.25">
      <c r="BE1" s="258" t="s">
        <v>157</v>
      </c>
    </row>
    <row r="2" spans="1:57" x14ac:dyDescent="0.25">
      <c r="A2" s="318"/>
      <c r="B2" s="342" t="s">
        <v>124</v>
      </c>
      <c r="C2" s="320" t="s">
        <v>2</v>
      </c>
      <c r="D2" s="320" t="s">
        <v>3</v>
      </c>
      <c r="E2" s="320" t="s">
        <v>4</v>
      </c>
      <c r="F2" s="320" t="s">
        <v>5</v>
      </c>
      <c r="G2" s="320" t="s">
        <v>6</v>
      </c>
      <c r="H2" s="320" t="s">
        <v>7</v>
      </c>
      <c r="I2" s="319" t="s">
        <v>8</v>
      </c>
      <c r="J2" s="319" t="s">
        <v>9</v>
      </c>
      <c r="K2" s="319" t="s">
        <v>10</v>
      </c>
      <c r="L2" s="319" t="s">
        <v>114</v>
      </c>
      <c r="M2" s="319" t="s">
        <v>12</v>
      </c>
      <c r="N2" s="319" t="s">
        <v>13</v>
      </c>
      <c r="O2" s="319" t="s">
        <v>14</v>
      </c>
      <c r="P2" s="319" t="s">
        <v>15</v>
      </c>
      <c r="Q2" s="319" t="s">
        <v>16</v>
      </c>
      <c r="R2" s="319" t="s">
        <v>17</v>
      </c>
      <c r="S2" s="319" t="s">
        <v>18</v>
      </c>
      <c r="T2" s="319" t="s">
        <v>19</v>
      </c>
      <c r="U2" s="319" t="s">
        <v>20</v>
      </c>
      <c r="V2" s="319" t="s">
        <v>21</v>
      </c>
      <c r="W2" s="319" t="s">
        <v>22</v>
      </c>
      <c r="X2" s="319" t="s">
        <v>23</v>
      </c>
      <c r="Y2" s="319" t="s">
        <v>24</v>
      </c>
      <c r="Z2" s="319" t="s">
        <v>25</v>
      </c>
      <c r="AA2" s="319" t="s">
        <v>26</v>
      </c>
      <c r="AB2" s="319" t="s">
        <v>27</v>
      </c>
      <c r="AC2" s="319" t="s">
        <v>28</v>
      </c>
      <c r="AD2" s="319" t="s">
        <v>29</v>
      </c>
      <c r="AE2" s="319" t="s">
        <v>30</v>
      </c>
      <c r="AF2" s="319" t="s">
        <v>31</v>
      </c>
      <c r="AG2" s="319" t="s">
        <v>32</v>
      </c>
      <c r="AH2" s="319" t="s">
        <v>34</v>
      </c>
      <c r="AI2" s="319" t="s">
        <v>35</v>
      </c>
      <c r="AJ2" s="319" t="s">
        <v>36</v>
      </c>
      <c r="AK2" s="319" t="s">
        <v>37</v>
      </c>
      <c r="AL2" s="319" t="s">
        <v>38</v>
      </c>
      <c r="AM2" s="319" t="s">
        <v>39</v>
      </c>
      <c r="AN2" s="319" t="s">
        <v>33</v>
      </c>
      <c r="AO2" s="319" t="s">
        <v>40</v>
      </c>
      <c r="AP2" s="319" t="s">
        <v>41</v>
      </c>
      <c r="AQ2" s="319" t="s">
        <v>42</v>
      </c>
      <c r="AR2" s="319" t="s">
        <v>43</v>
      </c>
      <c r="AS2" s="319" t="s">
        <v>44</v>
      </c>
      <c r="AT2" s="319" t="s">
        <v>45</v>
      </c>
      <c r="AU2" s="319" t="s">
        <v>46</v>
      </c>
      <c r="AV2" s="319" t="s">
        <v>47</v>
      </c>
      <c r="AW2" s="319" t="s">
        <v>48</v>
      </c>
      <c r="AX2" s="319" t="s">
        <v>49</v>
      </c>
      <c r="AY2" s="319" t="s">
        <v>50</v>
      </c>
      <c r="AZ2" s="321" t="s">
        <v>51</v>
      </c>
      <c r="BA2" s="319" t="s">
        <v>52</v>
      </c>
      <c r="BB2" s="319" t="s">
        <v>53</v>
      </c>
      <c r="BC2" s="319" t="s">
        <v>54</v>
      </c>
      <c r="BE2" s="319" t="s">
        <v>158</v>
      </c>
    </row>
    <row r="3" spans="1:57" x14ac:dyDescent="0.25">
      <c r="A3" s="318"/>
      <c r="B3" s="346" t="s">
        <v>62</v>
      </c>
      <c r="C3" s="361">
        <v>2612</v>
      </c>
      <c r="D3" s="361">
        <v>39142</v>
      </c>
      <c r="E3" s="361">
        <v>38539</v>
      </c>
      <c r="F3" s="361">
        <v>3807</v>
      </c>
      <c r="G3" s="361">
        <v>7100</v>
      </c>
      <c r="H3" s="361">
        <v>2715</v>
      </c>
      <c r="I3" s="323">
        <v>15865</v>
      </c>
      <c r="J3" s="323">
        <v>32600</v>
      </c>
      <c r="K3" s="323">
        <v>64571</v>
      </c>
      <c r="L3" s="323">
        <v>17958</v>
      </c>
      <c r="M3" s="323">
        <v>32411</v>
      </c>
      <c r="N3" s="323">
        <v>5461</v>
      </c>
      <c r="O3" s="323">
        <v>4116</v>
      </c>
      <c r="P3" s="323">
        <v>5263</v>
      </c>
      <c r="Q3" s="323">
        <v>16288</v>
      </c>
      <c r="R3" s="323">
        <v>2103</v>
      </c>
      <c r="S3" s="324">
        <v>23070.409999999996</v>
      </c>
      <c r="T3" s="324">
        <v>28050.6</v>
      </c>
      <c r="U3" s="324">
        <v>27812.43</v>
      </c>
      <c r="V3" s="324">
        <v>67575.3</v>
      </c>
      <c r="W3" s="324">
        <v>28498.280000000002</v>
      </c>
      <c r="X3" s="324">
        <v>28731.629999999994</v>
      </c>
      <c r="Y3" s="324">
        <v>40688.920000000006</v>
      </c>
      <c r="Z3" s="324">
        <v>44196.580000000009</v>
      </c>
      <c r="AA3" s="324">
        <v>19284.52</v>
      </c>
      <c r="AB3" s="324">
        <v>27813.3</v>
      </c>
      <c r="AC3" s="324">
        <v>35159.889999999992</v>
      </c>
      <c r="AD3" s="324">
        <v>63115.44</v>
      </c>
      <c r="AE3" s="324">
        <v>10548.92</v>
      </c>
      <c r="AF3" s="324">
        <v>-4.3600000000000003</v>
      </c>
      <c r="AG3" s="324">
        <v>698.0100000000001</v>
      </c>
      <c r="AH3" s="325">
        <v>10927.9</v>
      </c>
      <c r="AI3" s="325">
        <v>21967.190000000006</v>
      </c>
      <c r="AJ3" s="325">
        <v>12487.470000000003</v>
      </c>
      <c r="AK3" s="325">
        <v>12379.980000000001</v>
      </c>
      <c r="AL3" s="325">
        <v>22866.130000000005</v>
      </c>
      <c r="AM3" s="325">
        <v>1866.9</v>
      </c>
      <c r="AN3" s="325">
        <v>21660.65</v>
      </c>
      <c r="AO3" s="325">
        <v>25022.959999999999</v>
      </c>
      <c r="AP3" s="325">
        <v>20363.32</v>
      </c>
      <c r="AQ3" s="325">
        <v>24497.02</v>
      </c>
      <c r="AR3" s="325">
        <v>27278.78</v>
      </c>
      <c r="AS3" s="325">
        <v>31642.03</v>
      </c>
      <c r="AT3" s="325">
        <v>47108.270000000004</v>
      </c>
      <c r="AU3" s="325">
        <v>21213.699999999997</v>
      </c>
      <c r="AV3" s="325">
        <v>29580.780000000002</v>
      </c>
      <c r="AW3" s="325">
        <v>31325.909999999996</v>
      </c>
      <c r="AX3" s="323">
        <v>34405.39</v>
      </c>
      <c r="AY3" s="323">
        <v>36660.54</v>
      </c>
      <c r="AZ3" s="326"/>
      <c r="BA3" s="359">
        <v>18152.060000000001</v>
      </c>
      <c r="BB3" s="323">
        <v>13825.83</v>
      </c>
      <c r="BC3" s="323">
        <v>21998.050000000003</v>
      </c>
      <c r="BE3" s="323">
        <v>40632</v>
      </c>
    </row>
    <row r="4" spans="1:57" x14ac:dyDescent="0.25">
      <c r="A4" s="318"/>
      <c r="B4" s="346" t="s">
        <v>63</v>
      </c>
      <c r="C4" s="361">
        <v>1362</v>
      </c>
      <c r="D4" s="362">
        <v>359</v>
      </c>
      <c r="E4" s="361">
        <v>11575</v>
      </c>
      <c r="F4" s="361">
        <v>3647</v>
      </c>
      <c r="G4" s="362">
        <v>-494</v>
      </c>
      <c r="H4" s="362">
        <v>-65</v>
      </c>
      <c r="I4" s="323">
        <v>9992</v>
      </c>
      <c r="J4" s="323">
        <v>2743</v>
      </c>
      <c r="K4" s="323">
        <v>8675</v>
      </c>
      <c r="L4" s="323">
        <v>39004</v>
      </c>
      <c r="M4" s="323">
        <v>3928</v>
      </c>
      <c r="N4" s="323">
        <v>32882</v>
      </c>
      <c r="O4" s="323">
        <v>15586</v>
      </c>
      <c r="P4" s="323">
        <v>7184</v>
      </c>
      <c r="Q4" s="323">
        <v>33482</v>
      </c>
      <c r="R4" s="323">
        <v>0</v>
      </c>
      <c r="S4" s="324">
        <v>10528.45</v>
      </c>
      <c r="T4" s="324">
        <v>5482.62</v>
      </c>
      <c r="U4" s="324">
        <v>8265.4000000000015</v>
      </c>
      <c r="V4" s="324">
        <v>11988.46</v>
      </c>
      <c r="W4" s="324">
        <v>10028.24</v>
      </c>
      <c r="X4" s="324">
        <v>12775.159999999998</v>
      </c>
      <c r="Y4" s="324">
        <v>16396.28</v>
      </c>
      <c r="Z4" s="324">
        <v>116707.26999999999</v>
      </c>
      <c r="AA4" s="324">
        <v>15901.19</v>
      </c>
      <c r="AB4" s="324">
        <v>37600.329999999994</v>
      </c>
      <c r="AC4" s="324">
        <v>30624.400000000001</v>
      </c>
      <c r="AD4" s="324">
        <v>16103.739999999998</v>
      </c>
      <c r="AE4" s="324">
        <v>10318.61</v>
      </c>
      <c r="AF4" s="324">
        <v>0</v>
      </c>
      <c r="AG4" s="324">
        <v>0</v>
      </c>
      <c r="AH4" s="325">
        <v>21876.55</v>
      </c>
      <c r="AI4" s="325">
        <v>117639.75</v>
      </c>
      <c r="AJ4" s="325">
        <v>19993.179999999993</v>
      </c>
      <c r="AK4" s="325">
        <v>32288.98</v>
      </c>
      <c r="AL4" s="325">
        <v>29188.940000000002</v>
      </c>
      <c r="AM4" s="325">
        <v>19254.579999999998</v>
      </c>
      <c r="AN4" s="325">
        <v>26910.379999999997</v>
      </c>
      <c r="AO4" s="325">
        <v>126000.26</v>
      </c>
      <c r="AP4" s="325">
        <v>84504.61</v>
      </c>
      <c r="AQ4" s="325">
        <v>44922.02</v>
      </c>
      <c r="AR4" s="325">
        <v>136160.01999999999</v>
      </c>
      <c r="AS4" s="325">
        <v>45627.57</v>
      </c>
      <c r="AT4" s="325">
        <v>92335.26</v>
      </c>
      <c r="AU4" s="325">
        <v>130277.49000000002</v>
      </c>
      <c r="AV4" s="325">
        <v>62921.950000000004</v>
      </c>
      <c r="AW4" s="325">
        <v>32300.61</v>
      </c>
      <c r="AX4" s="323">
        <v>56537.930000000008</v>
      </c>
      <c r="AY4" s="323">
        <v>291763.46999999997</v>
      </c>
      <c r="AZ4" s="326"/>
      <c r="BA4" s="359">
        <v>17286.649999999998</v>
      </c>
      <c r="BB4" s="323">
        <v>19212.509999999998</v>
      </c>
      <c r="BC4" s="323">
        <v>115194.55999999998</v>
      </c>
      <c r="BE4" s="323">
        <v>78388</v>
      </c>
    </row>
    <row r="5" spans="1:57" x14ac:dyDescent="0.25">
      <c r="A5" s="318"/>
      <c r="B5" s="346" t="s">
        <v>151</v>
      </c>
      <c r="C5" s="362">
        <v>0</v>
      </c>
      <c r="D5" s="362">
        <v>0</v>
      </c>
      <c r="E5" s="361">
        <v>29385</v>
      </c>
      <c r="F5" s="362">
        <v>0</v>
      </c>
      <c r="G5" s="361">
        <v>11323</v>
      </c>
      <c r="H5" s="361">
        <v>438375</v>
      </c>
      <c r="I5" s="323">
        <v>0</v>
      </c>
      <c r="J5" s="323">
        <v>1796</v>
      </c>
      <c r="K5" s="323">
        <v>13433</v>
      </c>
      <c r="L5" s="323">
        <v>0</v>
      </c>
      <c r="M5" s="323">
        <v>5949</v>
      </c>
      <c r="N5" s="323">
        <v>41837</v>
      </c>
      <c r="O5" s="323">
        <v>36204</v>
      </c>
      <c r="P5" s="323">
        <v>63556</v>
      </c>
      <c r="Q5" s="323">
        <v>70937</v>
      </c>
      <c r="R5" s="323">
        <v>599648</v>
      </c>
      <c r="S5" s="324">
        <v>0</v>
      </c>
      <c r="T5" s="324">
        <v>3571.07</v>
      </c>
      <c r="U5" s="324">
        <v>0</v>
      </c>
      <c r="V5" s="324">
        <v>0</v>
      </c>
      <c r="W5" s="324">
        <v>5805.6</v>
      </c>
      <c r="X5" s="324">
        <v>0</v>
      </c>
      <c r="Y5" s="324">
        <v>0</v>
      </c>
      <c r="Z5" s="324">
        <v>83492.930000000008</v>
      </c>
      <c r="AA5" s="324">
        <v>139505.62</v>
      </c>
      <c r="AB5" s="324">
        <v>182459.42</v>
      </c>
      <c r="AC5" s="324">
        <v>221599.30999999997</v>
      </c>
      <c r="AD5" s="324">
        <v>16843.75</v>
      </c>
      <c r="AE5" s="324">
        <v>45231.03</v>
      </c>
      <c r="AF5" s="324">
        <v>829568.37</v>
      </c>
      <c r="AG5" s="324">
        <v>870472.67000000016</v>
      </c>
      <c r="AH5" s="325">
        <v>24447.190000000002</v>
      </c>
      <c r="AI5" s="325">
        <v>109959.50000000001</v>
      </c>
      <c r="AJ5" s="325">
        <v>15462.540000000005</v>
      </c>
      <c r="AK5" s="325">
        <v>72735.19</v>
      </c>
      <c r="AL5" s="325">
        <v>61190.889999999992</v>
      </c>
      <c r="AM5" s="325">
        <v>46002.180000000008</v>
      </c>
      <c r="AN5" s="325">
        <v>77477.649999999994</v>
      </c>
      <c r="AO5" s="325">
        <v>181538.61000000002</v>
      </c>
      <c r="AP5" s="325">
        <v>210010.01000000004</v>
      </c>
      <c r="AQ5" s="325">
        <v>39108.699999999997</v>
      </c>
      <c r="AR5" s="325">
        <v>147693.30000000002</v>
      </c>
      <c r="AS5" s="325">
        <v>126076.48000000001</v>
      </c>
      <c r="AT5" s="325">
        <v>46291.96</v>
      </c>
      <c r="AU5" s="325">
        <v>121220.43</v>
      </c>
      <c r="AV5" s="325">
        <v>44900.04</v>
      </c>
      <c r="AW5" s="325">
        <v>34501.050000000003</v>
      </c>
      <c r="AX5" s="323">
        <v>115831.79000000001</v>
      </c>
      <c r="AY5" s="323">
        <v>177201.39999999997</v>
      </c>
      <c r="AZ5" s="326"/>
      <c r="BA5" s="359">
        <v>46966.310000000005</v>
      </c>
      <c r="BB5" s="323">
        <v>54433.259999999995</v>
      </c>
      <c r="BC5" s="323">
        <v>147902.31</v>
      </c>
      <c r="BE5" s="323">
        <v>183247</v>
      </c>
    </row>
    <row r="6" spans="1:57" x14ac:dyDescent="0.25">
      <c r="A6" s="318"/>
      <c r="B6" s="347" t="s">
        <v>155</v>
      </c>
      <c r="C6" s="362">
        <v>646</v>
      </c>
      <c r="D6" s="361">
        <v>42092</v>
      </c>
      <c r="E6" s="361">
        <v>63395</v>
      </c>
      <c r="F6" s="361">
        <v>2340</v>
      </c>
      <c r="G6" s="361">
        <v>6225</v>
      </c>
      <c r="H6" s="361">
        <v>17305</v>
      </c>
      <c r="I6" s="323">
        <v>24071</v>
      </c>
      <c r="J6" s="323">
        <v>13317</v>
      </c>
      <c r="K6" s="323">
        <v>64314</v>
      </c>
      <c r="L6" s="323">
        <v>3919</v>
      </c>
      <c r="M6" s="323">
        <v>39561</v>
      </c>
      <c r="N6" s="323">
        <v>23950</v>
      </c>
      <c r="O6" s="323">
        <v>9412</v>
      </c>
      <c r="P6" s="323">
        <v>5915</v>
      </c>
      <c r="Q6" s="323">
        <v>17494</v>
      </c>
      <c r="R6" s="323">
        <v>9434</v>
      </c>
      <c r="S6" s="323">
        <v>26979.9</v>
      </c>
      <c r="T6" s="323">
        <v>26518.89</v>
      </c>
      <c r="U6" s="323">
        <v>32944.69</v>
      </c>
      <c r="V6" s="323">
        <v>26290</v>
      </c>
      <c r="W6" s="323">
        <v>13324.71</v>
      </c>
      <c r="X6" s="323">
        <v>14104.78</v>
      </c>
      <c r="Y6" s="323">
        <v>26815.16</v>
      </c>
      <c r="Z6" s="323">
        <v>17838.429999999997</v>
      </c>
      <c r="AA6" s="323">
        <v>20120</v>
      </c>
      <c r="AB6" s="323">
        <v>15437.14</v>
      </c>
      <c r="AC6" s="323">
        <v>20692.330000000002</v>
      </c>
      <c r="AD6" s="323">
        <v>31846.329999999998</v>
      </c>
      <c r="AE6" s="323">
        <v>6630.02</v>
      </c>
      <c r="AF6" s="323">
        <v>18185.16</v>
      </c>
      <c r="AG6" s="323">
        <v>26946.34</v>
      </c>
      <c r="AH6" s="325">
        <v>10529.67</v>
      </c>
      <c r="AI6" s="325">
        <v>27381.01</v>
      </c>
      <c r="AJ6" s="325">
        <v>3476.0099999999989</v>
      </c>
      <c r="AK6" s="325">
        <v>30072.71</v>
      </c>
      <c r="AL6" s="325">
        <v>11365.180000000004</v>
      </c>
      <c r="AM6" s="325">
        <v>24269.800000000003</v>
      </c>
      <c r="AN6" s="325">
        <v>14813.419999999998</v>
      </c>
      <c r="AO6" s="325">
        <v>30373.260000000009</v>
      </c>
      <c r="AP6" s="325">
        <v>12560.18</v>
      </c>
      <c r="AQ6" s="325">
        <v>19581.239999999998</v>
      </c>
      <c r="AR6" s="325">
        <v>27220.279999999995</v>
      </c>
      <c r="AS6" s="325">
        <v>22442.74</v>
      </c>
      <c r="AT6" s="325">
        <v>31733.52</v>
      </c>
      <c r="AU6" s="325">
        <v>26324.959999999999</v>
      </c>
      <c r="AV6" s="325">
        <v>15197.060000000001</v>
      </c>
      <c r="AW6" s="325">
        <v>20784.719999999998</v>
      </c>
      <c r="AX6" s="323">
        <v>31949.899999999998</v>
      </c>
      <c r="AY6" s="323">
        <v>75362.289999999979</v>
      </c>
      <c r="AZ6" s="326"/>
      <c r="BA6" s="360">
        <v>-2686.0700000000015</v>
      </c>
      <c r="BB6" s="323">
        <v>22854.590000000004</v>
      </c>
      <c r="BC6" s="323">
        <v>39649.760000000002</v>
      </c>
      <c r="BE6" s="323">
        <v>33720</v>
      </c>
    </row>
    <row r="7" spans="1:57" x14ac:dyDescent="0.25">
      <c r="A7" s="318"/>
      <c r="B7" s="341" t="s">
        <v>132</v>
      </c>
      <c r="C7" s="361">
        <v>7323</v>
      </c>
      <c r="D7" s="361">
        <v>15786</v>
      </c>
      <c r="E7" s="361">
        <v>41615</v>
      </c>
      <c r="F7" s="361">
        <v>10140</v>
      </c>
      <c r="G7" s="361">
        <v>19418</v>
      </c>
      <c r="H7" s="361">
        <v>36080</v>
      </c>
      <c r="I7" s="330">
        <v>7552</v>
      </c>
      <c r="J7" s="330">
        <v>21582</v>
      </c>
      <c r="K7" s="330">
        <v>22199</v>
      </c>
      <c r="L7" s="330">
        <v>37621</v>
      </c>
      <c r="M7" s="330">
        <v>45360</v>
      </c>
      <c r="N7" s="330">
        <v>8534</v>
      </c>
      <c r="O7" s="330">
        <v>9237</v>
      </c>
      <c r="P7" s="330">
        <v>15046</v>
      </c>
      <c r="Q7" s="330">
        <v>14498</v>
      </c>
      <c r="R7" s="330">
        <v>34077</v>
      </c>
      <c r="S7" s="323">
        <v>29401.83</v>
      </c>
      <c r="T7" s="323">
        <v>10813.27</v>
      </c>
      <c r="U7" s="323">
        <v>28233.599999999999</v>
      </c>
      <c r="V7" s="323">
        <v>12866.57</v>
      </c>
      <c r="W7" s="323">
        <v>27078.639999999999</v>
      </c>
      <c r="X7" s="323">
        <v>7727.89</v>
      </c>
      <c r="Y7" s="323">
        <v>15374.04</v>
      </c>
      <c r="Z7" s="323">
        <v>30716.44</v>
      </c>
      <c r="AA7" s="323">
        <v>22772.04</v>
      </c>
      <c r="AB7" s="323">
        <v>13566.99</v>
      </c>
      <c r="AC7" s="323">
        <v>6222.61</v>
      </c>
      <c r="AD7" s="323">
        <v>5165.88</v>
      </c>
      <c r="AE7" s="323">
        <v>9826.81</v>
      </c>
      <c r="AF7" s="323">
        <v>22895.47</v>
      </c>
      <c r="AG7" s="323">
        <v>5495.45</v>
      </c>
      <c r="AH7" s="323">
        <v>39843.910000000003</v>
      </c>
      <c r="AI7" s="323">
        <v>29081.350000000006</v>
      </c>
      <c r="AJ7" s="323">
        <v>25721.959999999992</v>
      </c>
      <c r="AK7" s="323">
        <v>43153.18</v>
      </c>
      <c r="AL7" s="323">
        <v>40641.619999999995</v>
      </c>
      <c r="AM7" s="323">
        <v>20774.810000000001</v>
      </c>
      <c r="AN7" s="323">
        <v>24463.52</v>
      </c>
      <c r="AO7" s="323">
        <v>26508.540000000005</v>
      </c>
      <c r="AP7" s="323">
        <v>26321.709999999995</v>
      </c>
      <c r="AQ7" s="323">
        <v>56016.2</v>
      </c>
      <c r="AR7" s="323">
        <v>24382.509999999995</v>
      </c>
      <c r="AS7" s="323">
        <v>10864.2</v>
      </c>
      <c r="AT7" s="323">
        <v>59647.37</v>
      </c>
      <c r="AU7" s="323">
        <v>12576.81</v>
      </c>
      <c r="AV7" s="323">
        <v>45095.189999999988</v>
      </c>
      <c r="AW7" s="323">
        <v>20435.280000000002</v>
      </c>
      <c r="AX7" s="323">
        <v>128823.86</v>
      </c>
      <c r="AY7" s="323">
        <v>44413.760000000009</v>
      </c>
      <c r="AZ7" s="326"/>
      <c r="BA7" s="359">
        <v>26029.350000000002</v>
      </c>
      <c r="BB7" s="323">
        <v>18821.399999999998</v>
      </c>
      <c r="BC7" s="323">
        <v>28421.03000000001</v>
      </c>
      <c r="BE7" s="323">
        <v>18155</v>
      </c>
    </row>
    <row r="8" spans="1:57" x14ac:dyDescent="0.25">
      <c r="A8" s="319" t="s">
        <v>148</v>
      </c>
      <c r="B8" s="347" t="s">
        <v>115</v>
      </c>
      <c r="C8" s="327"/>
      <c r="D8" s="328"/>
      <c r="E8" s="331"/>
      <c r="F8" s="331"/>
      <c r="G8" s="331"/>
      <c r="H8" s="331"/>
      <c r="I8" s="331">
        <v>0</v>
      </c>
      <c r="J8" s="331">
        <v>1.2510408897876735</v>
      </c>
      <c r="K8" s="331">
        <v>0.15344573322933958</v>
      </c>
      <c r="L8" s="331">
        <v>0</v>
      </c>
      <c r="M8" s="331">
        <v>0.67427703509804704</v>
      </c>
      <c r="N8" s="331">
        <v>-1.5248997082421589E-2</v>
      </c>
      <c r="O8" s="331">
        <v>0</v>
      </c>
      <c r="P8" s="331">
        <v>6.8014332797499841E-2</v>
      </c>
      <c r="Q8" s="331">
        <v>-8.3646382978723399E-2</v>
      </c>
      <c r="R8" s="331">
        <v>9.4288884874448392E-2</v>
      </c>
      <c r="S8" s="331">
        <v>0</v>
      </c>
      <c r="T8" s="331">
        <v>0.24597218181818181</v>
      </c>
      <c r="U8" s="331">
        <v>5.3066367508860929E-3</v>
      </c>
      <c r="V8" s="331">
        <v>7.5323479643068944E-2</v>
      </c>
      <c r="W8" s="331">
        <v>0</v>
      </c>
      <c r="X8" s="331">
        <v>0</v>
      </c>
      <c r="Y8" s="331">
        <v>0.4241845588235294</v>
      </c>
      <c r="Z8" s="331">
        <v>-1.2853498349834982E-2</v>
      </c>
      <c r="AA8" s="331">
        <v>3.8559745570195367E-3</v>
      </c>
      <c r="AB8" s="331">
        <v>-1.5191495364772271E-2</v>
      </c>
      <c r="AC8" s="331">
        <v>-1.0770384548460066E-2</v>
      </c>
      <c r="AD8" s="331">
        <v>-0.24548604751619868</v>
      </c>
      <c r="AE8" s="331">
        <v>2.1676136363636363E-2</v>
      </c>
      <c r="AF8" s="331">
        <v>7.8260642616865786E-2</v>
      </c>
      <c r="AG8" s="331">
        <v>0</v>
      </c>
      <c r="AH8" s="331">
        <v>0</v>
      </c>
      <c r="AI8" s="331">
        <v>0</v>
      </c>
      <c r="AJ8" s="331">
        <v>0</v>
      </c>
      <c r="AK8" s="331">
        <v>0</v>
      </c>
      <c r="AL8" s="331">
        <v>0</v>
      </c>
      <c r="AM8" s="331">
        <v>0</v>
      </c>
      <c r="AN8" s="331">
        <v>0</v>
      </c>
      <c r="AO8" s="331">
        <v>0</v>
      </c>
      <c r="AP8" s="331">
        <v>0</v>
      </c>
      <c r="AQ8" s="331">
        <v>0</v>
      </c>
      <c r="AR8" s="331">
        <v>0</v>
      </c>
      <c r="AS8" s="331">
        <v>0</v>
      </c>
      <c r="AT8" s="331">
        <v>0</v>
      </c>
      <c r="AU8" s="331">
        <v>0</v>
      </c>
      <c r="AV8" s="331">
        <v>0</v>
      </c>
      <c r="AW8" s="331">
        <v>0</v>
      </c>
      <c r="AX8" s="331"/>
      <c r="AY8" s="331"/>
      <c r="AZ8" s="375"/>
      <c r="BA8" s="331"/>
      <c r="BB8" s="331"/>
      <c r="BC8" s="331"/>
    </row>
    <row r="9" spans="1:57" x14ac:dyDescent="0.25">
      <c r="A9" s="319" t="s">
        <v>149</v>
      </c>
      <c r="B9" s="341" t="s">
        <v>133</v>
      </c>
      <c r="C9" s="329"/>
      <c r="D9" s="323"/>
      <c r="E9" s="328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32">
        <v>3367.13</v>
      </c>
      <c r="AI9" s="332">
        <v>13664.14</v>
      </c>
      <c r="AJ9" s="332">
        <v>2458.5500000000002</v>
      </c>
      <c r="AK9" s="332">
        <v>5676.98</v>
      </c>
      <c r="AL9" s="332">
        <v>3281.3599999999992</v>
      </c>
      <c r="AM9" s="332">
        <v>2147.2800000000002</v>
      </c>
      <c r="AN9" s="332">
        <v>7998.21</v>
      </c>
      <c r="AO9" s="332">
        <v>7457.74</v>
      </c>
      <c r="AP9" s="332">
        <v>7562.2400000000007</v>
      </c>
      <c r="AQ9" s="332">
        <v>6966.96</v>
      </c>
      <c r="AR9" s="332">
        <v>9560</v>
      </c>
      <c r="AS9" s="332">
        <v>5412.6299999999965</v>
      </c>
      <c r="AT9" s="332">
        <v>13222.4</v>
      </c>
      <c r="AU9" s="332">
        <v>10607.630000000001</v>
      </c>
      <c r="AV9" s="332">
        <v>6543.2699999999995</v>
      </c>
      <c r="AW9" s="332">
        <v>7809.62</v>
      </c>
      <c r="AX9" s="332">
        <v>9338.619999999999</v>
      </c>
      <c r="AY9" s="332">
        <v>15821.919999999998</v>
      </c>
      <c r="AZ9" s="333"/>
      <c r="BA9" s="359">
        <v>7471.63</v>
      </c>
      <c r="BB9" s="359">
        <v>9538.5999999999985</v>
      </c>
      <c r="BC9" s="359">
        <v>8111.04</v>
      </c>
    </row>
    <row r="10" spans="1:57" x14ac:dyDescent="0.25">
      <c r="C10" s="269"/>
      <c r="D10" s="269"/>
      <c r="E10" s="305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306"/>
      <c r="AI10" s="306"/>
      <c r="AJ10" s="306"/>
      <c r="AK10" s="306"/>
      <c r="AL10" s="306"/>
      <c r="AM10" s="306"/>
      <c r="AN10" s="306"/>
      <c r="AO10" s="306"/>
      <c r="AP10" s="306"/>
      <c r="AQ10" s="306"/>
      <c r="AR10" s="306"/>
      <c r="AS10" s="306"/>
      <c r="AT10" s="306"/>
      <c r="AU10" s="306"/>
      <c r="AV10" s="306"/>
      <c r="AW10" s="306"/>
      <c r="AX10" s="306"/>
      <c r="AY10" s="306"/>
      <c r="AZ10" s="306"/>
      <c r="BA10" s="306"/>
      <c r="BB10" s="306"/>
      <c r="BC10" s="306"/>
    </row>
    <row r="11" spans="1:57" x14ac:dyDescent="0.25">
      <c r="A11" s="318"/>
      <c r="B11" s="342" t="s">
        <v>159</v>
      </c>
      <c r="C11" s="320" t="s">
        <v>2</v>
      </c>
      <c r="D11" s="320" t="s">
        <v>3</v>
      </c>
      <c r="E11" s="320" t="s">
        <v>4</v>
      </c>
      <c r="F11" s="320" t="s">
        <v>5</v>
      </c>
      <c r="G11" s="320" t="s">
        <v>6</v>
      </c>
      <c r="H11" s="320" t="s">
        <v>7</v>
      </c>
      <c r="I11" s="319" t="s">
        <v>8</v>
      </c>
      <c r="J11" s="319" t="s">
        <v>9</v>
      </c>
      <c r="K11" s="319" t="s">
        <v>10</v>
      </c>
      <c r="L11" s="319" t="s">
        <v>114</v>
      </c>
      <c r="M11" s="319" t="s">
        <v>12</v>
      </c>
      <c r="N11" s="319" t="s">
        <v>13</v>
      </c>
      <c r="O11" s="319" t="s">
        <v>14</v>
      </c>
      <c r="P11" s="319" t="s">
        <v>15</v>
      </c>
      <c r="Q11" s="319" t="s">
        <v>16</v>
      </c>
      <c r="R11" s="319" t="s">
        <v>17</v>
      </c>
      <c r="S11" s="319" t="s">
        <v>18</v>
      </c>
      <c r="T11" s="319" t="s">
        <v>19</v>
      </c>
      <c r="U11" s="319" t="s">
        <v>20</v>
      </c>
      <c r="V11" s="319" t="s">
        <v>21</v>
      </c>
      <c r="W11" s="319" t="s">
        <v>22</v>
      </c>
      <c r="X11" s="319" t="s">
        <v>23</v>
      </c>
      <c r="Y11" s="319" t="s">
        <v>24</v>
      </c>
      <c r="Z11" s="319" t="s">
        <v>25</v>
      </c>
      <c r="AA11" s="319" t="s">
        <v>26</v>
      </c>
      <c r="AB11" s="319" t="s">
        <v>27</v>
      </c>
      <c r="AC11" s="319" t="s">
        <v>28</v>
      </c>
      <c r="AD11" s="319" t="s">
        <v>29</v>
      </c>
      <c r="AE11" s="319" t="s">
        <v>30</v>
      </c>
      <c r="AF11" s="319" t="s">
        <v>31</v>
      </c>
      <c r="AG11" s="319" t="s">
        <v>32</v>
      </c>
      <c r="AH11" s="319" t="s">
        <v>34</v>
      </c>
      <c r="AI11" s="319" t="s">
        <v>35</v>
      </c>
      <c r="AJ11" s="319" t="s">
        <v>36</v>
      </c>
      <c r="AK11" s="319" t="s">
        <v>37</v>
      </c>
      <c r="AL11" s="319" t="s">
        <v>38</v>
      </c>
      <c r="AM11" s="319" t="s">
        <v>39</v>
      </c>
      <c r="AN11" s="319" t="s">
        <v>33</v>
      </c>
      <c r="AO11" s="319" t="s">
        <v>40</v>
      </c>
      <c r="AP11" s="319" t="s">
        <v>41</v>
      </c>
      <c r="AQ11" s="319" t="s">
        <v>42</v>
      </c>
      <c r="AR11" s="319" t="s">
        <v>43</v>
      </c>
      <c r="AS11" s="319" t="s">
        <v>44</v>
      </c>
      <c r="AT11" s="319" t="s">
        <v>45</v>
      </c>
      <c r="AU11" s="319" t="s">
        <v>46</v>
      </c>
      <c r="AV11" s="319" t="s">
        <v>47</v>
      </c>
      <c r="AW11" s="319" t="s">
        <v>48</v>
      </c>
      <c r="AX11" s="319" t="s">
        <v>49</v>
      </c>
      <c r="AY11" s="319" t="s">
        <v>50</v>
      </c>
      <c r="AZ11" s="321" t="s">
        <v>51</v>
      </c>
      <c r="BA11" s="319" t="s">
        <v>52</v>
      </c>
      <c r="BB11" s="319" t="s">
        <v>53</v>
      </c>
      <c r="BC11" s="319" t="s">
        <v>54</v>
      </c>
      <c r="BE11" s="371" t="s">
        <v>158</v>
      </c>
    </row>
    <row r="12" spans="1:57" x14ac:dyDescent="0.25">
      <c r="A12" s="318"/>
      <c r="B12" s="341" t="s">
        <v>62</v>
      </c>
      <c r="C12" s="318"/>
      <c r="D12" s="318"/>
      <c r="E12" s="318"/>
      <c r="F12" s="318"/>
      <c r="G12" s="318"/>
      <c r="H12" s="318"/>
      <c r="I12" s="323">
        <v>26267</v>
      </c>
      <c r="J12" s="323">
        <v>46123</v>
      </c>
      <c r="K12" s="323">
        <v>80654</v>
      </c>
      <c r="L12" s="323">
        <v>12232</v>
      </c>
      <c r="M12" s="323">
        <v>43580</v>
      </c>
      <c r="N12" s="323">
        <v>17058</v>
      </c>
      <c r="O12" s="323">
        <v>6739</v>
      </c>
      <c r="P12" s="323">
        <v>7686</v>
      </c>
      <c r="Q12" s="323">
        <v>20221</v>
      </c>
      <c r="R12" s="323">
        <v>282</v>
      </c>
      <c r="S12" s="323">
        <v>15682.959999999997</v>
      </c>
      <c r="T12" s="323">
        <v>16800.349999999999</v>
      </c>
      <c r="U12" s="323">
        <v>19633.23</v>
      </c>
      <c r="V12" s="323">
        <v>28104.899999999998</v>
      </c>
      <c r="W12" s="323">
        <v>19352.18</v>
      </c>
      <c r="X12" s="323">
        <v>17519.66</v>
      </c>
      <c r="Y12" s="323">
        <v>18612.34</v>
      </c>
      <c r="Z12" s="323">
        <v>15533.820000000002</v>
      </c>
      <c r="AA12" s="323">
        <v>20537.519999999997</v>
      </c>
      <c r="AB12" s="323">
        <v>17565.439999999999</v>
      </c>
      <c r="AC12" s="323">
        <v>18905.77</v>
      </c>
      <c r="AD12" s="323">
        <v>23047.479999999996</v>
      </c>
      <c r="AE12" s="323">
        <v>3985.75</v>
      </c>
      <c r="AF12" s="323">
        <v>0</v>
      </c>
      <c r="AG12" s="323">
        <v>34.799999999999997</v>
      </c>
      <c r="AH12" s="337">
        <v>9893.15</v>
      </c>
      <c r="AI12" s="337">
        <v>38766.509999999995</v>
      </c>
      <c r="AJ12" s="337">
        <v>12745.509999999998</v>
      </c>
      <c r="AK12" s="337">
        <v>8076.46</v>
      </c>
      <c r="AL12" s="337">
        <v>23058.12</v>
      </c>
      <c r="AM12" s="337">
        <v>7608.16</v>
      </c>
      <c r="AN12" s="337">
        <v>16367.98</v>
      </c>
      <c r="AO12" s="337">
        <v>22672.77</v>
      </c>
      <c r="AP12" s="337">
        <v>21714.61</v>
      </c>
      <c r="AQ12" s="337">
        <v>20795.159999999993</v>
      </c>
      <c r="AR12" s="337">
        <v>21500.2</v>
      </c>
      <c r="AS12" s="337">
        <v>26128.11</v>
      </c>
      <c r="AT12" s="337">
        <v>21813.320000000003</v>
      </c>
      <c r="AU12" s="337">
        <v>22298.16</v>
      </c>
      <c r="AV12" s="337">
        <v>20246.25</v>
      </c>
      <c r="AW12" s="337">
        <v>20057.769999999997</v>
      </c>
      <c r="AX12" s="337">
        <v>28092.120000000003</v>
      </c>
      <c r="AY12" s="337">
        <v>28049.759999999998</v>
      </c>
      <c r="AZ12" s="338"/>
      <c r="BA12" s="337">
        <v>20333.379999999994</v>
      </c>
      <c r="BB12" s="337">
        <v>17370.189999999999</v>
      </c>
      <c r="BC12" s="337">
        <v>23336.689999999991</v>
      </c>
      <c r="BE12" s="417">
        <v>27161</v>
      </c>
    </row>
    <row r="13" spans="1:57" x14ac:dyDescent="0.25">
      <c r="A13" s="318"/>
      <c r="B13" s="341" t="s">
        <v>63</v>
      </c>
      <c r="C13" s="318"/>
      <c r="D13" s="318"/>
      <c r="E13" s="318"/>
      <c r="F13" s="318"/>
      <c r="G13" s="318"/>
      <c r="H13" s="318"/>
      <c r="I13" s="323">
        <v>4379</v>
      </c>
      <c r="J13" s="323">
        <v>2252</v>
      </c>
      <c r="K13" s="323">
        <v>7035</v>
      </c>
      <c r="L13" s="323">
        <v>3405</v>
      </c>
      <c r="M13" s="323">
        <v>4262</v>
      </c>
      <c r="N13" s="323">
        <v>32503</v>
      </c>
      <c r="O13" s="323">
        <v>4867</v>
      </c>
      <c r="P13" s="323">
        <v>5627</v>
      </c>
      <c r="Q13" s="323">
        <v>53047</v>
      </c>
      <c r="R13" s="323">
        <v>0</v>
      </c>
      <c r="S13" s="323">
        <v>3516.18</v>
      </c>
      <c r="T13" s="323">
        <v>6602.47</v>
      </c>
      <c r="U13" s="323">
        <v>2009.77</v>
      </c>
      <c r="V13" s="323">
        <v>2490.39</v>
      </c>
      <c r="W13" s="323">
        <v>3970.12</v>
      </c>
      <c r="X13" s="323">
        <v>3255.6299999999997</v>
      </c>
      <c r="Y13" s="323">
        <v>2474.4499999999998</v>
      </c>
      <c r="Z13" s="323">
        <v>74801.09</v>
      </c>
      <c r="AA13" s="323">
        <v>22729.41</v>
      </c>
      <c r="AB13" s="323">
        <v>25225.74</v>
      </c>
      <c r="AC13" s="323">
        <v>21203.98</v>
      </c>
      <c r="AD13" s="323">
        <v>19026.37</v>
      </c>
      <c r="AE13" s="323">
        <v>6501.25</v>
      </c>
      <c r="AF13" s="323">
        <v>0</v>
      </c>
      <c r="AG13" s="323">
        <v>0</v>
      </c>
      <c r="AH13" s="337">
        <v>3345.08088</v>
      </c>
      <c r="AI13" s="337">
        <v>8506.9836000000014</v>
      </c>
      <c r="AJ13" s="337">
        <v>1988.0566799999999</v>
      </c>
      <c r="AK13" s="337">
        <v>5187.7940399999998</v>
      </c>
      <c r="AL13" s="337">
        <v>5054.5557600000011</v>
      </c>
      <c r="AM13" s="337">
        <v>3372.6285599999997</v>
      </c>
      <c r="AN13" s="337">
        <v>8204.1096000000016</v>
      </c>
      <c r="AO13" s="337">
        <v>9107.7417600000008</v>
      </c>
      <c r="AP13" s="337">
        <v>9059.4548400000003</v>
      </c>
      <c r="AQ13" s="337">
        <v>8470.1810400000013</v>
      </c>
      <c r="AR13" s="337">
        <v>8456.6483999999982</v>
      </c>
      <c r="AS13" s="337">
        <v>9581.2257599999994</v>
      </c>
      <c r="AT13" s="337">
        <v>8465.2857600000007</v>
      </c>
      <c r="AU13" s="337">
        <v>9883.7647199999974</v>
      </c>
      <c r="AV13" s="337">
        <v>7478.6196000000009</v>
      </c>
      <c r="AW13" s="337">
        <v>8481.1317600000002</v>
      </c>
      <c r="AX13" s="337">
        <v>8049.1876800000018</v>
      </c>
      <c r="AY13" s="337">
        <v>11384.651159999999</v>
      </c>
      <c r="AZ13" s="338"/>
      <c r="BA13" s="337">
        <v>6493.8800400000009</v>
      </c>
      <c r="BB13" s="337">
        <v>7156.0731600000008</v>
      </c>
      <c r="BC13" s="337">
        <v>8172.3408000000009</v>
      </c>
      <c r="BE13" s="417">
        <v>46478</v>
      </c>
    </row>
    <row r="14" spans="1:57" x14ac:dyDescent="0.25">
      <c r="A14" s="318" t="s">
        <v>135</v>
      </c>
      <c r="B14" s="341" t="s">
        <v>64</v>
      </c>
      <c r="C14" s="318"/>
      <c r="D14" s="339"/>
      <c r="E14" s="339"/>
      <c r="F14" s="339"/>
      <c r="G14" s="318"/>
      <c r="H14" s="318"/>
      <c r="I14" s="323">
        <v>0</v>
      </c>
      <c r="J14" s="323">
        <v>1600</v>
      </c>
      <c r="K14" s="323">
        <v>2695</v>
      </c>
      <c r="L14" s="323">
        <v>1600</v>
      </c>
      <c r="M14" s="323">
        <v>1667</v>
      </c>
      <c r="N14" s="323">
        <v>18941</v>
      </c>
      <c r="O14" s="323">
        <v>56381</v>
      </c>
      <c r="P14" s="323">
        <v>56133</v>
      </c>
      <c r="Q14" s="323">
        <v>85402</v>
      </c>
      <c r="R14" s="323">
        <v>504597</v>
      </c>
      <c r="S14" s="323">
        <v>0</v>
      </c>
      <c r="T14" s="323">
        <v>0</v>
      </c>
      <c r="U14" s="323">
        <v>0</v>
      </c>
      <c r="V14" s="323">
        <v>0</v>
      </c>
      <c r="W14" s="323">
        <v>0</v>
      </c>
      <c r="X14" s="323">
        <v>4800</v>
      </c>
      <c r="Y14" s="323">
        <v>0</v>
      </c>
      <c r="Z14" s="323">
        <v>110563.26</v>
      </c>
      <c r="AA14" s="323">
        <v>153020.38</v>
      </c>
      <c r="AB14" s="323">
        <v>184378.75999999998</v>
      </c>
      <c r="AC14" s="332">
        <v>220017.2</v>
      </c>
      <c r="AD14" s="323">
        <v>39769.25</v>
      </c>
      <c r="AE14" s="323">
        <v>72969.249999999985</v>
      </c>
      <c r="AF14" s="323">
        <v>839573.67</v>
      </c>
      <c r="AG14" s="323">
        <v>912978.58999999973</v>
      </c>
      <c r="AH14" s="337">
        <v>10999.75</v>
      </c>
      <c r="AI14" s="337">
        <v>41336.32</v>
      </c>
      <c r="AJ14" s="337">
        <v>7422.7199999999993</v>
      </c>
      <c r="AK14" s="337">
        <v>16708.34</v>
      </c>
      <c r="AL14" s="337">
        <v>12583.75</v>
      </c>
      <c r="AM14" s="337">
        <v>9789.07</v>
      </c>
      <c r="AN14" s="337">
        <v>28340.050000000003</v>
      </c>
      <c r="AO14" s="337">
        <v>29608.839999999997</v>
      </c>
      <c r="AP14" s="337">
        <v>24284.079999999998</v>
      </c>
      <c r="AQ14" s="337">
        <v>22027.47</v>
      </c>
      <c r="AR14" s="337">
        <v>33447.619999999995</v>
      </c>
      <c r="AS14" s="337">
        <v>23683.08</v>
      </c>
      <c r="AT14" s="337">
        <v>34143.57</v>
      </c>
      <c r="AU14" s="337">
        <v>24259.46</v>
      </c>
      <c r="AV14" s="337">
        <v>22676.87</v>
      </c>
      <c r="AW14" s="337">
        <v>25880.959999999999</v>
      </c>
      <c r="AX14" s="337">
        <v>28315.43</v>
      </c>
      <c r="AY14" s="337">
        <v>30677.599999999999</v>
      </c>
      <c r="AZ14" s="338"/>
      <c r="BA14" s="337">
        <v>16477.5</v>
      </c>
      <c r="BB14" s="337">
        <v>16793.580000000002</v>
      </c>
      <c r="BC14" s="337">
        <v>20192.78</v>
      </c>
      <c r="BE14" s="417">
        <v>184976</v>
      </c>
    </row>
    <row r="15" spans="1:57" x14ac:dyDescent="0.25">
      <c r="A15" s="318"/>
      <c r="B15" s="347" t="s">
        <v>154</v>
      </c>
      <c r="C15" s="319"/>
      <c r="D15" s="319"/>
      <c r="E15" s="319"/>
      <c r="F15" s="319"/>
      <c r="G15" s="319"/>
      <c r="H15" s="319"/>
      <c r="I15" s="323">
        <v>24304</v>
      </c>
      <c r="J15" s="323">
        <v>23905</v>
      </c>
      <c r="K15" s="323">
        <v>63707</v>
      </c>
      <c r="L15" s="323">
        <v>4153</v>
      </c>
      <c r="M15" s="323">
        <v>37913</v>
      </c>
      <c r="N15" s="323">
        <v>15544</v>
      </c>
      <c r="O15" s="323">
        <v>9644</v>
      </c>
      <c r="P15" s="323">
        <v>6843</v>
      </c>
      <c r="Q15" s="323">
        <v>18186</v>
      </c>
      <c r="R15" s="323">
        <v>16899</v>
      </c>
      <c r="S15" s="323">
        <v>32678</v>
      </c>
      <c r="T15" s="323">
        <v>24356.239999999998</v>
      </c>
      <c r="U15" s="323">
        <v>33497.21</v>
      </c>
      <c r="V15" s="323">
        <v>39379.78</v>
      </c>
      <c r="W15" s="323">
        <v>20118.62</v>
      </c>
      <c r="X15" s="323">
        <v>19504.48</v>
      </c>
      <c r="Y15" s="323">
        <v>26359.589999999997</v>
      </c>
      <c r="Z15" s="323">
        <v>20427.060000000001</v>
      </c>
      <c r="AA15" s="323">
        <v>23802.639999999999</v>
      </c>
      <c r="AB15" s="323">
        <v>20953.82</v>
      </c>
      <c r="AC15" s="323">
        <v>28797.03</v>
      </c>
      <c r="AD15" s="323">
        <v>29196.89</v>
      </c>
      <c r="AE15" s="323">
        <v>6901.0599999999995</v>
      </c>
      <c r="AF15" s="323">
        <v>19675.05</v>
      </c>
      <c r="AG15" s="323">
        <v>25554.530000000002</v>
      </c>
      <c r="AH15" s="337">
        <v>7359.9799999999977</v>
      </c>
      <c r="AI15" s="337">
        <v>72923.31999999992</v>
      </c>
      <c r="AJ15" s="337">
        <v>51596.400000000016</v>
      </c>
      <c r="AK15" s="337">
        <v>13737.270000000011</v>
      </c>
      <c r="AL15" s="337">
        <v>4930.8799999999492</v>
      </c>
      <c r="AM15" s="337">
        <v>9200.9399999999605</v>
      </c>
      <c r="AN15" s="337">
        <v>22402.699999999993</v>
      </c>
      <c r="AO15" s="337">
        <v>73816.58</v>
      </c>
      <c r="AP15" s="337">
        <v>25815.30000000001</v>
      </c>
      <c r="AQ15" s="337">
        <v>19086.009999999922</v>
      </c>
      <c r="AR15" s="337">
        <v>25748.539999999968</v>
      </c>
      <c r="AS15" s="337">
        <v>37802.140000000036</v>
      </c>
      <c r="AT15" s="337">
        <v>31039.040000000063</v>
      </c>
      <c r="AU15" s="337">
        <v>48306.600000000035</v>
      </c>
      <c r="AV15" s="337">
        <v>18309.640000000021</v>
      </c>
      <c r="AW15" s="337">
        <v>14959.800000000017</v>
      </c>
      <c r="AX15" s="337">
        <v>13736.140000000023</v>
      </c>
      <c r="AY15" s="337">
        <v>34273.509999999987</v>
      </c>
      <c r="AZ15" s="338"/>
      <c r="BA15" s="337">
        <v>26250.870000000046</v>
      </c>
      <c r="BB15" s="337">
        <v>24963.22000000003</v>
      </c>
      <c r="BC15" s="337">
        <v>15604.930000000026</v>
      </c>
      <c r="BE15" s="417">
        <v>34771</v>
      </c>
    </row>
    <row r="16" spans="1:57" x14ac:dyDescent="0.25">
      <c r="A16" s="318"/>
      <c r="B16" s="341" t="s">
        <v>132</v>
      </c>
      <c r="C16" s="363">
        <v>7745</v>
      </c>
      <c r="D16" s="363">
        <v>26836</v>
      </c>
      <c r="E16" s="363">
        <v>44121</v>
      </c>
      <c r="F16" s="363">
        <v>9000</v>
      </c>
      <c r="G16" s="363">
        <v>13327</v>
      </c>
      <c r="H16" s="363">
        <v>26341</v>
      </c>
      <c r="I16" s="323">
        <v>34730</v>
      </c>
      <c r="J16" s="323">
        <v>41497</v>
      </c>
      <c r="K16" s="323">
        <v>57250</v>
      </c>
      <c r="L16" s="323">
        <v>10000</v>
      </c>
      <c r="M16" s="323">
        <v>40313</v>
      </c>
      <c r="N16" s="323">
        <v>26172</v>
      </c>
      <c r="O16" s="323">
        <v>17569</v>
      </c>
      <c r="P16" s="323">
        <v>12599</v>
      </c>
      <c r="Q16" s="323">
        <v>22202</v>
      </c>
      <c r="R16" s="323">
        <v>34018</v>
      </c>
      <c r="S16" s="323">
        <v>27585</v>
      </c>
      <c r="T16" s="323">
        <v>19092.34</v>
      </c>
      <c r="U16" s="323">
        <v>28556.06</v>
      </c>
      <c r="V16" s="323">
        <v>21305</v>
      </c>
      <c r="W16" s="323">
        <v>17990.75</v>
      </c>
      <c r="X16" s="323">
        <v>18815.330000000002</v>
      </c>
      <c r="Y16" s="323">
        <v>20571</v>
      </c>
      <c r="Z16" s="323">
        <v>20385</v>
      </c>
      <c r="AA16" s="323">
        <v>23483.25</v>
      </c>
      <c r="AB16" s="323">
        <v>18182</v>
      </c>
      <c r="AC16" s="323">
        <v>25100.799999999999</v>
      </c>
      <c r="AD16" s="323">
        <v>19892</v>
      </c>
      <c r="AE16" s="323">
        <v>10941</v>
      </c>
      <c r="AF16" s="323">
        <v>20565</v>
      </c>
      <c r="AG16" s="323">
        <v>21625</v>
      </c>
      <c r="AH16" s="339">
        <v>15387.57</v>
      </c>
      <c r="AI16" s="339">
        <v>52345.460000000006</v>
      </c>
      <c r="AJ16" s="339">
        <v>27521.420000000002</v>
      </c>
      <c r="AK16" s="339">
        <v>22439.849999999995</v>
      </c>
      <c r="AL16" s="339">
        <v>24252.41</v>
      </c>
      <c r="AM16" s="339">
        <v>15515.73</v>
      </c>
      <c r="AN16" s="339">
        <v>27158.15</v>
      </c>
      <c r="AO16" s="339">
        <v>39467.97</v>
      </c>
      <c r="AP16" s="339">
        <v>36616.83</v>
      </c>
      <c r="AQ16" s="339">
        <v>31924.079999999998</v>
      </c>
      <c r="AR16" s="339">
        <v>30590.409999999996</v>
      </c>
      <c r="AS16" s="339">
        <v>25730.11</v>
      </c>
      <c r="AT16" s="339">
        <v>30711.519999999993</v>
      </c>
      <c r="AU16" s="339">
        <v>39197.140000000007</v>
      </c>
      <c r="AV16" s="339">
        <v>27356.97</v>
      </c>
      <c r="AW16" s="339">
        <v>33078.11</v>
      </c>
      <c r="AX16" s="339">
        <v>42739.410000000011</v>
      </c>
      <c r="AY16" s="339">
        <v>37527.070000000007</v>
      </c>
      <c r="AZ16" s="340"/>
      <c r="BA16" s="339">
        <v>25911.93</v>
      </c>
      <c r="BB16" s="339">
        <v>24699.01</v>
      </c>
      <c r="BC16" s="339">
        <v>38709.139999999992</v>
      </c>
      <c r="BE16" s="417">
        <v>23589</v>
      </c>
    </row>
    <row r="17" spans="1:57" x14ac:dyDescent="0.25">
      <c r="A17" s="318" t="s">
        <v>149</v>
      </c>
      <c r="B17" s="341" t="s">
        <v>136</v>
      </c>
      <c r="C17" s="318"/>
      <c r="D17" s="318"/>
      <c r="E17" s="318"/>
      <c r="F17" s="318"/>
      <c r="G17" s="318"/>
      <c r="H17" s="318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>
        <v>4655.79</v>
      </c>
      <c r="AI17" s="339">
        <v>14533.35</v>
      </c>
      <c r="AJ17" s="339">
        <v>10927.039999999999</v>
      </c>
      <c r="AK17" s="339">
        <v>5966.119999999999</v>
      </c>
      <c r="AL17" s="339">
        <v>6753.54</v>
      </c>
      <c r="AM17" s="339">
        <v>3821.92</v>
      </c>
      <c r="AN17" s="339">
        <v>9822.3700000000008</v>
      </c>
      <c r="AO17" s="339">
        <v>12596.93</v>
      </c>
      <c r="AP17" s="339">
        <v>11465.749999999998</v>
      </c>
      <c r="AQ17" s="339">
        <v>9955.9399999999987</v>
      </c>
      <c r="AR17" s="339">
        <v>12446.69</v>
      </c>
      <c r="AS17" s="339">
        <v>12388.510000000002</v>
      </c>
      <c r="AT17" s="339">
        <v>10871.23</v>
      </c>
      <c r="AU17" s="339">
        <v>12060.27</v>
      </c>
      <c r="AV17" s="339">
        <v>10191.790000000001</v>
      </c>
      <c r="AW17" s="339">
        <v>8917.8100000000013</v>
      </c>
      <c r="AX17" s="339">
        <v>14705.16</v>
      </c>
      <c r="AY17" s="339">
        <v>16241.52</v>
      </c>
      <c r="AZ17" s="340"/>
      <c r="BA17" s="339">
        <v>10124.640000000001</v>
      </c>
      <c r="BB17" s="339">
        <v>10124.640000000001</v>
      </c>
      <c r="BC17" s="339">
        <v>11962.22</v>
      </c>
      <c r="BE17" s="304"/>
    </row>
    <row r="18" spans="1:57" x14ac:dyDescent="0.25"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</row>
    <row r="19" spans="1:57" x14ac:dyDescent="0.25">
      <c r="B19" s="342" t="s">
        <v>67</v>
      </c>
      <c r="C19" s="319"/>
      <c r="D19" s="319"/>
      <c r="E19" s="319"/>
      <c r="F19" s="319"/>
      <c r="G19" s="319"/>
      <c r="H19" s="319"/>
      <c r="I19" s="319" t="s">
        <v>8</v>
      </c>
      <c r="J19" s="319" t="s">
        <v>9</v>
      </c>
      <c r="K19" s="319" t="s">
        <v>10</v>
      </c>
      <c r="L19" s="319" t="s">
        <v>114</v>
      </c>
      <c r="M19" s="319" t="s">
        <v>12</v>
      </c>
      <c r="N19" s="319" t="s">
        <v>13</v>
      </c>
      <c r="O19" s="319" t="s">
        <v>14</v>
      </c>
      <c r="P19" s="319" t="s">
        <v>15</v>
      </c>
      <c r="Q19" s="319" t="s">
        <v>16</v>
      </c>
      <c r="R19" s="319" t="s">
        <v>17</v>
      </c>
      <c r="S19" s="319" t="s">
        <v>18</v>
      </c>
      <c r="T19" s="319" t="s">
        <v>19</v>
      </c>
      <c r="U19" s="319" t="s">
        <v>20</v>
      </c>
      <c r="V19" s="319" t="s">
        <v>21</v>
      </c>
      <c r="W19" s="319" t="s">
        <v>22</v>
      </c>
      <c r="X19" s="319" t="s">
        <v>23</v>
      </c>
      <c r="Y19" s="319" t="s">
        <v>24</v>
      </c>
      <c r="Z19" s="319" t="s">
        <v>25</v>
      </c>
      <c r="AA19" s="319" t="s">
        <v>26</v>
      </c>
      <c r="AB19" s="319" t="s">
        <v>27</v>
      </c>
      <c r="AC19" s="319" t="s">
        <v>28</v>
      </c>
      <c r="AD19" s="319" t="s">
        <v>29</v>
      </c>
      <c r="AE19" s="319" t="s">
        <v>30</v>
      </c>
      <c r="AF19" s="319" t="s">
        <v>31</v>
      </c>
      <c r="AG19" s="319" t="s">
        <v>32</v>
      </c>
      <c r="AH19" s="319" t="s">
        <v>34</v>
      </c>
      <c r="AI19" s="319" t="s">
        <v>35</v>
      </c>
      <c r="AJ19" s="319" t="s">
        <v>36</v>
      </c>
      <c r="AK19" s="319" t="s">
        <v>37</v>
      </c>
      <c r="AL19" s="319" t="s">
        <v>38</v>
      </c>
      <c r="AM19" s="319" t="s">
        <v>39</v>
      </c>
      <c r="AN19" s="319" t="s">
        <v>33</v>
      </c>
      <c r="AO19" s="319" t="s">
        <v>40</v>
      </c>
      <c r="AP19" s="319" t="s">
        <v>41</v>
      </c>
      <c r="AQ19" s="319" t="s">
        <v>42</v>
      </c>
      <c r="AR19" s="319" t="s">
        <v>43</v>
      </c>
      <c r="AS19" s="319" t="s">
        <v>44</v>
      </c>
      <c r="AT19" s="319" t="s">
        <v>45</v>
      </c>
      <c r="AU19" s="319" t="s">
        <v>46</v>
      </c>
      <c r="AV19" s="319" t="s">
        <v>47</v>
      </c>
      <c r="AW19" s="319" t="s">
        <v>48</v>
      </c>
      <c r="AX19" s="319" t="s">
        <v>49</v>
      </c>
      <c r="AY19" s="319" t="s">
        <v>50</v>
      </c>
      <c r="AZ19" s="321" t="s">
        <v>51</v>
      </c>
      <c r="BA19" s="319" t="s">
        <v>52</v>
      </c>
      <c r="BB19" s="319" t="s">
        <v>53</v>
      </c>
      <c r="BC19" s="319" t="s">
        <v>54</v>
      </c>
      <c r="BE19" s="371"/>
    </row>
    <row r="20" spans="1:57" x14ac:dyDescent="0.25">
      <c r="B20" s="341" t="s">
        <v>62</v>
      </c>
      <c r="C20" s="318"/>
      <c r="D20" s="318"/>
      <c r="E20" s="318"/>
      <c r="F20" s="318"/>
      <c r="G20" s="318"/>
      <c r="H20" s="318"/>
      <c r="I20" s="343">
        <v>10402</v>
      </c>
      <c r="J20" s="343">
        <v>13523</v>
      </c>
      <c r="K20" s="343">
        <v>16083</v>
      </c>
      <c r="L20" s="343">
        <v>-5726</v>
      </c>
      <c r="M20" s="343">
        <v>11169</v>
      </c>
      <c r="N20" s="343">
        <v>11597</v>
      </c>
      <c r="O20" s="343">
        <v>2623</v>
      </c>
      <c r="P20" s="343">
        <v>2423</v>
      </c>
      <c r="Q20" s="343">
        <v>3933</v>
      </c>
      <c r="R20" s="343">
        <v>-1821</v>
      </c>
      <c r="S20" s="343">
        <v>-7387.4499999999989</v>
      </c>
      <c r="T20" s="343">
        <v>-11250.25</v>
      </c>
      <c r="U20" s="343">
        <v>-8179.2000000000007</v>
      </c>
      <c r="V20" s="343">
        <v>-39470.400000000009</v>
      </c>
      <c r="W20" s="343">
        <v>-9146.1000000000022</v>
      </c>
      <c r="X20" s="343">
        <v>-11211.969999999994</v>
      </c>
      <c r="Y20" s="343">
        <v>-22076.580000000005</v>
      </c>
      <c r="Z20" s="343">
        <v>-28662.760000000009</v>
      </c>
      <c r="AA20" s="343">
        <v>1252.9999999999964</v>
      </c>
      <c r="AB20" s="343">
        <v>-10247.86</v>
      </c>
      <c r="AC20" s="343">
        <v>-16254.119999999992</v>
      </c>
      <c r="AD20" s="343">
        <v>-40067.960000000006</v>
      </c>
      <c r="AE20" s="343">
        <v>-6563.17</v>
      </c>
      <c r="AF20" s="343">
        <v>4.3600000000000003</v>
      </c>
      <c r="AG20" s="343">
        <v>-663.21000000000015</v>
      </c>
      <c r="AH20" s="343">
        <v>-1034.75</v>
      </c>
      <c r="AI20" s="343">
        <v>16799.319999999989</v>
      </c>
      <c r="AJ20" s="343">
        <v>258.03999999999542</v>
      </c>
      <c r="AK20" s="343">
        <v>-4303.5200000000013</v>
      </c>
      <c r="AL20" s="343">
        <v>191.98999999999432</v>
      </c>
      <c r="AM20" s="343">
        <v>5741.26</v>
      </c>
      <c r="AN20" s="343">
        <v>-5292.6700000000019</v>
      </c>
      <c r="AO20" s="343">
        <v>-2350.1899999999987</v>
      </c>
      <c r="AP20" s="343">
        <v>1351.2900000000009</v>
      </c>
      <c r="AQ20" s="343">
        <v>-3701.8600000000079</v>
      </c>
      <c r="AR20" s="343">
        <v>-5778.5799999999981</v>
      </c>
      <c r="AS20" s="343">
        <v>-5513.9199999999983</v>
      </c>
      <c r="AT20" s="343">
        <v>-25294.95</v>
      </c>
      <c r="AU20" s="343">
        <v>1084.4600000000028</v>
      </c>
      <c r="AV20" s="343">
        <v>-9334.5300000000025</v>
      </c>
      <c r="AW20" s="343">
        <v>-11268.14</v>
      </c>
      <c r="AX20" s="343">
        <v>-6313.2699999999968</v>
      </c>
      <c r="AY20" s="343">
        <v>-8610.7800000000025</v>
      </c>
      <c r="AZ20" s="344">
        <v>0</v>
      </c>
      <c r="BA20" s="343">
        <v>2181.3199999999924</v>
      </c>
      <c r="BB20" s="343">
        <v>3544.3599999999988</v>
      </c>
      <c r="BC20" s="343">
        <v>1338.6399999999885</v>
      </c>
      <c r="BD20" s="372"/>
      <c r="BE20" s="372">
        <v>-13471</v>
      </c>
    </row>
    <row r="21" spans="1:57" x14ac:dyDescent="0.25">
      <c r="B21" s="341" t="s">
        <v>63</v>
      </c>
      <c r="C21" s="318"/>
      <c r="D21" s="318"/>
      <c r="E21" s="318"/>
      <c r="F21" s="318"/>
      <c r="G21" s="318"/>
      <c r="H21" s="318"/>
      <c r="I21" s="343">
        <v>-5613</v>
      </c>
      <c r="J21" s="343">
        <v>-491</v>
      </c>
      <c r="K21" s="343">
        <v>-1640</v>
      </c>
      <c r="L21" s="343">
        <v>-35599</v>
      </c>
      <c r="M21" s="343">
        <v>334</v>
      </c>
      <c r="N21" s="343">
        <v>-379</v>
      </c>
      <c r="O21" s="343">
        <v>-10719</v>
      </c>
      <c r="P21" s="343">
        <v>-1557</v>
      </c>
      <c r="Q21" s="343">
        <v>19565</v>
      </c>
      <c r="R21" s="343">
        <v>0</v>
      </c>
      <c r="S21" s="343">
        <v>-7012.27</v>
      </c>
      <c r="T21" s="343">
        <v>1119.8500000000004</v>
      </c>
      <c r="U21" s="343">
        <v>-6255.630000000001</v>
      </c>
      <c r="V21" s="343">
        <v>-9498.07</v>
      </c>
      <c r="W21" s="343">
        <v>-6058.12</v>
      </c>
      <c r="X21" s="343">
        <v>-9519.5299999999988</v>
      </c>
      <c r="Y21" s="343">
        <v>-13921.829999999998</v>
      </c>
      <c r="Z21" s="343">
        <v>-41906.179999999993</v>
      </c>
      <c r="AA21" s="343">
        <v>6828.2199999999993</v>
      </c>
      <c r="AB21" s="343">
        <v>-12374.589999999993</v>
      </c>
      <c r="AC21" s="343">
        <v>-9420.4200000000019</v>
      </c>
      <c r="AD21" s="343">
        <v>2922.630000000001</v>
      </c>
      <c r="AE21" s="343">
        <v>-3817.3600000000006</v>
      </c>
      <c r="AF21" s="343">
        <v>0</v>
      </c>
      <c r="AG21" s="343">
        <v>0</v>
      </c>
      <c r="AH21" s="343">
        <v>-18531.469119999998</v>
      </c>
      <c r="AI21" s="343">
        <v>-109132.76639999999</v>
      </c>
      <c r="AJ21" s="343">
        <v>-18005.123319999992</v>
      </c>
      <c r="AK21" s="343">
        <v>-27101.185959999999</v>
      </c>
      <c r="AL21" s="343">
        <v>-24134.384239999999</v>
      </c>
      <c r="AM21" s="343">
        <v>-15881.951439999999</v>
      </c>
      <c r="AN21" s="343">
        <v>-18706.270399999994</v>
      </c>
      <c r="AO21" s="343">
        <v>-116892.51823999999</v>
      </c>
      <c r="AP21" s="343">
        <v>-75445.155159999995</v>
      </c>
      <c r="AQ21" s="343">
        <v>-36451.838959999994</v>
      </c>
      <c r="AR21" s="343">
        <v>-127703.37159999998</v>
      </c>
      <c r="AS21" s="343">
        <v>-36046.344239999999</v>
      </c>
      <c r="AT21" s="343">
        <v>-83869.974239999996</v>
      </c>
      <c r="AU21" s="343">
        <v>-120393.72528000003</v>
      </c>
      <c r="AV21" s="343">
        <v>-55443.330400000006</v>
      </c>
      <c r="AW21" s="343">
        <v>-23819.47824</v>
      </c>
      <c r="AX21" s="343">
        <v>-48488.742320000005</v>
      </c>
      <c r="AY21" s="343">
        <v>-280378.81883999996</v>
      </c>
      <c r="AZ21" s="344">
        <v>0</v>
      </c>
      <c r="BA21" s="343">
        <v>-10792.769959999998</v>
      </c>
      <c r="BB21" s="343">
        <v>-12056.436839999998</v>
      </c>
      <c r="BC21" s="343">
        <v>-107022.21919999998</v>
      </c>
      <c r="BD21" s="372"/>
      <c r="BE21" s="372">
        <v>-31910</v>
      </c>
    </row>
    <row r="22" spans="1:57" x14ac:dyDescent="0.25">
      <c r="B22" s="341" t="s">
        <v>64</v>
      </c>
      <c r="C22" s="343"/>
      <c r="D22" s="343"/>
      <c r="E22" s="343"/>
      <c r="F22" s="343"/>
      <c r="G22" s="343"/>
      <c r="H22" s="343"/>
      <c r="I22" s="343">
        <v>0</v>
      </c>
      <c r="J22" s="343">
        <v>-196</v>
      </c>
      <c r="K22" s="343">
        <v>-10738</v>
      </c>
      <c r="L22" s="343">
        <v>1600</v>
      </c>
      <c r="M22" s="343">
        <v>-4282</v>
      </c>
      <c r="N22" s="343">
        <v>-22896</v>
      </c>
      <c r="O22" s="343">
        <v>20177</v>
      </c>
      <c r="P22" s="343">
        <v>-7423</v>
      </c>
      <c r="Q22" s="343">
        <v>14465</v>
      </c>
      <c r="R22" s="343">
        <v>-95051</v>
      </c>
      <c r="S22" s="343">
        <v>0</v>
      </c>
      <c r="T22" s="343">
        <v>-3571.07</v>
      </c>
      <c r="U22" s="343">
        <v>0</v>
      </c>
      <c r="V22" s="343">
        <v>0</v>
      </c>
      <c r="W22" s="343">
        <v>-5805.6</v>
      </c>
      <c r="X22" s="343">
        <v>4800</v>
      </c>
      <c r="Y22" s="343">
        <v>0</v>
      </c>
      <c r="Z22" s="343">
        <v>27070.329999999987</v>
      </c>
      <c r="AA22" s="343">
        <v>13514.760000000009</v>
      </c>
      <c r="AB22" s="343">
        <v>1919.3399999999674</v>
      </c>
      <c r="AC22" s="343">
        <v>-1582.1099999999569</v>
      </c>
      <c r="AD22" s="343">
        <v>22925.5</v>
      </c>
      <c r="AE22" s="343">
        <v>27738.219999999987</v>
      </c>
      <c r="AF22" s="343">
        <v>10005.300000000047</v>
      </c>
      <c r="AG22" s="343">
        <v>42505.919999999576</v>
      </c>
      <c r="AH22" s="343">
        <v>-13447.440000000002</v>
      </c>
      <c r="AI22" s="343">
        <v>-68623.180000000022</v>
      </c>
      <c r="AJ22" s="343">
        <v>-8039.8200000000052</v>
      </c>
      <c r="AK22" s="343">
        <v>-56026.850000000006</v>
      </c>
      <c r="AL22" s="343">
        <v>-48607.139999999992</v>
      </c>
      <c r="AM22" s="343">
        <v>-36213.110000000008</v>
      </c>
      <c r="AN22" s="343">
        <v>-49137.599999999991</v>
      </c>
      <c r="AO22" s="343">
        <v>-151929.77000000002</v>
      </c>
      <c r="AP22" s="343">
        <v>-185725.93000000005</v>
      </c>
      <c r="AQ22" s="343">
        <v>-17081.229999999996</v>
      </c>
      <c r="AR22" s="343">
        <v>-114245.68000000002</v>
      </c>
      <c r="AS22" s="343">
        <v>-102393.40000000001</v>
      </c>
      <c r="AT22" s="343">
        <v>-12148.39</v>
      </c>
      <c r="AU22" s="343">
        <v>-96960.97</v>
      </c>
      <c r="AV22" s="343">
        <v>-22223.170000000002</v>
      </c>
      <c r="AW22" s="343">
        <v>-8620.0900000000038</v>
      </c>
      <c r="AX22" s="343">
        <v>-87516.360000000015</v>
      </c>
      <c r="AY22" s="343">
        <v>-146523.79999999996</v>
      </c>
      <c r="AZ22" s="344">
        <v>0</v>
      </c>
      <c r="BA22" s="343">
        <v>-30488.810000000005</v>
      </c>
      <c r="BB22" s="343">
        <v>-37639.679999999993</v>
      </c>
      <c r="BC22" s="343">
        <v>-127709.53</v>
      </c>
      <c r="BD22" s="372"/>
      <c r="BE22" s="372">
        <v>1729</v>
      </c>
    </row>
    <row r="23" spans="1:57" x14ac:dyDescent="0.25">
      <c r="B23" s="347" t="s">
        <v>154</v>
      </c>
      <c r="C23" s="319"/>
      <c r="D23" s="319"/>
      <c r="E23" s="319"/>
      <c r="F23" s="319"/>
      <c r="G23" s="319"/>
      <c r="H23" s="319"/>
      <c r="I23" s="343">
        <v>233</v>
      </c>
      <c r="J23" s="343">
        <v>10588</v>
      </c>
      <c r="K23" s="343">
        <v>-607</v>
      </c>
      <c r="L23" s="343">
        <v>234</v>
      </c>
      <c r="M23" s="343">
        <v>-1648</v>
      </c>
      <c r="N23" s="343">
        <v>-8406</v>
      </c>
      <c r="O23" s="343">
        <v>232</v>
      </c>
      <c r="P23" s="343">
        <v>928</v>
      </c>
      <c r="Q23" s="343">
        <v>692</v>
      </c>
      <c r="R23" s="343">
        <v>7465</v>
      </c>
      <c r="S23" s="343">
        <v>5698.0999999999985</v>
      </c>
      <c r="T23" s="343">
        <v>-2162.6500000000015</v>
      </c>
      <c r="U23" s="343">
        <v>552.5199999999968</v>
      </c>
      <c r="V23" s="343">
        <v>13089.779999999999</v>
      </c>
      <c r="W23" s="343">
        <v>6793.91</v>
      </c>
      <c r="X23" s="343">
        <v>5399.6999999999989</v>
      </c>
      <c r="Y23" s="343">
        <v>-455.57000000000335</v>
      </c>
      <c r="Z23" s="343">
        <v>2588.6300000000047</v>
      </c>
      <c r="AA23" s="343">
        <v>3682.6399999999994</v>
      </c>
      <c r="AB23" s="343">
        <v>5516.68</v>
      </c>
      <c r="AC23" s="343">
        <v>8104.6999999999971</v>
      </c>
      <c r="AD23" s="343">
        <v>-2649.4399999999987</v>
      </c>
      <c r="AE23" s="343">
        <v>271.03999999999905</v>
      </c>
      <c r="AF23" s="343">
        <v>1489.8899999999994</v>
      </c>
      <c r="AG23" s="343">
        <v>-1391.8099999999977</v>
      </c>
      <c r="AH23" s="343">
        <v>-3169.6900000000023</v>
      </c>
      <c r="AI23" s="343">
        <v>45542.309999999925</v>
      </c>
      <c r="AJ23" s="343">
        <v>48120.390000000014</v>
      </c>
      <c r="AK23" s="343">
        <v>-16335.439999999988</v>
      </c>
      <c r="AL23" s="343">
        <v>-6434.3000000000548</v>
      </c>
      <c r="AM23" s="343">
        <v>-15068.860000000042</v>
      </c>
      <c r="AN23" s="343">
        <v>7589.2799999999952</v>
      </c>
      <c r="AO23" s="343">
        <v>43443.319999999992</v>
      </c>
      <c r="AP23" s="343">
        <v>13255.12000000001</v>
      </c>
      <c r="AQ23" s="343">
        <v>-495.23000000007596</v>
      </c>
      <c r="AR23" s="343">
        <v>-1471.7400000000271</v>
      </c>
      <c r="AS23" s="343">
        <v>15359.400000000034</v>
      </c>
      <c r="AT23" s="343">
        <v>-694.47999999993772</v>
      </c>
      <c r="AU23" s="343">
        <v>21981.640000000036</v>
      </c>
      <c r="AV23" s="343">
        <v>3112.5800000000199</v>
      </c>
      <c r="AW23" s="343">
        <v>-5824.9199999999801</v>
      </c>
      <c r="AX23" s="343">
        <v>-18213.759999999973</v>
      </c>
      <c r="AY23" s="343">
        <v>-41088.779999999992</v>
      </c>
      <c r="AZ23" s="344">
        <v>0</v>
      </c>
      <c r="BA23" s="343">
        <v>28936.940000000046</v>
      </c>
      <c r="BB23" s="343">
        <v>2108.6300000000265</v>
      </c>
      <c r="BC23" s="343">
        <v>-24044.829999999976</v>
      </c>
      <c r="BD23" s="372"/>
      <c r="BE23" s="372">
        <v>1051</v>
      </c>
    </row>
    <row r="24" spans="1:57" x14ac:dyDescent="0.25">
      <c r="B24" s="341" t="s">
        <v>132</v>
      </c>
      <c r="C24" s="343">
        <v>422</v>
      </c>
      <c r="D24" s="343">
        <v>11050</v>
      </c>
      <c r="E24" s="343">
        <v>2506</v>
      </c>
      <c r="F24" s="343">
        <v>-1140</v>
      </c>
      <c r="G24" s="343">
        <v>-6091</v>
      </c>
      <c r="H24" s="343">
        <v>-9739</v>
      </c>
      <c r="I24" s="343">
        <v>27178</v>
      </c>
      <c r="J24" s="343">
        <v>19915</v>
      </c>
      <c r="K24" s="343">
        <v>35051</v>
      </c>
      <c r="L24" s="343">
        <v>-27621</v>
      </c>
      <c r="M24" s="343">
        <v>-5047</v>
      </c>
      <c r="N24" s="343">
        <v>17638</v>
      </c>
      <c r="O24" s="343">
        <v>8332</v>
      </c>
      <c r="P24" s="343">
        <v>-2447</v>
      </c>
      <c r="Q24" s="343">
        <v>7704</v>
      </c>
      <c r="R24" s="343">
        <v>-59</v>
      </c>
      <c r="S24" s="343">
        <v>-1816.8300000000017</v>
      </c>
      <c r="T24" s="343">
        <v>8279.07</v>
      </c>
      <c r="U24" s="343">
        <v>322.46000000000276</v>
      </c>
      <c r="V24" s="343">
        <v>8438.43</v>
      </c>
      <c r="W24" s="343">
        <v>-9087.89</v>
      </c>
      <c r="X24" s="343">
        <v>11087.440000000002</v>
      </c>
      <c r="Y24" s="343">
        <v>5196.9599999999991</v>
      </c>
      <c r="Z24" s="343">
        <v>-10331.439999999999</v>
      </c>
      <c r="AA24" s="343">
        <v>711.20999999999913</v>
      </c>
      <c r="AB24" s="343">
        <v>4615.01</v>
      </c>
      <c r="AC24" s="343">
        <v>18878.189999999999</v>
      </c>
      <c r="AD24" s="343">
        <v>14726.119999999999</v>
      </c>
      <c r="AE24" s="343">
        <v>1114.1900000000005</v>
      </c>
      <c r="AF24" s="343">
        <v>-2330.4700000000012</v>
      </c>
      <c r="AG24" s="343">
        <v>16129.55</v>
      </c>
      <c r="AH24" s="343">
        <v>-24456.340000000004</v>
      </c>
      <c r="AI24" s="343">
        <v>23264.11</v>
      </c>
      <c r="AJ24" s="343">
        <v>1799.46000000001</v>
      </c>
      <c r="AK24" s="343">
        <v>-20713.330000000005</v>
      </c>
      <c r="AL24" s="343">
        <v>-16389.209999999995</v>
      </c>
      <c r="AM24" s="343">
        <v>-5259.0800000000017</v>
      </c>
      <c r="AN24" s="343">
        <v>2694.630000000001</v>
      </c>
      <c r="AO24" s="343">
        <v>12959.429999999997</v>
      </c>
      <c r="AP24" s="343">
        <v>10295.120000000006</v>
      </c>
      <c r="AQ24" s="343">
        <v>-24092.12</v>
      </c>
      <c r="AR24" s="343">
        <v>6207.9000000000015</v>
      </c>
      <c r="AS24" s="343">
        <v>14865.91</v>
      </c>
      <c r="AT24" s="343">
        <v>-28935.850000000009</v>
      </c>
      <c r="AU24" s="343">
        <v>26620.330000000009</v>
      </c>
      <c r="AV24" s="343">
        <v>-17738.219999999987</v>
      </c>
      <c r="AW24" s="343">
        <v>12642.829999999998</v>
      </c>
      <c r="AX24" s="343">
        <v>-86084.449999999983</v>
      </c>
      <c r="AY24" s="343">
        <v>-6886.6900000000023</v>
      </c>
      <c r="AZ24" s="344">
        <v>0</v>
      </c>
      <c r="BA24" s="343">
        <v>-117.42000000000189</v>
      </c>
      <c r="BB24" s="343">
        <v>5877.6100000000006</v>
      </c>
      <c r="BC24" s="343">
        <v>10288.109999999982</v>
      </c>
      <c r="BD24" s="372"/>
      <c r="BE24" s="372">
        <v>5434</v>
      </c>
    </row>
    <row r="25" spans="1:57" x14ac:dyDescent="0.25">
      <c r="B25" s="341" t="s">
        <v>136</v>
      </c>
      <c r="C25" s="318"/>
      <c r="D25" s="318"/>
      <c r="E25" s="318"/>
      <c r="F25" s="318"/>
      <c r="G25" s="318"/>
      <c r="H25" s="318"/>
      <c r="I25" s="343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43">
        <v>1288.6599999999999</v>
      </c>
      <c r="AI25" s="343">
        <v>869.21000000000095</v>
      </c>
      <c r="AJ25" s="343">
        <v>8468.489999999998</v>
      </c>
      <c r="AK25" s="343">
        <v>289.13999999999942</v>
      </c>
      <c r="AL25" s="343">
        <v>3472.1800000000007</v>
      </c>
      <c r="AM25" s="343">
        <v>1674.6399999999999</v>
      </c>
      <c r="AN25" s="343">
        <v>1824.1600000000008</v>
      </c>
      <c r="AO25" s="343">
        <v>5139.1900000000005</v>
      </c>
      <c r="AP25" s="343">
        <v>3903.5099999999975</v>
      </c>
      <c r="AQ25" s="343">
        <v>2988.9799999999987</v>
      </c>
      <c r="AR25" s="343">
        <v>2886.6900000000005</v>
      </c>
      <c r="AS25" s="343">
        <v>6975.8800000000056</v>
      </c>
      <c r="AT25" s="343">
        <v>-2351.17</v>
      </c>
      <c r="AU25" s="343">
        <v>1452.6399999999994</v>
      </c>
      <c r="AV25" s="343">
        <v>3648.5200000000013</v>
      </c>
      <c r="AW25" s="343">
        <v>1108.1900000000014</v>
      </c>
      <c r="AX25" s="343">
        <v>5366.5400000000009</v>
      </c>
      <c r="AY25" s="343">
        <v>419.60000000000218</v>
      </c>
      <c r="AZ25" s="344">
        <v>0</v>
      </c>
      <c r="BA25" s="343">
        <v>2653.0100000000011</v>
      </c>
      <c r="BB25" s="343">
        <v>586.04000000000269</v>
      </c>
      <c r="BC25" s="343">
        <v>3851.1799999999994</v>
      </c>
      <c r="BD25" s="372"/>
      <c r="BE25" s="372"/>
    </row>
    <row r="26" spans="1:57" x14ac:dyDescent="0.25">
      <c r="I26" s="267"/>
      <c r="AH26" s="267"/>
      <c r="AI26" s="267"/>
      <c r="AJ26" s="267"/>
      <c r="AK26" s="267"/>
      <c r="AL26" s="267"/>
      <c r="AM26" s="267"/>
      <c r="AN26" s="267"/>
      <c r="AO26" s="267"/>
      <c r="AP26" s="267"/>
      <c r="AQ26" s="267"/>
      <c r="AR26" s="267"/>
      <c r="AS26" s="267"/>
      <c r="AT26" s="267"/>
      <c r="AU26" s="267"/>
      <c r="AV26" s="267"/>
      <c r="AW26" s="267"/>
      <c r="AX26" s="267"/>
      <c r="AY26" s="267"/>
      <c r="AZ26" s="267"/>
      <c r="BA26" s="267"/>
      <c r="BB26" s="267"/>
      <c r="BC26" s="267"/>
    </row>
    <row r="27" spans="1:57" x14ac:dyDescent="0.25">
      <c r="B27" s="266" t="s">
        <v>127</v>
      </c>
      <c r="C27" s="335" t="s">
        <v>2</v>
      </c>
      <c r="D27" s="335" t="s">
        <v>3</v>
      </c>
      <c r="E27" s="335" t="s">
        <v>4</v>
      </c>
      <c r="F27" s="335" t="s">
        <v>5</v>
      </c>
      <c r="G27" s="335" t="s">
        <v>6</v>
      </c>
      <c r="H27" s="335" t="s">
        <v>7</v>
      </c>
      <c r="I27" s="334" t="s">
        <v>8</v>
      </c>
      <c r="J27" s="334" t="s">
        <v>9</v>
      </c>
      <c r="K27" s="334" t="s">
        <v>10</v>
      </c>
      <c r="L27" s="334" t="s">
        <v>114</v>
      </c>
      <c r="M27" s="334" t="s">
        <v>12</v>
      </c>
      <c r="N27" s="334" t="s">
        <v>13</v>
      </c>
      <c r="O27" s="334" t="s">
        <v>14</v>
      </c>
      <c r="P27" s="334" t="s">
        <v>15</v>
      </c>
      <c r="Q27" s="334" t="s">
        <v>16</v>
      </c>
      <c r="R27" s="334" t="s">
        <v>17</v>
      </c>
      <c r="S27" s="334" t="s">
        <v>18</v>
      </c>
      <c r="T27" s="334" t="s">
        <v>19</v>
      </c>
      <c r="U27" s="334" t="s">
        <v>20</v>
      </c>
      <c r="V27" s="334" t="s">
        <v>21</v>
      </c>
      <c r="W27" s="334" t="s">
        <v>22</v>
      </c>
      <c r="X27" s="334" t="s">
        <v>23</v>
      </c>
      <c r="Y27" s="334" t="s">
        <v>24</v>
      </c>
      <c r="Z27" s="334" t="s">
        <v>25</v>
      </c>
      <c r="AA27" s="334" t="s">
        <v>26</v>
      </c>
      <c r="AB27" s="334" t="s">
        <v>27</v>
      </c>
      <c r="AC27" s="334" t="s">
        <v>28</v>
      </c>
      <c r="AD27" s="334" t="s">
        <v>29</v>
      </c>
      <c r="AE27" s="334" t="s">
        <v>30</v>
      </c>
      <c r="AF27" s="334" t="s">
        <v>31</v>
      </c>
      <c r="AG27" s="334" t="s">
        <v>32</v>
      </c>
      <c r="AH27" s="334" t="s">
        <v>34</v>
      </c>
      <c r="AI27" s="334" t="s">
        <v>35</v>
      </c>
      <c r="AJ27" s="334" t="s">
        <v>36</v>
      </c>
      <c r="AK27" s="334" t="s">
        <v>37</v>
      </c>
      <c r="AL27" s="334" t="s">
        <v>38</v>
      </c>
      <c r="AM27" s="334" t="s">
        <v>39</v>
      </c>
      <c r="AN27" s="334" t="s">
        <v>33</v>
      </c>
      <c r="AO27" s="334" t="s">
        <v>40</v>
      </c>
      <c r="AP27" s="334" t="s">
        <v>41</v>
      </c>
      <c r="AQ27" s="334" t="s">
        <v>42</v>
      </c>
      <c r="AR27" s="334" t="s">
        <v>43</v>
      </c>
      <c r="AS27" s="334" t="s">
        <v>44</v>
      </c>
      <c r="AT27" s="334" t="s">
        <v>45</v>
      </c>
      <c r="AU27" s="334" t="s">
        <v>46</v>
      </c>
      <c r="AV27" s="334" t="s">
        <v>47</v>
      </c>
      <c r="AW27" s="334" t="s">
        <v>48</v>
      </c>
      <c r="AX27" s="334" t="s">
        <v>49</v>
      </c>
      <c r="AY27" s="334" t="s">
        <v>50</v>
      </c>
      <c r="AZ27" s="334" t="s">
        <v>51</v>
      </c>
      <c r="BA27" s="334" t="s">
        <v>52</v>
      </c>
      <c r="BB27" s="334" t="s">
        <v>53</v>
      </c>
      <c r="BC27" s="334" t="s">
        <v>54</v>
      </c>
    </row>
    <row r="28" spans="1:57" x14ac:dyDescent="0.25">
      <c r="B28" s="348" t="s">
        <v>62</v>
      </c>
      <c r="C28" s="336">
        <v>1444</v>
      </c>
      <c r="D28" s="336">
        <v>9605</v>
      </c>
      <c r="E28" s="336">
        <v>22090</v>
      </c>
      <c r="F28" s="336">
        <v>-295</v>
      </c>
      <c r="G28" s="336">
        <v>6825</v>
      </c>
      <c r="H28" s="336">
        <v>1951</v>
      </c>
      <c r="I28" s="336">
        <v>18078</v>
      </c>
      <c r="J28" s="336">
        <v>31446</v>
      </c>
      <c r="K28" s="336">
        <v>23034</v>
      </c>
      <c r="L28" s="336">
        <v>-4499</v>
      </c>
      <c r="M28" s="336">
        <v>15873</v>
      </c>
      <c r="N28" s="336">
        <v>12357</v>
      </c>
      <c r="O28" s="336">
        <v>1705</v>
      </c>
      <c r="P28" s="336">
        <v>1581</v>
      </c>
      <c r="Q28" s="336">
        <v>-3696</v>
      </c>
      <c r="R28" s="336">
        <v>-1385</v>
      </c>
      <c r="S28" s="336">
        <v>-1128.4099999999962</v>
      </c>
      <c r="T28" s="336">
        <v>-12638.599999999999</v>
      </c>
      <c r="U28" s="336">
        <v>-3129.4300000000003</v>
      </c>
      <c r="V28" s="336">
        <v>-25309.300000000003</v>
      </c>
      <c r="W28" s="336">
        <v>-7779.2800000000025</v>
      </c>
      <c r="X28" s="336">
        <v>-5229.6299999999937</v>
      </c>
      <c r="Y28" s="336">
        <v>-27056.920000000006</v>
      </c>
      <c r="Z28" s="336">
        <v>-16420.580000000009</v>
      </c>
      <c r="AA28" s="336">
        <v>6851.48</v>
      </c>
      <c r="AB28" s="336">
        <v>-5259.2999999999993</v>
      </c>
      <c r="AC28" s="336">
        <v>-20712.889999999992</v>
      </c>
      <c r="AD28" s="336">
        <v>-18855.440000000002</v>
      </c>
      <c r="AE28" s="336">
        <v>-3373.92</v>
      </c>
      <c r="AF28" s="336">
        <v>88.36</v>
      </c>
      <c r="AG28" s="336">
        <v>-609.0100000000001</v>
      </c>
      <c r="AH28" s="336">
        <v>-4396.8999999999996</v>
      </c>
      <c r="AI28" s="336">
        <v>12881.809999999994</v>
      </c>
      <c r="AJ28" s="336">
        <v>2401.529999999997</v>
      </c>
      <c r="AK28" s="336">
        <v>-3323.9800000000014</v>
      </c>
      <c r="AL28" s="336">
        <v>3853.8699999999953</v>
      </c>
      <c r="AM28" s="336">
        <v>9978.1</v>
      </c>
      <c r="AN28" s="336">
        <v>-3208.6500000000015</v>
      </c>
      <c r="AO28" s="336">
        <v>8458.0400000000009</v>
      </c>
      <c r="AP28" s="336">
        <v>15759.68</v>
      </c>
      <c r="AQ28" s="336">
        <v>8771.98</v>
      </c>
      <c r="AR28" s="336">
        <v>2713.2200000000012</v>
      </c>
      <c r="AS28" s="336">
        <v>2607.9700000000012</v>
      </c>
      <c r="AT28" s="336">
        <v>-27309.270000000004</v>
      </c>
      <c r="AU28" s="336">
        <v>7519.3000000000029</v>
      </c>
      <c r="AV28" s="336">
        <v>-367.78000000000247</v>
      </c>
      <c r="AW28" s="336">
        <v>5197.0900000000038</v>
      </c>
      <c r="AX28" s="336">
        <v>3725.6100000000006</v>
      </c>
      <c r="AY28" s="336">
        <v>1005.4599999999991</v>
      </c>
      <c r="AZ28" s="336">
        <v>0</v>
      </c>
      <c r="BA28" s="336">
        <v>7233.9399999999987</v>
      </c>
      <c r="BB28" s="336">
        <v>7052.17</v>
      </c>
      <c r="BC28" s="336">
        <v>-2222.0500000000029</v>
      </c>
    </row>
    <row r="29" spans="1:57" x14ac:dyDescent="0.25">
      <c r="B29" s="348" t="s">
        <v>63</v>
      </c>
      <c r="C29" s="336">
        <v>-1002</v>
      </c>
      <c r="D29" s="336">
        <v>11393</v>
      </c>
      <c r="E29" s="336">
        <v>17235</v>
      </c>
      <c r="F29" s="336">
        <v>-2322</v>
      </c>
      <c r="G29" s="336">
        <v>12476</v>
      </c>
      <c r="H29" s="336">
        <v>935</v>
      </c>
      <c r="I29" s="336">
        <v>5827</v>
      </c>
      <c r="J29" s="336">
        <v>3042</v>
      </c>
      <c r="K29" s="336">
        <v>2587</v>
      </c>
      <c r="L29" s="336">
        <v>-23860</v>
      </c>
      <c r="M29" s="336">
        <v>5937</v>
      </c>
      <c r="N29" s="336">
        <v>-4186</v>
      </c>
      <c r="O29" s="336">
        <v>417</v>
      </c>
      <c r="P29" s="336">
        <v>1229</v>
      </c>
      <c r="Q29" s="336">
        <v>-1921</v>
      </c>
      <c r="R29" s="336">
        <v>0</v>
      </c>
      <c r="S29" s="336">
        <v>6283.5499999999993</v>
      </c>
      <c r="T29" s="336">
        <v>-1367.62</v>
      </c>
      <c r="U29" s="336">
        <v>-2509.4000000000015</v>
      </c>
      <c r="V29" s="336">
        <v>-7543.4599999999991</v>
      </c>
      <c r="W29" s="336">
        <v>-3498.24</v>
      </c>
      <c r="X29" s="336">
        <v>-2081.159999999998</v>
      </c>
      <c r="Y29" s="336">
        <v>-11143.279999999999</v>
      </c>
      <c r="Z29" s="336">
        <v>-43988.26999999999</v>
      </c>
      <c r="AA29" s="336">
        <v>6788.8099999999995</v>
      </c>
      <c r="AB29" s="336">
        <v>-12496.329999999994</v>
      </c>
      <c r="AC29" s="336">
        <v>-15186.400000000001</v>
      </c>
      <c r="AD29" s="336">
        <v>-817.73999999999796</v>
      </c>
      <c r="AE29" s="336">
        <v>-3739.6100000000006</v>
      </c>
      <c r="AF29" s="336">
        <v>0</v>
      </c>
      <c r="AG29" s="336">
        <v>0</v>
      </c>
      <c r="AH29" s="336">
        <v>-6371.5499999999993</v>
      </c>
      <c r="AI29" s="336">
        <v>-8227.75</v>
      </c>
      <c r="AJ29" s="336">
        <v>14082.820000000007</v>
      </c>
      <c r="AK29" s="336">
        <v>-832.97999999999956</v>
      </c>
      <c r="AL29" s="336">
        <v>24455.059999999998</v>
      </c>
      <c r="AM29" s="336">
        <v>1897.4200000000019</v>
      </c>
      <c r="AN29" s="336">
        <v>5977.6200000000026</v>
      </c>
      <c r="AO29" s="336">
        <v>-29740.259999999995</v>
      </c>
      <c r="AP29" s="336">
        <v>-619.61000000000058</v>
      </c>
      <c r="AQ29" s="336">
        <v>-6546.0199999999968</v>
      </c>
      <c r="AR29" s="336">
        <v>-27817.01999999999</v>
      </c>
      <c r="AS29" s="336">
        <v>10312.43</v>
      </c>
      <c r="AT29" s="336">
        <v>-334.25999999999476</v>
      </c>
      <c r="AU29" s="336">
        <v>-16328.49000000002</v>
      </c>
      <c r="AV29" s="336">
        <v>794.04999999999563</v>
      </c>
      <c r="AW29" s="336">
        <v>-17703.61</v>
      </c>
      <c r="AX29" s="336">
        <v>-16564.930000000008</v>
      </c>
      <c r="AY29" s="336">
        <v>-97282.469999999972</v>
      </c>
      <c r="AZ29" s="336">
        <v>0</v>
      </c>
      <c r="BA29" s="336">
        <v>22621.350000000002</v>
      </c>
      <c r="BB29" s="336">
        <v>-10711.509999999998</v>
      </c>
      <c r="BC29" s="336">
        <v>-22066.559999999983</v>
      </c>
    </row>
    <row r="30" spans="1:57" x14ac:dyDescent="0.25">
      <c r="B30" s="348" t="s">
        <v>64</v>
      </c>
      <c r="C30" s="336">
        <v>0</v>
      </c>
      <c r="D30" s="336">
        <v>857</v>
      </c>
      <c r="E30" s="336">
        <v>2018</v>
      </c>
      <c r="F30" s="336">
        <v>0</v>
      </c>
      <c r="G30" s="336">
        <v>-3917</v>
      </c>
      <c r="H30" s="336">
        <v>-15694</v>
      </c>
      <c r="I30" s="336">
        <v>0</v>
      </c>
      <c r="J30" s="336">
        <v>-434.23000000000047</v>
      </c>
      <c r="K30" s="336">
        <v>-6992.010000000002</v>
      </c>
      <c r="L30" s="336">
        <v>0</v>
      </c>
      <c r="M30" s="336">
        <v>29137.659999999996</v>
      </c>
      <c r="N30" s="336">
        <v>-4240.4900000000052</v>
      </c>
      <c r="O30" s="336">
        <v>22678.89</v>
      </c>
      <c r="P30" s="336">
        <v>23288.39</v>
      </c>
      <c r="Q30" s="336">
        <v>101533.23999999999</v>
      </c>
      <c r="R30" s="336">
        <v>-75243.719999999972</v>
      </c>
      <c r="S30" s="336">
        <v>3544</v>
      </c>
      <c r="T30" s="336">
        <v>-2898.07</v>
      </c>
      <c r="U30" s="336">
        <v>376</v>
      </c>
      <c r="V30" s="336">
        <v>884</v>
      </c>
      <c r="W30" s="336">
        <v>-5805.6</v>
      </c>
      <c r="X30" s="336">
        <v>0</v>
      </c>
      <c r="Y30" s="336">
        <v>0</v>
      </c>
      <c r="Z30" s="336">
        <v>64421.069999999992</v>
      </c>
      <c r="AA30" s="336">
        <v>25991.380000000005</v>
      </c>
      <c r="AB30" s="336">
        <v>-12035.420000000013</v>
      </c>
      <c r="AC30" s="336">
        <v>46160.690000000031</v>
      </c>
      <c r="AD30" s="336">
        <v>5771.25</v>
      </c>
      <c r="AE30" s="336">
        <v>6604.9700000000012</v>
      </c>
      <c r="AF30" s="336">
        <v>27290.630000000005</v>
      </c>
      <c r="AG30" s="336">
        <v>-4702.6700000001583</v>
      </c>
      <c r="AH30" s="336">
        <v>-135.19000000000233</v>
      </c>
      <c r="AI30" s="336">
        <v>65682.499999999985</v>
      </c>
      <c r="AJ30" s="336">
        <v>10195.459999999995</v>
      </c>
      <c r="AK30" s="336">
        <v>-30754.190000000002</v>
      </c>
      <c r="AL30" s="336">
        <v>57447.110000000008</v>
      </c>
      <c r="AM30" s="336">
        <v>39267.819999999992</v>
      </c>
      <c r="AN30" s="336">
        <v>14144.350000000006</v>
      </c>
      <c r="AO30" s="336">
        <v>43526.389999999985</v>
      </c>
      <c r="AP30" s="336">
        <v>151932.98999999996</v>
      </c>
      <c r="AQ30" s="336">
        <v>20860.300000000003</v>
      </c>
      <c r="AR30" s="336">
        <v>150512.69999999998</v>
      </c>
      <c r="AS30" s="336">
        <v>25004.51999999999</v>
      </c>
      <c r="AT30" s="336">
        <v>8462.0400000000009</v>
      </c>
      <c r="AU30" s="336">
        <v>117436.57</v>
      </c>
      <c r="AV30" s="336">
        <v>18446.96</v>
      </c>
      <c r="AW30" s="336">
        <v>-4503.0500000000029</v>
      </c>
      <c r="AX30" s="336">
        <v>179524.21</v>
      </c>
      <c r="AY30" s="336">
        <v>11339.600000000035</v>
      </c>
      <c r="AZ30" s="336">
        <v>0</v>
      </c>
      <c r="BA30" s="336">
        <v>80537.69</v>
      </c>
      <c r="BB30" s="336">
        <v>-6695.2599999999948</v>
      </c>
      <c r="BC30" s="336">
        <v>186347.69</v>
      </c>
    </row>
    <row r="31" spans="1:57" x14ac:dyDescent="0.25">
      <c r="B31" s="348" t="s">
        <v>58</v>
      </c>
      <c r="C31" s="336">
        <v>489</v>
      </c>
      <c r="D31" s="336">
        <v>7936</v>
      </c>
      <c r="E31" s="336">
        <v>27346</v>
      </c>
      <c r="F31" s="336">
        <v>-1357</v>
      </c>
      <c r="G31" s="336">
        <v>5901</v>
      </c>
      <c r="H31" s="336">
        <v>-4499</v>
      </c>
      <c r="I31" s="336">
        <v>1413</v>
      </c>
      <c r="J31" s="336">
        <v>11956</v>
      </c>
      <c r="K31" s="336">
        <v>8625</v>
      </c>
      <c r="L31" s="336">
        <v>-996</v>
      </c>
      <c r="M31" s="336">
        <v>7581</v>
      </c>
      <c r="N31" s="336">
        <v>-776</v>
      </c>
      <c r="O31" s="336">
        <v>5616</v>
      </c>
      <c r="P31" s="336">
        <v>3560</v>
      </c>
      <c r="Q31" s="336">
        <v>2808</v>
      </c>
      <c r="R31" s="336">
        <v>8620</v>
      </c>
      <c r="S31" s="336">
        <v>7635.0999999999985</v>
      </c>
      <c r="T31" s="336">
        <v>-68.889999999999418</v>
      </c>
      <c r="U31" s="336">
        <v>7639.3099999999977</v>
      </c>
      <c r="V31" s="336">
        <v>31282</v>
      </c>
      <c r="W31" s="336">
        <v>-1243.7099999999991</v>
      </c>
      <c r="X31" s="336">
        <v>8100.2199999999993</v>
      </c>
      <c r="Y31" s="336">
        <v>4039.84</v>
      </c>
      <c r="Z31" s="336">
        <v>6556.5700000000033</v>
      </c>
      <c r="AA31" s="336">
        <v>10253</v>
      </c>
      <c r="AB31" s="336">
        <v>11759.86</v>
      </c>
      <c r="AC31" s="336">
        <v>21205.67</v>
      </c>
      <c r="AD31" s="336">
        <v>17626.670000000002</v>
      </c>
      <c r="AE31" s="336">
        <v>2111.9799999999996</v>
      </c>
      <c r="AF31" s="336">
        <v>21044.84</v>
      </c>
      <c r="AG31" s="336">
        <v>15608.66</v>
      </c>
      <c r="AH31" s="336">
        <v>1957.33</v>
      </c>
      <c r="AI31" s="336">
        <v>144284.99</v>
      </c>
      <c r="AJ31" s="336">
        <v>56172.99</v>
      </c>
      <c r="AK31" s="336">
        <v>38934.29</v>
      </c>
      <c r="AL31" s="336">
        <v>80074.819999999992</v>
      </c>
      <c r="AM31" s="336">
        <v>39234.199999999997</v>
      </c>
      <c r="AN31" s="336">
        <v>86398.58</v>
      </c>
      <c r="AO31" s="336">
        <v>63092.739999999991</v>
      </c>
      <c r="AP31" s="336">
        <v>56749.82</v>
      </c>
      <c r="AQ31" s="336">
        <v>24572.760000000002</v>
      </c>
      <c r="AR31" s="336">
        <v>11922.720000000005</v>
      </c>
      <c r="AS31" s="336">
        <v>68127.259999999995</v>
      </c>
      <c r="AT31" s="336">
        <v>188144.48</v>
      </c>
      <c r="AU31" s="336">
        <v>108669.04000000001</v>
      </c>
      <c r="AV31" s="336">
        <v>52185.94</v>
      </c>
      <c r="AW31" s="336">
        <v>178.28000000000247</v>
      </c>
      <c r="AX31" s="336">
        <v>85031.1</v>
      </c>
      <c r="AY31" s="336">
        <v>5657.710000000021</v>
      </c>
      <c r="AZ31" s="336">
        <v>0</v>
      </c>
      <c r="BA31" s="336">
        <v>82715.070000000007</v>
      </c>
      <c r="BB31" s="336">
        <v>546.40999999999622</v>
      </c>
      <c r="BC31" s="336">
        <v>10361.239999999998</v>
      </c>
    </row>
    <row r="32" spans="1:57" x14ac:dyDescent="0.25">
      <c r="B32" s="264" t="s">
        <v>132</v>
      </c>
      <c r="C32" s="336">
        <v>14257</v>
      </c>
      <c r="D32" s="336">
        <v>9600</v>
      </c>
      <c r="E32" s="336">
        <v>13294</v>
      </c>
      <c r="F32" s="336">
        <v>2559</v>
      </c>
      <c r="G32" s="336">
        <v>-10789</v>
      </c>
      <c r="H32" s="336">
        <v>22828</v>
      </c>
      <c r="I32" s="336">
        <v>36930</v>
      </c>
      <c r="J32" s="336">
        <v>30846</v>
      </c>
      <c r="K32" s="336">
        <v>108347</v>
      </c>
      <c r="L32" s="336">
        <v>-455</v>
      </c>
      <c r="M32" s="336">
        <v>180</v>
      </c>
      <c r="N32" s="336">
        <v>30731</v>
      </c>
      <c r="O32" s="336">
        <v>1888</v>
      </c>
      <c r="P32" s="336">
        <v>-934</v>
      </c>
      <c r="Q32" s="336">
        <v>37129</v>
      </c>
      <c r="R32" s="336">
        <v>2435</v>
      </c>
      <c r="S32" s="336">
        <v>-6345.8300000000017</v>
      </c>
      <c r="T32" s="336">
        <v>18807.73</v>
      </c>
      <c r="U32" s="336">
        <v>5758.4000000000015</v>
      </c>
      <c r="V32" s="336">
        <v>2215.4300000000003</v>
      </c>
      <c r="W32" s="336">
        <v>-6318.6399999999994</v>
      </c>
      <c r="X32" s="336">
        <v>9114.11</v>
      </c>
      <c r="Y32" s="336">
        <v>1770.9599999999991</v>
      </c>
      <c r="Z32" s="336">
        <v>16484.560000000001</v>
      </c>
      <c r="AA32" s="336">
        <v>9450.9599999999991</v>
      </c>
      <c r="AB32" s="336">
        <v>6568.01</v>
      </c>
      <c r="AC32" s="336">
        <v>16723.39</v>
      </c>
      <c r="AD32" s="336">
        <v>50932.12</v>
      </c>
      <c r="AE32" s="336">
        <v>24964.190000000002</v>
      </c>
      <c r="AF32" s="336">
        <v>20346.53</v>
      </c>
      <c r="AG32" s="336">
        <v>19718.55</v>
      </c>
      <c r="AH32" s="336">
        <v>-18972.910000000003</v>
      </c>
      <c r="AI32" s="336">
        <v>267195.65000000002</v>
      </c>
      <c r="AJ32" s="336">
        <v>22875.040000000008</v>
      </c>
      <c r="AK32" s="336">
        <v>88874.82</v>
      </c>
      <c r="AL32" s="336">
        <v>95753.38</v>
      </c>
      <c r="AM32" s="336">
        <v>10422.189999999999</v>
      </c>
      <c r="AN32" s="336">
        <v>95690.48</v>
      </c>
      <c r="AO32" s="336">
        <v>372827.46</v>
      </c>
      <c r="AP32" s="336">
        <v>109540.29000000001</v>
      </c>
      <c r="AQ32" s="336">
        <v>43357.8</v>
      </c>
      <c r="AR32" s="336">
        <v>22371.490000000005</v>
      </c>
      <c r="AS32" s="336">
        <v>62988.800000000003</v>
      </c>
      <c r="AT32" s="336">
        <v>-176315.37</v>
      </c>
      <c r="AU32" s="336">
        <v>133783.19</v>
      </c>
      <c r="AV32" s="336">
        <v>61321.810000000012</v>
      </c>
      <c r="AW32" s="336">
        <v>15394.719999999998</v>
      </c>
      <c r="AX32" s="336">
        <v>-10378.86</v>
      </c>
      <c r="AY32" s="336">
        <v>-4445.7600000000093</v>
      </c>
      <c r="AZ32" s="336">
        <v>0</v>
      </c>
      <c r="BA32" s="336">
        <v>41374.649999999994</v>
      </c>
      <c r="BB32" s="336">
        <v>21338.600000000002</v>
      </c>
      <c r="BC32" s="336">
        <v>54624.969999999987</v>
      </c>
    </row>
    <row r="35" spans="2:13" x14ac:dyDescent="0.25">
      <c r="D35" s="259" t="s">
        <v>137</v>
      </c>
      <c r="E35" s="259" t="s">
        <v>138</v>
      </c>
      <c r="K35" s="258" t="s">
        <v>139</v>
      </c>
      <c r="M35" s="258" t="s">
        <v>140</v>
      </c>
    </row>
    <row r="36" spans="2:13" x14ac:dyDescent="0.25">
      <c r="B36" s="266" t="s">
        <v>1</v>
      </c>
      <c r="D36" s="303">
        <v>30841.580000000024</v>
      </c>
      <c r="E36" s="303">
        <v>3783643</v>
      </c>
      <c r="F36" s="262">
        <v>8.1512922862965725E-3</v>
      </c>
      <c r="J36" s="258" t="s">
        <v>119</v>
      </c>
    </row>
    <row r="37" spans="2:13" x14ac:dyDescent="0.25">
      <c r="B37" s="264" t="s">
        <v>81</v>
      </c>
      <c r="C37" s="258" t="s">
        <v>18</v>
      </c>
      <c r="D37" s="304">
        <v>0</v>
      </c>
      <c r="E37" s="304">
        <v>81000</v>
      </c>
      <c r="F37" s="262">
        <v>0</v>
      </c>
      <c r="J37" s="258" t="s">
        <v>141</v>
      </c>
      <c r="K37" s="270">
        <v>366004.67</v>
      </c>
      <c r="L37" s="270">
        <v>1191816.1000000001</v>
      </c>
      <c r="M37" s="267">
        <v>825811.43000000017</v>
      </c>
    </row>
    <row r="38" spans="2:13" x14ac:dyDescent="0.25">
      <c r="B38" s="264" t="s">
        <v>82</v>
      </c>
      <c r="C38" s="258" t="s">
        <v>19</v>
      </c>
      <c r="D38" s="304">
        <v>13528.47</v>
      </c>
      <c r="E38" s="304">
        <v>55000</v>
      </c>
      <c r="F38" s="262">
        <v>0.24597218181818181</v>
      </c>
      <c r="J38" s="258" t="s">
        <v>142</v>
      </c>
      <c r="K38" s="270">
        <v>4274.7800000000007</v>
      </c>
      <c r="L38" s="270">
        <v>853000</v>
      </c>
      <c r="M38" s="267">
        <v>848725.22</v>
      </c>
    </row>
    <row r="39" spans="2:13" x14ac:dyDescent="0.25">
      <c r="B39" s="264" t="s">
        <v>83</v>
      </c>
      <c r="C39" s="258" t="s">
        <v>20</v>
      </c>
      <c r="D39" s="304">
        <v>3263.9</v>
      </c>
      <c r="E39" s="304">
        <v>615060</v>
      </c>
      <c r="F39" s="262">
        <v>5.3066367508860929E-3</v>
      </c>
      <c r="J39" s="258" t="s">
        <v>143</v>
      </c>
      <c r="K39" s="270">
        <v>88948.900000000009</v>
      </c>
      <c r="L39" s="270">
        <v>1874073</v>
      </c>
      <c r="M39" s="267">
        <v>1785124.1</v>
      </c>
    </row>
    <row r="40" spans="2:13" x14ac:dyDescent="0.25">
      <c r="B40" s="264" t="s">
        <v>84</v>
      </c>
      <c r="C40" s="258" t="s">
        <v>21</v>
      </c>
      <c r="D40" s="304">
        <v>43311.98</v>
      </c>
      <c r="E40" s="304">
        <v>575013</v>
      </c>
      <c r="F40" s="262">
        <v>7.5323479643068944E-2</v>
      </c>
      <c r="J40" s="258" t="s">
        <v>144</v>
      </c>
      <c r="K40" s="270">
        <v>-58107.32</v>
      </c>
      <c r="L40" s="270">
        <v>1909570</v>
      </c>
      <c r="M40" s="267">
        <v>1967677.32</v>
      </c>
    </row>
    <row r="41" spans="2:13" x14ac:dyDescent="0.25">
      <c r="B41" s="264" t="s">
        <v>85</v>
      </c>
      <c r="C41" s="258" t="s">
        <v>22</v>
      </c>
      <c r="D41" s="304">
        <v>0</v>
      </c>
      <c r="E41" s="304">
        <v>100000</v>
      </c>
      <c r="F41" s="262">
        <v>0</v>
      </c>
      <c r="J41" s="258" t="s">
        <v>145</v>
      </c>
      <c r="K41" s="270">
        <v>0</v>
      </c>
      <c r="L41" s="270">
        <v>1691400</v>
      </c>
      <c r="M41" s="267">
        <v>1691400</v>
      </c>
    </row>
    <row r="42" spans="2:13" x14ac:dyDescent="0.25">
      <c r="B42" s="264" t="s">
        <v>86</v>
      </c>
      <c r="C42" s="258" t="s">
        <v>23</v>
      </c>
      <c r="D42" s="304">
        <v>0</v>
      </c>
      <c r="E42" s="304">
        <v>380000</v>
      </c>
      <c r="F42" s="262">
        <v>0</v>
      </c>
      <c r="J42" s="258" t="s">
        <v>146</v>
      </c>
      <c r="K42" s="270">
        <v>0</v>
      </c>
      <c r="L42" s="270">
        <v>2581300</v>
      </c>
      <c r="M42" s="267">
        <v>2581300</v>
      </c>
    </row>
    <row r="43" spans="2:13" x14ac:dyDescent="0.25">
      <c r="B43" s="264" t="s">
        <v>87</v>
      </c>
      <c r="C43" s="258" t="s">
        <v>24</v>
      </c>
      <c r="D43" s="304">
        <v>28844.55</v>
      </c>
      <c r="E43" s="304">
        <v>68000</v>
      </c>
      <c r="F43" s="262">
        <v>0.4241845588235294</v>
      </c>
      <c r="J43" s="258" t="s">
        <v>147</v>
      </c>
      <c r="K43" s="258">
        <v>0</v>
      </c>
    </row>
    <row r="44" spans="2:13" x14ac:dyDescent="0.25">
      <c r="B44" s="264" t="s">
        <v>88</v>
      </c>
      <c r="C44" s="258" t="s">
        <v>31</v>
      </c>
      <c r="D44" s="304">
        <v>6746.8499999999995</v>
      </c>
      <c r="E44" s="304">
        <v>86210</v>
      </c>
      <c r="F44" s="262">
        <v>7.8260642616865786E-2</v>
      </c>
    </row>
    <row r="45" spans="2:13" x14ac:dyDescent="0.25">
      <c r="B45" s="264" t="s">
        <v>89</v>
      </c>
      <c r="C45" s="258" t="s">
        <v>25</v>
      </c>
      <c r="D45" s="304">
        <v>-3894.6099999999997</v>
      </c>
      <c r="E45" s="304">
        <v>303000</v>
      </c>
      <c r="F45" s="263">
        <v>-1.2853498349834982E-2</v>
      </c>
    </row>
    <row r="46" spans="2:13" x14ac:dyDescent="0.25">
      <c r="B46" s="264" t="s">
        <v>90</v>
      </c>
      <c r="C46" s="258" t="s">
        <v>26</v>
      </c>
      <c r="D46" s="304">
        <v>678.96</v>
      </c>
      <c r="E46" s="304">
        <v>176080</v>
      </c>
      <c r="F46" s="263">
        <v>3.8559745570195367E-3</v>
      </c>
    </row>
    <row r="47" spans="2:13" x14ac:dyDescent="0.25">
      <c r="B47" s="264" t="s">
        <v>91</v>
      </c>
      <c r="C47" s="258" t="s">
        <v>27</v>
      </c>
      <c r="D47" s="304">
        <v>-3769.01</v>
      </c>
      <c r="E47" s="304">
        <v>248100</v>
      </c>
      <c r="F47" s="263">
        <v>-1.5191495364772271E-2</v>
      </c>
    </row>
    <row r="48" spans="2:13" x14ac:dyDescent="0.25">
      <c r="B48" s="264" t="s">
        <v>92</v>
      </c>
      <c r="C48" s="258" t="s">
        <v>28</v>
      </c>
      <c r="D48" s="304">
        <v>-6189.74</v>
      </c>
      <c r="E48" s="304">
        <v>574700</v>
      </c>
      <c r="F48" s="263">
        <v>-1.0770384548460066E-2</v>
      </c>
    </row>
    <row r="49" spans="2:17" x14ac:dyDescent="0.25">
      <c r="B49" s="264" t="s">
        <v>93</v>
      </c>
      <c r="C49" s="258" t="s">
        <v>32</v>
      </c>
      <c r="D49" s="304">
        <v>0</v>
      </c>
      <c r="E49" s="304">
        <v>52380</v>
      </c>
      <c r="F49" s="263">
        <v>0</v>
      </c>
    </row>
    <row r="50" spans="2:17" x14ac:dyDescent="0.25">
      <c r="B50" s="264" t="s">
        <v>94</v>
      </c>
      <c r="C50" s="258" t="s">
        <v>29</v>
      </c>
      <c r="D50" s="304">
        <v>-56830.02</v>
      </c>
      <c r="E50" s="304">
        <v>231500</v>
      </c>
      <c r="F50" s="263">
        <v>-0.24548604751619868</v>
      </c>
    </row>
    <row r="51" spans="2:17" x14ac:dyDescent="0.25">
      <c r="B51" s="264" t="s">
        <v>95</v>
      </c>
      <c r="C51" s="258" t="s">
        <v>30</v>
      </c>
      <c r="D51" s="304">
        <v>5150.25</v>
      </c>
      <c r="E51" s="304">
        <v>237600</v>
      </c>
      <c r="F51" s="263">
        <v>2.1676136363636363E-2</v>
      </c>
    </row>
    <row r="52" spans="2:17" x14ac:dyDescent="0.25">
      <c r="B52" s="266" t="s">
        <v>0</v>
      </c>
      <c r="C52" s="259"/>
      <c r="D52" s="374">
        <v>370279.45</v>
      </c>
      <c r="E52" s="303">
        <v>2044816.0999999999</v>
      </c>
      <c r="F52" s="262">
        <v>0.18108202982165489</v>
      </c>
    </row>
    <row r="53" spans="2:17" x14ac:dyDescent="0.25">
      <c r="B53" s="264" t="s">
        <v>71</v>
      </c>
      <c r="C53" s="258" t="s">
        <v>13</v>
      </c>
      <c r="D53" s="373">
        <v>-8362.5499999999993</v>
      </c>
      <c r="E53" s="304">
        <v>548400</v>
      </c>
      <c r="F53" s="262">
        <v>-1.5248997082421589E-2</v>
      </c>
    </row>
    <row r="54" spans="2:17" x14ac:dyDescent="0.25">
      <c r="B54" s="264" t="s">
        <v>72</v>
      </c>
      <c r="C54" s="258" t="s">
        <v>14</v>
      </c>
      <c r="D54" s="373">
        <v>0</v>
      </c>
      <c r="E54" s="304">
        <v>6500</v>
      </c>
      <c r="F54" s="262">
        <v>0</v>
      </c>
    </row>
    <row r="55" spans="2:17" x14ac:dyDescent="0.25">
      <c r="B55" s="264" t="s">
        <v>73</v>
      </c>
      <c r="C55" s="258" t="s">
        <v>15</v>
      </c>
      <c r="D55" s="373">
        <v>7573.6</v>
      </c>
      <c r="E55" s="304">
        <v>111353</v>
      </c>
      <c r="F55" s="262">
        <v>6.8014332797499841E-2</v>
      </c>
    </row>
    <row r="56" spans="2:17" x14ac:dyDescent="0.25">
      <c r="B56" s="264" t="s">
        <v>74</v>
      </c>
      <c r="C56" s="258" t="s">
        <v>16</v>
      </c>
      <c r="D56" s="373">
        <v>-5897.07</v>
      </c>
      <c r="E56" s="304">
        <v>70500</v>
      </c>
      <c r="F56" s="262">
        <v>-8.3646382978723399E-2</v>
      </c>
    </row>
    <row r="57" spans="2:17" x14ac:dyDescent="0.25">
      <c r="B57" s="264" t="s">
        <v>75</v>
      </c>
      <c r="C57" s="258" t="s">
        <v>17</v>
      </c>
      <c r="D57" s="373">
        <v>10960.8</v>
      </c>
      <c r="E57" s="304">
        <v>116246.99999999997</v>
      </c>
      <c r="F57" s="262">
        <v>9.4288884874448392E-2</v>
      </c>
    </row>
    <row r="58" spans="2:17" x14ac:dyDescent="0.25">
      <c r="B58" s="264" t="s">
        <v>76</v>
      </c>
      <c r="C58" s="258" t="s">
        <v>8</v>
      </c>
      <c r="D58" s="373">
        <v>0</v>
      </c>
      <c r="E58" s="304">
        <v>196468.71000000002</v>
      </c>
      <c r="F58" s="262">
        <v>0</v>
      </c>
    </row>
    <row r="59" spans="2:17" x14ac:dyDescent="0.25">
      <c r="B59" s="264" t="s">
        <v>77</v>
      </c>
      <c r="C59" s="258" t="s">
        <v>9</v>
      </c>
      <c r="D59" s="373">
        <v>223871.09</v>
      </c>
      <c r="E59" s="304">
        <v>178947.86</v>
      </c>
      <c r="F59" s="262">
        <v>1.2510408897876735</v>
      </c>
    </row>
    <row r="60" spans="2:17" x14ac:dyDescent="0.25">
      <c r="B60" s="264" t="s">
        <v>78</v>
      </c>
      <c r="C60" s="258" t="s">
        <v>10</v>
      </c>
      <c r="D60" s="373">
        <v>24157.35</v>
      </c>
      <c r="E60" s="304">
        <v>157432.53</v>
      </c>
      <c r="F60" s="262">
        <v>0.15344573322933958</v>
      </c>
    </row>
    <row r="61" spans="2:17" x14ac:dyDescent="0.25">
      <c r="B61" s="264" t="s">
        <v>79</v>
      </c>
      <c r="C61" s="258" t="s">
        <v>114</v>
      </c>
      <c r="D61" s="373">
        <v>0</v>
      </c>
      <c r="E61" s="304">
        <v>484000</v>
      </c>
      <c r="F61" s="262">
        <v>0</v>
      </c>
    </row>
    <row r="62" spans="2:17" x14ac:dyDescent="0.25">
      <c r="B62" s="264" t="s">
        <v>80</v>
      </c>
      <c r="C62" s="258" t="s">
        <v>12</v>
      </c>
      <c r="D62" s="373">
        <v>117976.23</v>
      </c>
      <c r="E62" s="304">
        <v>174967</v>
      </c>
      <c r="F62" s="262">
        <v>0.67427703509804704</v>
      </c>
      <c r="N62"/>
    </row>
    <row r="63" spans="2:17" x14ac:dyDescent="0.25">
      <c r="B63" s="266" t="s">
        <v>120</v>
      </c>
      <c r="D63" s="303"/>
      <c r="E63" s="303">
        <v>1691400</v>
      </c>
      <c r="F63" s="262">
        <v>0</v>
      </c>
    </row>
    <row r="64" spans="2:17" x14ac:dyDescent="0.25">
      <c r="B64" s="271" t="s">
        <v>97</v>
      </c>
      <c r="C64" s="258" t="s">
        <v>35</v>
      </c>
      <c r="D64" s="304"/>
      <c r="E64" s="304">
        <v>156099.99999999997</v>
      </c>
      <c r="F64" s="262">
        <v>0</v>
      </c>
      <c r="H64" s="271"/>
      <c r="I64" s="272"/>
      <c r="J64" s="262"/>
      <c r="K64" s="262"/>
      <c r="L64" s="262"/>
      <c r="M64" s="262"/>
      <c r="N64" s="262"/>
      <c r="O64" s="262"/>
      <c r="P64" s="262"/>
      <c r="Q64" s="262"/>
    </row>
    <row r="65" spans="2:17" x14ac:dyDescent="0.25">
      <c r="B65" s="271" t="s">
        <v>98</v>
      </c>
      <c r="C65" s="258" t="s">
        <v>34</v>
      </c>
      <c r="D65" s="304"/>
      <c r="E65" s="304">
        <v>162599.99999999997</v>
      </c>
      <c r="F65" s="262">
        <v>0</v>
      </c>
      <c r="H65" s="271"/>
      <c r="I65" s="275"/>
      <c r="J65" s="274"/>
      <c r="K65" s="274"/>
      <c r="L65" s="350"/>
      <c r="M65" s="350"/>
      <c r="N65" s="350"/>
      <c r="O65" s="350"/>
      <c r="P65" s="350"/>
      <c r="Q65" s="350"/>
    </row>
    <row r="66" spans="2:17" x14ac:dyDescent="0.25">
      <c r="B66" s="271" t="s">
        <v>99</v>
      </c>
      <c r="C66" s="258" t="s">
        <v>36</v>
      </c>
      <c r="D66" s="304"/>
      <c r="E66" s="304">
        <v>95099.999999999985</v>
      </c>
      <c r="F66" s="262">
        <v>0</v>
      </c>
      <c r="H66" s="271"/>
      <c r="I66" s="275"/>
      <c r="J66" s="273"/>
      <c r="K66" s="274"/>
    </row>
    <row r="67" spans="2:17" x14ac:dyDescent="0.25">
      <c r="B67" s="271" t="s">
        <v>100</v>
      </c>
      <c r="C67" s="258" t="s">
        <v>37</v>
      </c>
      <c r="D67" s="304"/>
      <c r="E67" s="304">
        <v>192700</v>
      </c>
      <c r="F67" s="262">
        <v>0</v>
      </c>
      <c r="H67" s="271"/>
      <c r="I67" s="275"/>
      <c r="J67" s="273"/>
      <c r="K67" s="274"/>
    </row>
    <row r="68" spans="2:17" x14ac:dyDescent="0.25">
      <c r="B68" s="271" t="s">
        <v>101</v>
      </c>
      <c r="C68" s="258" t="s">
        <v>39</v>
      </c>
      <c r="D68" s="304"/>
      <c r="E68" s="304">
        <v>45150</v>
      </c>
      <c r="F68" s="262">
        <v>0</v>
      </c>
      <c r="H68" s="271"/>
      <c r="I68" s="275"/>
      <c r="J68" s="273"/>
      <c r="K68" s="274"/>
    </row>
    <row r="69" spans="2:17" x14ac:dyDescent="0.25">
      <c r="B69" s="271" t="s">
        <v>102</v>
      </c>
      <c r="C69" s="258" t="s">
        <v>38</v>
      </c>
      <c r="D69" s="304"/>
      <c r="E69" s="304">
        <v>165100</v>
      </c>
      <c r="F69" s="262">
        <v>0</v>
      </c>
      <c r="H69" s="271"/>
      <c r="I69" s="275"/>
      <c r="J69" s="273"/>
      <c r="K69" s="274"/>
    </row>
    <row r="70" spans="2:17" x14ac:dyDescent="0.25">
      <c r="B70" s="271" t="s">
        <v>103</v>
      </c>
      <c r="C70" s="258" t="s">
        <v>33</v>
      </c>
      <c r="D70" s="304"/>
      <c r="E70" s="304">
        <v>206750</v>
      </c>
      <c r="F70" s="262">
        <v>0</v>
      </c>
      <c r="H70" s="271"/>
      <c r="I70" s="275"/>
      <c r="J70" s="273"/>
      <c r="K70" s="274"/>
    </row>
    <row r="71" spans="2:17" x14ac:dyDescent="0.25">
      <c r="B71" s="271" t="s">
        <v>104</v>
      </c>
      <c r="C71" s="258" t="s">
        <v>40</v>
      </c>
      <c r="D71" s="304"/>
      <c r="E71" s="304">
        <v>667900.00000000012</v>
      </c>
      <c r="F71" s="262">
        <v>0</v>
      </c>
      <c r="H71" s="271"/>
      <c r="I71" s="275"/>
      <c r="J71" s="273"/>
      <c r="K71" s="274"/>
    </row>
    <row r="72" spans="2:17" x14ac:dyDescent="0.25">
      <c r="B72" s="266" t="s">
        <v>121</v>
      </c>
      <c r="D72" s="303"/>
      <c r="E72" s="303">
        <v>2581300</v>
      </c>
      <c r="F72" s="262">
        <v>0</v>
      </c>
      <c r="H72" s="276"/>
      <c r="I72" s="277"/>
      <c r="J72" s="278"/>
      <c r="K72" s="274"/>
    </row>
    <row r="73" spans="2:17" x14ac:dyDescent="0.25">
      <c r="B73" s="271" t="s">
        <v>106</v>
      </c>
      <c r="C73" s="258" t="s">
        <v>41</v>
      </c>
      <c r="D73" s="304"/>
      <c r="E73" s="304">
        <v>230300</v>
      </c>
      <c r="F73" s="262">
        <v>0</v>
      </c>
      <c r="H73" s="271"/>
      <c r="I73" s="272"/>
      <c r="J73" s="273"/>
      <c r="K73" s="274"/>
    </row>
    <row r="74" spans="2:17" x14ac:dyDescent="0.25">
      <c r="B74" s="271" t="s">
        <v>107</v>
      </c>
      <c r="C74" s="258" t="s">
        <v>42</v>
      </c>
      <c r="D74" s="304"/>
      <c r="E74" s="304">
        <v>308400.00000000006</v>
      </c>
      <c r="F74" s="262">
        <v>0</v>
      </c>
      <c r="H74" s="271"/>
      <c r="I74" s="272"/>
      <c r="J74" s="273"/>
      <c r="K74" s="274"/>
    </row>
    <row r="75" spans="2:17" x14ac:dyDescent="0.25">
      <c r="B75" s="271" t="s">
        <v>108</v>
      </c>
      <c r="C75" s="258" t="s">
        <v>47</v>
      </c>
      <c r="D75" s="304"/>
      <c r="E75" s="304">
        <v>203499.99999999997</v>
      </c>
      <c r="F75" s="262">
        <v>0</v>
      </c>
      <c r="H75" s="271"/>
      <c r="I75" s="272"/>
      <c r="J75" s="273"/>
      <c r="K75" s="274"/>
    </row>
    <row r="76" spans="2:17" x14ac:dyDescent="0.25">
      <c r="B76" s="271" t="s">
        <v>109</v>
      </c>
      <c r="C76" s="258" t="s">
        <v>44</v>
      </c>
      <c r="D76" s="304"/>
      <c r="E76" s="304">
        <v>321900.00000000006</v>
      </c>
      <c r="F76" s="262">
        <v>0</v>
      </c>
      <c r="H76" s="271"/>
      <c r="I76" s="272"/>
      <c r="J76" s="273"/>
      <c r="K76" s="274"/>
    </row>
    <row r="77" spans="2:17" x14ac:dyDescent="0.25">
      <c r="B77" s="271" t="s">
        <v>110</v>
      </c>
      <c r="C77" s="258" t="s">
        <v>48</v>
      </c>
      <c r="D77" s="304"/>
      <c r="E77" s="304">
        <v>502499.95999999996</v>
      </c>
      <c r="F77" s="262">
        <v>0</v>
      </c>
      <c r="H77" s="271"/>
      <c r="I77" s="272"/>
      <c r="J77" s="273"/>
      <c r="K77" s="274"/>
    </row>
    <row r="78" spans="2:17" x14ac:dyDescent="0.25">
      <c r="B78" s="271" t="s">
        <v>111</v>
      </c>
      <c r="C78" s="258" t="s">
        <v>45</v>
      </c>
      <c r="D78" s="304"/>
      <c r="E78" s="304">
        <v>225200</v>
      </c>
      <c r="F78" s="262">
        <v>0</v>
      </c>
      <c r="H78" s="271"/>
      <c r="I78" s="272"/>
      <c r="J78" s="273"/>
      <c r="K78" s="274"/>
    </row>
    <row r="79" spans="2:17" x14ac:dyDescent="0.25">
      <c r="B79" s="271" t="s">
        <v>112</v>
      </c>
      <c r="C79" s="258" t="s">
        <v>46</v>
      </c>
      <c r="D79" s="304"/>
      <c r="E79" s="304">
        <v>544900</v>
      </c>
      <c r="F79" s="262">
        <v>0</v>
      </c>
      <c r="H79" s="271"/>
      <c r="I79" s="272"/>
      <c r="J79" s="273"/>
      <c r="K79" s="274"/>
    </row>
    <row r="80" spans="2:17" x14ac:dyDescent="0.25">
      <c r="B80" s="271" t="s">
        <v>113</v>
      </c>
      <c r="C80" s="258" t="s">
        <v>43</v>
      </c>
      <c r="D80" s="304"/>
      <c r="E80" s="304">
        <v>244600.04000000007</v>
      </c>
      <c r="F80" s="262">
        <v>0</v>
      </c>
      <c r="H80" s="271"/>
      <c r="I80" s="272"/>
      <c r="J80" s="273"/>
      <c r="K80" s="274"/>
    </row>
    <row r="81" spans="5:5" x14ac:dyDescent="0.25">
      <c r="E81" s="349"/>
    </row>
  </sheetData>
  <conditionalFormatting sqref="C28:BC32">
    <cfRule type="cellIs" dxfId="19" priority="1" operator="greaterThanOrEqual">
      <formula>0</formula>
    </cfRule>
    <cfRule type="cellIs" dxfId="18" priority="2" operator="lessThan">
      <formula>0</formula>
    </cfRule>
  </conditionalFormatting>
  <conditionalFormatting sqref="I25:I26">
    <cfRule type="cellIs" dxfId="17" priority="3" operator="lessThan">
      <formula>0</formula>
    </cfRule>
  </conditionalFormatting>
  <conditionalFormatting sqref="I20:BE24 C22:H22 C24:H24 BD25:BE25 I25:I26 AH25:BC26">
    <cfRule type="cellIs" dxfId="16" priority="4" operator="greaterThan">
      <formula>0</formula>
    </cfRule>
  </conditionalFormatting>
  <conditionalFormatting sqref="I20:BE24 C22:H22 C24:H24 BD25:BE25 AH25:BC26">
    <cfRule type="cellIs" dxfId="15" priority="5" operator="lessThan">
      <formula>0</formula>
    </cfRule>
  </conditionalFormatting>
  <pageMargins left="0.7" right="0.7" top="0.75" bottom="0.75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BD39-7339-4AD4-B95C-AE71D0F5934C}">
  <dimension ref="A1:BF88"/>
  <sheetViews>
    <sheetView zoomScale="85" zoomScaleNormal="85" workbookViewId="0">
      <pane xSplit="2" topLeftCell="C1" activePane="topRight" state="frozen"/>
      <selection pane="topRight"/>
    </sheetView>
  </sheetViews>
  <sheetFormatPr defaultColWidth="9.140625" defaultRowHeight="15" x14ac:dyDescent="0.25"/>
  <cols>
    <col min="1" max="1" width="9.140625" style="318" customWidth="1"/>
    <col min="2" max="2" width="29.140625" style="341" customWidth="1"/>
    <col min="3" max="3" width="11.140625" style="318" customWidth="1"/>
    <col min="4" max="4" width="10.42578125" style="318" customWidth="1"/>
    <col min="5" max="5" width="11.28515625" style="318" customWidth="1"/>
    <col min="6" max="6" width="9.140625" style="318" customWidth="1"/>
    <col min="7" max="7" width="10.42578125" style="318" bestFit="1" customWidth="1"/>
    <col min="8" max="8" width="11.42578125" style="318" bestFit="1" customWidth="1"/>
    <col min="9" max="9" width="9.140625" style="318" customWidth="1"/>
    <col min="10" max="10" width="12.140625" style="318" bestFit="1" customWidth="1"/>
    <col min="11" max="11" width="10.5703125" style="318" customWidth="1"/>
    <col min="12" max="12" width="13.140625" style="318" bestFit="1" customWidth="1"/>
    <col min="13" max="13" width="12.5703125" style="318" bestFit="1" customWidth="1"/>
    <col min="14" max="34" width="9.140625" style="318" customWidth="1"/>
    <col min="35" max="35" width="10.42578125" style="318" customWidth="1"/>
    <col min="36" max="36" width="9.140625" style="318" customWidth="1"/>
    <col min="37" max="38" width="11.42578125" style="318" bestFit="1" customWidth="1"/>
    <col min="39" max="39" width="10.140625" style="318" customWidth="1"/>
    <col min="40" max="40" width="9.140625" style="318" customWidth="1"/>
    <col min="41" max="41" width="12.42578125" style="318" bestFit="1" customWidth="1"/>
    <col min="42" max="42" width="11.42578125" style="318" bestFit="1" customWidth="1"/>
    <col min="43" max="43" width="9.140625" style="318" customWidth="1"/>
    <col min="44" max="44" width="12.42578125" style="318" bestFit="1" customWidth="1"/>
    <col min="45" max="46" width="11.42578125" style="318" bestFit="1" customWidth="1"/>
    <col min="47" max="48" width="12.42578125" style="318" bestFit="1" customWidth="1"/>
    <col min="49" max="50" width="11.42578125" style="318" bestFit="1" customWidth="1"/>
    <col min="51" max="51" width="12.42578125" style="318" bestFit="1" customWidth="1"/>
    <col min="52" max="52" width="9.5703125" style="318" bestFit="1" customWidth="1"/>
    <col min="53" max="53" width="10.85546875" style="318" bestFit="1" customWidth="1"/>
    <col min="54" max="54" width="11.42578125" style="318" bestFit="1" customWidth="1"/>
    <col min="55" max="55" width="12.42578125" style="318" bestFit="1" customWidth="1"/>
    <col min="56" max="56" width="9.5703125" style="318" bestFit="1" customWidth="1"/>
    <col min="57" max="57" width="11.42578125" style="318" bestFit="1" customWidth="1"/>
    <col min="58" max="16384" width="9.140625" style="318"/>
  </cols>
  <sheetData>
    <row r="1" spans="1:57" x14ac:dyDescent="0.25">
      <c r="BE1" s="318" t="s">
        <v>157</v>
      </c>
    </row>
    <row r="2" spans="1:57" x14ac:dyDescent="0.25">
      <c r="A2" s="323"/>
      <c r="B2" s="402" t="s">
        <v>124</v>
      </c>
      <c r="C2" s="403" t="s">
        <v>2</v>
      </c>
      <c r="D2" s="403" t="s">
        <v>3</v>
      </c>
      <c r="E2" s="403" t="s">
        <v>4</v>
      </c>
      <c r="F2" s="403" t="s">
        <v>5</v>
      </c>
      <c r="G2" s="403" t="s">
        <v>6</v>
      </c>
      <c r="H2" s="403" t="s">
        <v>7</v>
      </c>
      <c r="I2" s="377" t="s">
        <v>8</v>
      </c>
      <c r="J2" s="377" t="s">
        <v>9</v>
      </c>
      <c r="K2" s="377" t="s">
        <v>10</v>
      </c>
      <c r="L2" s="377" t="s">
        <v>114</v>
      </c>
      <c r="M2" s="377" t="s">
        <v>12</v>
      </c>
      <c r="N2" s="377" t="s">
        <v>13</v>
      </c>
      <c r="O2" s="377" t="s">
        <v>14</v>
      </c>
      <c r="P2" s="377" t="s">
        <v>15</v>
      </c>
      <c r="Q2" s="377" t="s">
        <v>16</v>
      </c>
      <c r="R2" s="377" t="s">
        <v>17</v>
      </c>
      <c r="S2" s="377" t="s">
        <v>18</v>
      </c>
      <c r="T2" s="377" t="s">
        <v>19</v>
      </c>
      <c r="U2" s="377" t="s">
        <v>20</v>
      </c>
      <c r="V2" s="377" t="s">
        <v>21</v>
      </c>
      <c r="W2" s="377" t="s">
        <v>22</v>
      </c>
      <c r="X2" s="377" t="s">
        <v>23</v>
      </c>
      <c r="Y2" s="377" t="s">
        <v>24</v>
      </c>
      <c r="Z2" s="377" t="s">
        <v>25</v>
      </c>
      <c r="AA2" s="377" t="s">
        <v>26</v>
      </c>
      <c r="AB2" s="377" t="s">
        <v>27</v>
      </c>
      <c r="AC2" s="377" t="s">
        <v>28</v>
      </c>
      <c r="AD2" s="377" t="s">
        <v>29</v>
      </c>
      <c r="AE2" s="377" t="s">
        <v>30</v>
      </c>
      <c r="AF2" s="377" t="s">
        <v>31</v>
      </c>
      <c r="AG2" s="377" t="s">
        <v>32</v>
      </c>
      <c r="AH2" s="377" t="s">
        <v>34</v>
      </c>
      <c r="AI2" s="377" t="s">
        <v>35</v>
      </c>
      <c r="AJ2" s="377" t="s">
        <v>36</v>
      </c>
      <c r="AK2" s="377" t="s">
        <v>37</v>
      </c>
      <c r="AL2" s="377" t="s">
        <v>38</v>
      </c>
      <c r="AM2" s="377" t="s">
        <v>39</v>
      </c>
      <c r="AN2" s="377" t="s">
        <v>33</v>
      </c>
      <c r="AO2" s="377" t="s">
        <v>40</v>
      </c>
      <c r="AP2" s="377" t="s">
        <v>41</v>
      </c>
      <c r="AQ2" s="377" t="s">
        <v>42</v>
      </c>
      <c r="AR2" s="377" t="s">
        <v>43</v>
      </c>
      <c r="AS2" s="377" t="s">
        <v>44</v>
      </c>
      <c r="AT2" s="377" t="s">
        <v>45</v>
      </c>
      <c r="AU2" s="377" t="s">
        <v>46</v>
      </c>
      <c r="AV2" s="377" t="s">
        <v>47</v>
      </c>
      <c r="AW2" s="377" t="s">
        <v>48</v>
      </c>
      <c r="AX2" s="377" t="s">
        <v>49</v>
      </c>
      <c r="AY2" s="377" t="s">
        <v>50</v>
      </c>
      <c r="AZ2" s="404" t="s">
        <v>51</v>
      </c>
      <c r="BA2" s="377" t="s">
        <v>52</v>
      </c>
      <c r="BB2" s="377" t="s">
        <v>53</v>
      </c>
      <c r="BC2" s="377" t="s">
        <v>54</v>
      </c>
      <c r="BE2" s="319" t="s">
        <v>158</v>
      </c>
    </row>
    <row r="3" spans="1:57" x14ac:dyDescent="0.25">
      <c r="A3" s="323"/>
      <c r="B3" s="405" t="s">
        <v>62</v>
      </c>
      <c r="C3" s="378">
        <v>4387.67</v>
      </c>
      <c r="D3" s="378">
        <v>40159.969999999994</v>
      </c>
      <c r="E3" s="378">
        <v>59954.73</v>
      </c>
      <c r="F3" s="378">
        <v>2258.2100000000005</v>
      </c>
      <c r="G3" s="378">
        <v>3438.31</v>
      </c>
      <c r="H3" s="378">
        <v>-624.66</v>
      </c>
      <c r="I3" s="323">
        <v>17964.740000000002</v>
      </c>
      <c r="J3" s="323">
        <v>31392.9</v>
      </c>
      <c r="K3" s="323">
        <v>62672.049999999996</v>
      </c>
      <c r="L3" s="323">
        <v>7648.7300000000005</v>
      </c>
      <c r="M3" s="323">
        <v>44173.5</v>
      </c>
      <c r="N3" s="323">
        <v>11630.88</v>
      </c>
      <c r="O3" s="323">
        <v>3498.1000000000004</v>
      </c>
      <c r="P3" s="323">
        <v>7833.5</v>
      </c>
      <c r="Q3" s="323">
        <v>15939.160000000005</v>
      </c>
      <c r="R3" s="323">
        <v>1766.16</v>
      </c>
      <c r="S3" s="324">
        <v>21224</v>
      </c>
      <c r="T3" s="324">
        <v>25656</v>
      </c>
      <c r="U3" s="324">
        <v>21627</v>
      </c>
      <c r="V3" s="324">
        <v>34042</v>
      </c>
      <c r="W3" s="324">
        <v>17276</v>
      </c>
      <c r="X3" s="324">
        <v>22382</v>
      </c>
      <c r="Y3" s="324">
        <v>34363</v>
      </c>
      <c r="Z3" s="324">
        <v>23017</v>
      </c>
      <c r="AA3" s="324">
        <v>21512</v>
      </c>
      <c r="AB3" s="324">
        <v>20500</v>
      </c>
      <c r="AC3" s="324">
        <v>30892</v>
      </c>
      <c r="AD3" s="324">
        <v>44753</v>
      </c>
      <c r="AE3" s="324">
        <v>6642</v>
      </c>
      <c r="AF3" s="324">
        <v>372</v>
      </c>
      <c r="AG3" s="324">
        <v>-20</v>
      </c>
      <c r="AH3" s="325">
        <v>13164</v>
      </c>
      <c r="AI3" s="325">
        <v>29233</v>
      </c>
      <c r="AJ3" s="325">
        <v>6615</v>
      </c>
      <c r="AK3" s="325">
        <v>8532</v>
      </c>
      <c r="AL3" s="325">
        <v>15281</v>
      </c>
      <c r="AM3" s="325">
        <v>4142</v>
      </c>
      <c r="AN3" s="325">
        <v>20068</v>
      </c>
      <c r="AO3" s="325">
        <v>21321</v>
      </c>
      <c r="AP3" s="325">
        <v>22474</v>
      </c>
      <c r="AQ3" s="325">
        <v>19132</v>
      </c>
      <c r="AR3" s="325">
        <v>16973</v>
      </c>
      <c r="AS3" s="325">
        <v>31086</v>
      </c>
      <c r="AT3" s="325">
        <v>11466</v>
      </c>
      <c r="AU3" s="325">
        <v>13298</v>
      </c>
      <c r="AV3" s="325">
        <v>24878</v>
      </c>
      <c r="AW3" s="325">
        <v>43009</v>
      </c>
      <c r="AX3" s="325">
        <v>10157</v>
      </c>
      <c r="AY3" s="325">
        <v>36395</v>
      </c>
      <c r="AZ3" s="326"/>
      <c r="BA3" s="325">
        <v>17386</v>
      </c>
      <c r="BB3" s="325">
        <v>15789</v>
      </c>
      <c r="BC3" s="325">
        <v>20176</v>
      </c>
      <c r="BE3" s="323">
        <v>26004</v>
      </c>
    </row>
    <row r="4" spans="1:57" x14ac:dyDescent="0.25">
      <c r="A4" s="323"/>
      <c r="B4" s="405" t="s">
        <v>63</v>
      </c>
      <c r="C4" s="378">
        <v>58.81</v>
      </c>
      <c r="D4" s="378">
        <v>6928.0599999999995</v>
      </c>
      <c r="E4" s="378">
        <v>35227.079999999994</v>
      </c>
      <c r="F4" s="378">
        <v>1453.87</v>
      </c>
      <c r="G4" s="378">
        <v>4571.5599999999995</v>
      </c>
      <c r="H4" s="378">
        <v>2.66</v>
      </c>
      <c r="I4" s="323">
        <v>6827.53</v>
      </c>
      <c r="J4" s="323">
        <v>1837.73</v>
      </c>
      <c r="K4" s="323">
        <v>8581.0000000000018</v>
      </c>
      <c r="L4" s="323">
        <v>9803.73</v>
      </c>
      <c r="M4" s="323">
        <v>4680.0599999999995</v>
      </c>
      <c r="N4" s="323">
        <v>35019.43</v>
      </c>
      <c r="O4" s="323">
        <v>28327.940000000002</v>
      </c>
      <c r="P4" s="323">
        <v>10981.449999999999</v>
      </c>
      <c r="Q4" s="323">
        <v>42285.11</v>
      </c>
      <c r="R4" s="323">
        <v>0</v>
      </c>
      <c r="S4" s="324">
        <v>6622</v>
      </c>
      <c r="T4" s="324">
        <v>1348</v>
      </c>
      <c r="U4" s="324">
        <v>8579</v>
      </c>
      <c r="V4" s="324">
        <v>6653</v>
      </c>
      <c r="W4" s="324">
        <v>6658</v>
      </c>
      <c r="X4" s="324">
        <v>12292</v>
      </c>
      <c r="Y4" s="324">
        <v>6235</v>
      </c>
      <c r="Z4" s="324">
        <v>78144</v>
      </c>
      <c r="AA4" s="324">
        <v>17521</v>
      </c>
      <c r="AB4" s="324">
        <v>25753</v>
      </c>
      <c r="AC4" s="324">
        <v>10685</v>
      </c>
      <c r="AD4" s="324">
        <v>16049</v>
      </c>
      <c r="AE4" s="324">
        <v>6917</v>
      </c>
      <c r="AF4" s="324">
        <v>0</v>
      </c>
      <c r="AG4" s="324">
        <v>0</v>
      </c>
      <c r="AH4" s="325">
        <v>18478</v>
      </c>
      <c r="AI4" s="325">
        <v>111537</v>
      </c>
      <c r="AJ4" s="325">
        <v>8252</v>
      </c>
      <c r="AK4" s="325">
        <v>19159</v>
      </c>
      <c r="AL4" s="325">
        <v>23578</v>
      </c>
      <c r="AM4" s="325">
        <v>19163</v>
      </c>
      <c r="AN4" s="325">
        <v>21614</v>
      </c>
      <c r="AO4" s="325">
        <v>95923</v>
      </c>
      <c r="AP4" s="325">
        <v>62903</v>
      </c>
      <c r="AQ4" s="325">
        <v>26268</v>
      </c>
      <c r="AR4" s="325">
        <v>116337</v>
      </c>
      <c r="AS4" s="325">
        <v>50837</v>
      </c>
      <c r="AT4" s="325">
        <v>69686</v>
      </c>
      <c r="AU4" s="325">
        <v>111798</v>
      </c>
      <c r="AV4" s="325">
        <v>68563</v>
      </c>
      <c r="AW4" s="325">
        <v>20822</v>
      </c>
      <c r="AX4" s="325">
        <v>32774</v>
      </c>
      <c r="AY4" s="325">
        <v>194607</v>
      </c>
      <c r="AZ4" s="326"/>
      <c r="BA4" s="325">
        <v>6859</v>
      </c>
      <c r="BB4" s="325">
        <v>12515</v>
      </c>
      <c r="BC4" s="325">
        <v>97314</v>
      </c>
      <c r="BE4" s="323">
        <v>51915</v>
      </c>
    </row>
    <row r="5" spans="1:57" x14ac:dyDescent="0.25">
      <c r="A5" s="323"/>
      <c r="B5" s="405" t="s">
        <v>160</v>
      </c>
      <c r="C5" s="378">
        <v>0</v>
      </c>
      <c r="D5" s="378">
        <v>567</v>
      </c>
      <c r="E5" s="378">
        <v>35706.6</v>
      </c>
      <c r="F5" s="378">
        <v>0</v>
      </c>
      <c r="G5" s="378">
        <v>4725.17</v>
      </c>
      <c r="H5" s="378">
        <v>399625.00000000006</v>
      </c>
      <c r="I5" s="406">
        <v>0</v>
      </c>
      <c r="J5" s="406">
        <v>3413.7500000000005</v>
      </c>
      <c r="K5" s="406">
        <v>6670.44</v>
      </c>
      <c r="L5" s="406">
        <v>0</v>
      </c>
      <c r="M5" s="406">
        <v>3714.56</v>
      </c>
      <c r="N5" s="406">
        <v>27495.489999999998</v>
      </c>
      <c r="O5" s="406">
        <v>25766.36</v>
      </c>
      <c r="P5" s="406">
        <v>22286.77</v>
      </c>
      <c r="Q5" s="406">
        <v>105600.51</v>
      </c>
      <c r="R5" s="406">
        <v>445265</v>
      </c>
      <c r="S5" s="324">
        <v>0</v>
      </c>
      <c r="T5" s="324">
        <v>2559</v>
      </c>
      <c r="U5" s="324">
        <v>0</v>
      </c>
      <c r="V5" s="324">
        <v>6500</v>
      </c>
      <c r="W5" s="324">
        <v>0</v>
      </c>
      <c r="X5" s="324">
        <v>0</v>
      </c>
      <c r="Y5" s="324">
        <v>352</v>
      </c>
      <c r="Z5" s="324">
        <v>102304</v>
      </c>
      <c r="AA5" s="324">
        <v>142207</v>
      </c>
      <c r="AB5" s="324">
        <v>150904</v>
      </c>
      <c r="AC5" s="324">
        <v>169853</v>
      </c>
      <c r="AD5" s="324">
        <v>48861</v>
      </c>
      <c r="AE5" s="324">
        <v>48579</v>
      </c>
      <c r="AF5" s="324">
        <v>713726</v>
      </c>
      <c r="AG5" s="324">
        <v>797478</v>
      </c>
      <c r="AH5" s="325">
        <v>32952</v>
      </c>
      <c r="AI5" s="325">
        <v>127590</v>
      </c>
      <c r="AJ5" s="325">
        <v>9889</v>
      </c>
      <c r="AK5" s="325">
        <v>39228</v>
      </c>
      <c r="AL5" s="325">
        <v>61471</v>
      </c>
      <c r="AM5" s="325">
        <v>52034</v>
      </c>
      <c r="AN5" s="325">
        <v>80321</v>
      </c>
      <c r="AO5" s="325">
        <v>154481</v>
      </c>
      <c r="AP5" s="325">
        <v>82505</v>
      </c>
      <c r="AQ5" s="325">
        <v>62517</v>
      </c>
      <c r="AR5" s="325">
        <v>307975</v>
      </c>
      <c r="AS5" s="325">
        <v>48460</v>
      </c>
      <c r="AT5" s="325">
        <v>40325</v>
      </c>
      <c r="AU5" s="325">
        <v>66596</v>
      </c>
      <c r="AV5" s="325">
        <v>186921</v>
      </c>
      <c r="AW5" s="325">
        <v>33776</v>
      </c>
      <c r="AX5" s="325">
        <v>41554</v>
      </c>
      <c r="AY5" s="325">
        <v>196356</v>
      </c>
      <c r="AZ5" s="326"/>
      <c r="BA5" s="325">
        <v>16655</v>
      </c>
      <c r="BB5" s="325">
        <v>42481</v>
      </c>
      <c r="BC5" s="325">
        <v>423018</v>
      </c>
      <c r="BE5" s="323">
        <v>172483</v>
      </c>
    </row>
    <row r="6" spans="1:57" x14ac:dyDescent="0.25">
      <c r="A6" s="323"/>
      <c r="B6" s="407" t="s">
        <v>155</v>
      </c>
      <c r="C6" s="378">
        <v>432.61</v>
      </c>
      <c r="D6" s="378">
        <v>50996.85</v>
      </c>
      <c r="E6" s="378">
        <v>76184.53</v>
      </c>
      <c r="F6" s="378">
        <v>793</v>
      </c>
      <c r="G6" s="378">
        <v>7189.6100000000006</v>
      </c>
      <c r="H6" s="378">
        <v>7871.47</v>
      </c>
      <c r="I6" s="323">
        <v>19345.370000000003</v>
      </c>
      <c r="J6" s="323">
        <v>22334.52</v>
      </c>
      <c r="K6" s="323">
        <v>66295.350000000006</v>
      </c>
      <c r="L6" s="323">
        <v>2816.73</v>
      </c>
      <c r="M6" s="323">
        <v>40552.639999999999</v>
      </c>
      <c r="N6" s="323">
        <v>10337.76</v>
      </c>
      <c r="O6" s="323">
        <v>10486.01</v>
      </c>
      <c r="P6" s="323">
        <v>7540.35</v>
      </c>
      <c r="Q6" s="323">
        <v>15905.4</v>
      </c>
      <c r="R6" s="323">
        <v>14711.98</v>
      </c>
      <c r="S6" s="330">
        <v>26389</v>
      </c>
      <c r="T6" s="330">
        <v>19021</v>
      </c>
      <c r="U6" s="330">
        <v>31834</v>
      </c>
      <c r="V6" s="330">
        <v>42461</v>
      </c>
      <c r="W6" s="330">
        <v>13818</v>
      </c>
      <c r="X6" s="330">
        <v>13630</v>
      </c>
      <c r="Y6" s="330">
        <v>27468</v>
      </c>
      <c r="Z6" s="330">
        <v>16545</v>
      </c>
      <c r="AA6" s="330">
        <v>20425</v>
      </c>
      <c r="AB6" s="330">
        <v>20558</v>
      </c>
      <c r="AC6" s="330">
        <v>26412</v>
      </c>
      <c r="AD6" s="330">
        <v>13614</v>
      </c>
      <c r="AE6" s="330">
        <v>3667</v>
      </c>
      <c r="AF6" s="330">
        <v>9037</v>
      </c>
      <c r="AG6" s="330">
        <v>-2763</v>
      </c>
      <c r="AH6" s="398">
        <v>14400</v>
      </c>
      <c r="AI6" s="398">
        <v>-4330</v>
      </c>
      <c r="AJ6" s="398">
        <v>-5124</v>
      </c>
      <c r="AK6" s="398">
        <v>7710</v>
      </c>
      <c r="AL6" s="398">
        <v>21363</v>
      </c>
      <c r="AM6" s="398">
        <v>10751</v>
      </c>
      <c r="AN6" s="398">
        <v>21556</v>
      </c>
      <c r="AO6" s="398">
        <v>48362</v>
      </c>
      <c r="AP6" s="398">
        <v>-10007</v>
      </c>
      <c r="AQ6" s="398">
        <v>22404</v>
      </c>
      <c r="AR6" s="398">
        <v>36271</v>
      </c>
      <c r="AS6" s="398">
        <v>32982</v>
      </c>
      <c r="AT6" s="398">
        <v>16527</v>
      </c>
      <c r="AU6" s="398">
        <v>-4765</v>
      </c>
      <c r="AV6" s="398">
        <v>14343</v>
      </c>
      <c r="AW6" s="398">
        <v>26047</v>
      </c>
      <c r="AX6" s="398">
        <v>28457</v>
      </c>
      <c r="AY6" s="398">
        <v>50958</v>
      </c>
      <c r="AZ6" s="326"/>
      <c r="BA6" s="398">
        <v>14994</v>
      </c>
      <c r="BB6" s="398">
        <v>18449</v>
      </c>
      <c r="BC6" s="398">
        <v>31255</v>
      </c>
      <c r="BE6" s="323">
        <v>51345</v>
      </c>
    </row>
    <row r="7" spans="1:57" s="424" customFormat="1" x14ac:dyDescent="0.25">
      <c r="A7" s="419"/>
      <c r="B7" s="420" t="s">
        <v>161</v>
      </c>
      <c r="C7" s="421">
        <v>15386.26</v>
      </c>
      <c r="D7" s="421">
        <v>11146.560000000001</v>
      </c>
      <c r="E7" s="421">
        <v>24845.48</v>
      </c>
      <c r="F7" s="421">
        <v>2814.94</v>
      </c>
      <c r="G7" s="421">
        <v>17259.149999999998</v>
      </c>
      <c r="H7" s="421">
        <v>21843.01</v>
      </c>
      <c r="I7" s="422">
        <v>4398.72</v>
      </c>
      <c r="J7" s="422">
        <v>8595.4000000000015</v>
      </c>
      <c r="K7" s="422">
        <v>26569.61</v>
      </c>
      <c r="L7" s="422">
        <v>1881.48</v>
      </c>
      <c r="M7" s="422">
        <v>24618.640000000003</v>
      </c>
      <c r="N7" s="422">
        <v>4370.09</v>
      </c>
      <c r="O7" s="422">
        <v>1432.3</v>
      </c>
      <c r="P7" s="422">
        <v>1398.53</v>
      </c>
      <c r="Q7" s="422">
        <v>943.78</v>
      </c>
      <c r="R7" s="422">
        <v>5425.32</v>
      </c>
      <c r="S7" s="419">
        <v>4330</v>
      </c>
      <c r="T7" s="419">
        <v>1058</v>
      </c>
      <c r="U7" s="419">
        <v>22481</v>
      </c>
      <c r="V7" s="419">
        <v>2307</v>
      </c>
      <c r="W7" s="419">
        <v>12829</v>
      </c>
      <c r="X7" s="419">
        <v>0</v>
      </c>
      <c r="Y7" s="419">
        <v>5986</v>
      </c>
      <c r="Z7" s="419">
        <v>3359</v>
      </c>
      <c r="AA7" s="419">
        <v>11854</v>
      </c>
      <c r="AB7" s="419">
        <v>6043</v>
      </c>
      <c r="AC7" s="419">
        <v>5548</v>
      </c>
      <c r="AD7" s="419">
        <v>19699</v>
      </c>
      <c r="AE7" s="419">
        <v>2715</v>
      </c>
      <c r="AF7" s="419">
        <v>6401</v>
      </c>
      <c r="AG7" s="419">
        <v>4555</v>
      </c>
      <c r="AH7" s="423">
        <v>3172</v>
      </c>
      <c r="AI7" s="423">
        <v>7540</v>
      </c>
      <c r="AJ7" s="423">
        <v>8713</v>
      </c>
      <c r="AK7" s="423">
        <v>9928</v>
      </c>
      <c r="AL7" s="423">
        <v>9336</v>
      </c>
      <c r="AM7" s="423">
        <v>2285</v>
      </c>
      <c r="AN7" s="423">
        <v>19751</v>
      </c>
      <c r="AO7" s="423">
        <v>11222</v>
      </c>
      <c r="AP7" s="423">
        <v>2654</v>
      </c>
      <c r="AQ7" s="423">
        <v>6514</v>
      </c>
      <c r="AR7" s="423">
        <v>3320</v>
      </c>
      <c r="AS7" s="423">
        <v>19317</v>
      </c>
      <c r="AT7" s="423">
        <v>10108</v>
      </c>
      <c r="AU7" s="423">
        <v>3643</v>
      </c>
      <c r="AV7" s="423">
        <v>20750</v>
      </c>
      <c r="AW7" s="423">
        <v>2981</v>
      </c>
      <c r="AX7" s="423">
        <v>6138</v>
      </c>
      <c r="AY7" s="423">
        <v>5370</v>
      </c>
      <c r="AZ7" s="419"/>
      <c r="BA7" s="423">
        <v>8047</v>
      </c>
      <c r="BB7" s="423">
        <v>9874</v>
      </c>
      <c r="BC7" s="423">
        <v>9658</v>
      </c>
      <c r="BE7" s="419">
        <v>7748</v>
      </c>
    </row>
    <row r="8" spans="1:57" s="424" customFormat="1" x14ac:dyDescent="0.25">
      <c r="A8" s="419"/>
      <c r="B8" s="420" t="s">
        <v>162</v>
      </c>
      <c r="C8" s="421">
        <v>7473.3199999999988</v>
      </c>
      <c r="D8" s="421">
        <v>6494.31</v>
      </c>
      <c r="E8" s="421">
        <v>9874.7100000000009</v>
      </c>
      <c r="F8" s="421">
        <v>964.05</v>
      </c>
      <c r="G8" s="421">
        <v>2304.9299999999998</v>
      </c>
      <c r="H8" s="421">
        <v>15863.36</v>
      </c>
      <c r="I8" s="422">
        <v>8855.06</v>
      </c>
      <c r="J8" s="422">
        <v>24210.829999999998</v>
      </c>
      <c r="K8" s="422">
        <v>29176.48</v>
      </c>
      <c r="L8" s="422">
        <v>2721.7299999999996</v>
      </c>
      <c r="M8" s="422">
        <v>7668.97</v>
      </c>
      <c r="N8" s="422">
        <v>6825.3099999999995</v>
      </c>
      <c r="O8" s="422">
        <v>11433.34</v>
      </c>
      <c r="P8" s="422">
        <v>8464.61</v>
      </c>
      <c r="Q8" s="422">
        <v>4425.58</v>
      </c>
      <c r="R8" s="422">
        <v>32704.78</v>
      </c>
      <c r="S8" s="419">
        <v>8188</v>
      </c>
      <c r="T8" s="419">
        <v>13288</v>
      </c>
      <c r="U8" s="419">
        <v>14037</v>
      </c>
      <c r="V8" s="419">
        <v>16873</v>
      </c>
      <c r="W8" s="419">
        <v>6834</v>
      </c>
      <c r="X8" s="419">
        <v>3785</v>
      </c>
      <c r="Y8" s="419">
        <v>10389</v>
      </c>
      <c r="Z8" s="419">
        <v>9085</v>
      </c>
      <c r="AA8" s="419">
        <v>13129</v>
      </c>
      <c r="AB8" s="419">
        <v>8055</v>
      </c>
      <c r="AC8" s="419">
        <v>10248</v>
      </c>
      <c r="AD8" s="419">
        <v>8145</v>
      </c>
      <c r="AE8" s="419">
        <v>2343</v>
      </c>
      <c r="AF8" s="419">
        <v>7825</v>
      </c>
      <c r="AG8" s="419">
        <v>13061</v>
      </c>
      <c r="AH8" s="423">
        <v>5102</v>
      </c>
      <c r="AI8" s="423">
        <v>6860</v>
      </c>
      <c r="AJ8" s="423">
        <v>14340</v>
      </c>
      <c r="AK8" s="423">
        <v>15103</v>
      </c>
      <c r="AL8" s="423">
        <v>9742</v>
      </c>
      <c r="AM8" s="423">
        <v>20144</v>
      </c>
      <c r="AN8" s="423">
        <v>4940</v>
      </c>
      <c r="AO8" s="423">
        <v>7975</v>
      </c>
      <c r="AP8" s="423">
        <v>9954</v>
      </c>
      <c r="AQ8" s="423">
        <v>7372</v>
      </c>
      <c r="AR8" s="423">
        <v>4674</v>
      </c>
      <c r="AS8" s="423">
        <v>16751</v>
      </c>
      <c r="AT8" s="423">
        <v>15594</v>
      </c>
      <c r="AU8" s="423">
        <v>8504</v>
      </c>
      <c r="AV8" s="423">
        <v>8370</v>
      </c>
      <c r="AW8" s="423">
        <v>9208</v>
      </c>
      <c r="AX8" s="423">
        <v>13611</v>
      </c>
      <c r="AY8" s="423">
        <v>9469</v>
      </c>
      <c r="AZ8" s="419"/>
      <c r="BA8" s="423">
        <v>4431</v>
      </c>
      <c r="BB8" s="423">
        <v>7043</v>
      </c>
      <c r="BC8" s="423">
        <v>7673</v>
      </c>
      <c r="BE8" s="419">
        <v>16226</v>
      </c>
    </row>
    <row r="9" spans="1:57" s="424" customFormat="1" x14ac:dyDescent="0.25">
      <c r="A9" s="419"/>
      <c r="B9" s="420" t="s">
        <v>163</v>
      </c>
      <c r="C9" s="421"/>
      <c r="D9" s="421"/>
      <c r="E9" s="421"/>
      <c r="F9" s="421"/>
      <c r="G9" s="421"/>
      <c r="H9" s="421"/>
      <c r="I9" s="422"/>
      <c r="J9" s="422"/>
      <c r="K9" s="422"/>
      <c r="L9" s="422"/>
      <c r="M9" s="422"/>
      <c r="N9" s="422"/>
      <c r="O9" s="422"/>
      <c r="P9" s="422"/>
      <c r="Q9" s="422"/>
      <c r="R9" s="422"/>
      <c r="S9" s="419"/>
      <c r="T9" s="419"/>
      <c r="U9" s="419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23">
        <v>17301</v>
      </c>
      <c r="AI9" s="423">
        <v>6925</v>
      </c>
      <c r="AJ9" s="423">
        <v>-7531</v>
      </c>
      <c r="AK9" s="423">
        <v>3130</v>
      </c>
      <c r="AL9" s="423">
        <v>5590</v>
      </c>
      <c r="AM9" s="423">
        <v>1367</v>
      </c>
      <c r="AN9" s="423">
        <v>1459</v>
      </c>
      <c r="AO9" s="423">
        <v>4608</v>
      </c>
      <c r="AP9" s="423">
        <v>3467</v>
      </c>
      <c r="AQ9" s="423">
        <v>9779</v>
      </c>
      <c r="AR9" s="423">
        <v>20431</v>
      </c>
      <c r="AS9" s="423">
        <v>6500</v>
      </c>
      <c r="AT9" s="423">
        <v>0</v>
      </c>
      <c r="AU9" s="423">
        <v>76798</v>
      </c>
      <c r="AV9" s="423">
        <v>56789</v>
      </c>
      <c r="AW9" s="423">
        <v>36894</v>
      </c>
      <c r="AX9" s="423">
        <v>73252</v>
      </c>
      <c r="AY9" s="423">
        <v>4404</v>
      </c>
      <c r="AZ9" s="419"/>
      <c r="BA9" s="423">
        <v>-4245</v>
      </c>
      <c r="BB9" s="423">
        <v>-1315</v>
      </c>
      <c r="BC9" s="423">
        <v>33347</v>
      </c>
      <c r="BE9" s="419"/>
    </row>
    <row r="10" spans="1:57" x14ac:dyDescent="0.25">
      <c r="A10" s="377" t="s">
        <v>148</v>
      </c>
      <c r="B10" s="407" t="s">
        <v>115</v>
      </c>
      <c r="C10" s="328"/>
      <c r="D10" s="328"/>
      <c r="E10" s="328"/>
      <c r="F10" s="328"/>
      <c r="G10" s="328"/>
      <c r="H10" s="328"/>
      <c r="I10" s="418">
        <v>2.9710328937366155E-2</v>
      </c>
      <c r="J10" s="418">
        <v>1.6261109800363081</v>
      </c>
      <c r="K10" s="418">
        <v>0.15344573322933958</v>
      </c>
      <c r="L10" s="418">
        <v>0</v>
      </c>
      <c r="M10" s="418">
        <v>0.71984962878714265</v>
      </c>
      <c r="N10" s="418">
        <v>-1.2515426695842449E-2</v>
      </c>
      <c r="O10" s="418">
        <v>0.67065692307692315</v>
      </c>
      <c r="P10" s="418">
        <v>7.4752364103347013E-2</v>
      </c>
      <c r="Q10" s="418">
        <v>-8.3646382978723399E-2</v>
      </c>
      <c r="R10" s="418">
        <v>0.15439400586681812</v>
      </c>
      <c r="S10" s="418">
        <v>0</v>
      </c>
      <c r="T10" s="418">
        <v>0.24597218181818181</v>
      </c>
      <c r="U10" s="418">
        <v>6.9669089194550116E-2</v>
      </c>
      <c r="V10" s="418">
        <v>7.5323479643068944E-2</v>
      </c>
      <c r="W10" s="418">
        <v>0.26971849999999997</v>
      </c>
      <c r="X10" s="418">
        <v>2.5702894736842105E-2</v>
      </c>
      <c r="Y10" s="418">
        <v>0.44266764705882355</v>
      </c>
      <c r="Z10" s="418">
        <v>-1.2853498349834982E-2</v>
      </c>
      <c r="AA10" s="418">
        <v>2.3780895047705589E-2</v>
      </c>
      <c r="AB10" s="418">
        <v>0.1208725916968964</v>
      </c>
      <c r="AC10" s="418">
        <v>1.2619627631807899E-2</v>
      </c>
      <c r="AD10" s="418">
        <v>-0.10513226781857449</v>
      </c>
      <c r="AE10" s="418">
        <v>2.1676136363636363E-2</v>
      </c>
      <c r="AF10" s="418">
        <v>7.8260642616865786E-2</v>
      </c>
      <c r="AG10" s="418">
        <v>5.7710576555937386E-2</v>
      </c>
      <c r="AH10" s="418">
        <v>2.3640640879264273E-2</v>
      </c>
      <c r="AI10" s="418">
        <v>3.213254035683942E-2</v>
      </c>
      <c r="AJ10" s="418">
        <v>2.6386231023274635E-2</v>
      </c>
      <c r="AK10" s="418">
        <v>-1.5090042233782731E-3</v>
      </c>
      <c r="AL10" s="418">
        <v>-7.5768444027661287E-3</v>
      </c>
      <c r="AM10" s="418">
        <v>0</v>
      </c>
      <c r="AN10" s="418">
        <v>5.818738809831343E-3</v>
      </c>
      <c r="AO10" s="418">
        <v>-0.13093602988293762</v>
      </c>
      <c r="AP10" s="418">
        <v>2.7456907178868929E-2</v>
      </c>
      <c r="AQ10" s="418">
        <v>0.1655414920171431</v>
      </c>
      <c r="AR10" s="418">
        <v>7.4452383440683943E-3</v>
      </c>
      <c r="AS10" s="418">
        <v>-2.8906316683375937E-4</v>
      </c>
      <c r="AT10" s="418">
        <v>3.2358953138027155E-2</v>
      </c>
      <c r="AU10" s="418">
        <v>3.674764791174754E-2</v>
      </c>
      <c r="AV10" s="418">
        <v>0.1799594744090488</v>
      </c>
      <c r="AW10" s="418">
        <v>0.17023042017301493</v>
      </c>
      <c r="AX10" s="431"/>
      <c r="AY10" s="418"/>
      <c r="AZ10" s="418"/>
      <c r="BA10" s="418"/>
      <c r="BB10" s="418"/>
      <c r="BC10" s="418"/>
      <c r="BE10" s="323"/>
    </row>
    <row r="11" spans="1:57" x14ac:dyDescent="0.25">
      <c r="A11" s="377" t="s">
        <v>149</v>
      </c>
      <c r="B11" s="408" t="s">
        <v>133</v>
      </c>
      <c r="C11" s="323"/>
      <c r="D11" s="323"/>
      <c r="E11" s="328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5">
        <v>2221</v>
      </c>
      <c r="AI11" s="325">
        <v>6890</v>
      </c>
      <c r="AJ11" s="325">
        <v>2609</v>
      </c>
      <c r="AK11" s="325">
        <v>4535</v>
      </c>
      <c r="AL11" s="325">
        <v>6781</v>
      </c>
      <c r="AM11" s="325">
        <v>3040</v>
      </c>
      <c r="AN11" s="325">
        <v>16173</v>
      </c>
      <c r="AO11" s="325">
        <v>23230</v>
      </c>
      <c r="AP11" s="325">
        <v>10708</v>
      </c>
      <c r="AQ11" s="325">
        <v>28459</v>
      </c>
      <c r="AR11" s="325">
        <v>16518</v>
      </c>
      <c r="AS11" s="325">
        <v>13127</v>
      </c>
      <c r="AT11" s="325">
        <v>4789</v>
      </c>
      <c r="AU11" s="325">
        <v>7458</v>
      </c>
      <c r="AV11" s="325">
        <v>34681</v>
      </c>
      <c r="AW11" s="325">
        <v>7509</v>
      </c>
      <c r="AX11" s="325">
        <v>19159</v>
      </c>
      <c r="AY11" s="325">
        <v>10575</v>
      </c>
      <c r="AZ11" s="333"/>
      <c r="BA11" s="325">
        <v>4554</v>
      </c>
      <c r="BB11" s="325">
        <v>6317</v>
      </c>
      <c r="BC11" s="325">
        <v>8959</v>
      </c>
      <c r="BE11" s="323"/>
    </row>
    <row r="12" spans="1:57" x14ac:dyDescent="0.25">
      <c r="B12" s="341" t="s">
        <v>164</v>
      </c>
      <c r="C12" s="329">
        <v>22859.579999999998</v>
      </c>
      <c r="D12" s="329">
        <v>17640.870000000003</v>
      </c>
      <c r="E12" s="411">
        <v>34720.19</v>
      </c>
      <c r="F12" s="329">
        <v>3778.99</v>
      </c>
      <c r="G12" s="329">
        <v>19564.079999999998</v>
      </c>
      <c r="H12" s="329">
        <v>37706.369999999995</v>
      </c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E12" s="323"/>
    </row>
    <row r="13" spans="1:57" x14ac:dyDescent="0.25">
      <c r="B13" s="342" t="s">
        <v>165</v>
      </c>
      <c r="C13" s="320" t="s">
        <v>2</v>
      </c>
      <c r="D13" s="320" t="s">
        <v>3</v>
      </c>
      <c r="E13" s="320" t="s">
        <v>4</v>
      </c>
      <c r="F13" s="320" t="s">
        <v>5</v>
      </c>
      <c r="G13" s="320" t="s">
        <v>6</v>
      </c>
      <c r="H13" s="320" t="s">
        <v>7</v>
      </c>
      <c r="I13" s="319" t="s">
        <v>8</v>
      </c>
      <c r="J13" s="319" t="s">
        <v>9</v>
      </c>
      <c r="K13" s="319" t="s">
        <v>10</v>
      </c>
      <c r="L13" s="319" t="s">
        <v>114</v>
      </c>
      <c r="M13" s="319" t="s">
        <v>12</v>
      </c>
      <c r="N13" s="319" t="s">
        <v>13</v>
      </c>
      <c r="O13" s="319" t="s">
        <v>14</v>
      </c>
      <c r="P13" s="319" t="s">
        <v>15</v>
      </c>
      <c r="Q13" s="319" t="s">
        <v>16</v>
      </c>
      <c r="R13" s="319" t="s">
        <v>17</v>
      </c>
      <c r="S13" s="319" t="s">
        <v>18</v>
      </c>
      <c r="T13" s="319" t="s">
        <v>19</v>
      </c>
      <c r="U13" s="319" t="s">
        <v>20</v>
      </c>
      <c r="V13" s="319" t="s">
        <v>21</v>
      </c>
      <c r="W13" s="319" t="s">
        <v>22</v>
      </c>
      <c r="X13" s="319" t="s">
        <v>23</v>
      </c>
      <c r="Y13" s="319" t="s">
        <v>24</v>
      </c>
      <c r="Z13" s="319" t="s">
        <v>25</v>
      </c>
      <c r="AA13" s="319" t="s">
        <v>26</v>
      </c>
      <c r="AB13" s="319" t="s">
        <v>27</v>
      </c>
      <c r="AC13" s="319" t="s">
        <v>28</v>
      </c>
      <c r="AD13" s="319" t="s">
        <v>29</v>
      </c>
      <c r="AE13" s="319" t="s">
        <v>30</v>
      </c>
      <c r="AF13" s="319" t="s">
        <v>31</v>
      </c>
      <c r="AG13" s="319" t="s">
        <v>32</v>
      </c>
      <c r="AH13" s="319" t="s">
        <v>34</v>
      </c>
      <c r="AI13" s="319" t="s">
        <v>35</v>
      </c>
      <c r="AJ13" s="319" t="s">
        <v>36</v>
      </c>
      <c r="AK13" s="319" t="s">
        <v>37</v>
      </c>
      <c r="AL13" s="319" t="s">
        <v>38</v>
      </c>
      <c r="AM13" s="319" t="s">
        <v>39</v>
      </c>
      <c r="AN13" s="319" t="s">
        <v>33</v>
      </c>
      <c r="AO13" s="319" t="s">
        <v>40</v>
      </c>
      <c r="AP13" s="319" t="s">
        <v>41</v>
      </c>
      <c r="AQ13" s="319" t="s">
        <v>42</v>
      </c>
      <c r="AR13" s="319" t="s">
        <v>43</v>
      </c>
      <c r="AS13" s="319" t="s">
        <v>44</v>
      </c>
      <c r="AT13" s="319" t="s">
        <v>45</v>
      </c>
      <c r="AU13" s="319" t="s">
        <v>46</v>
      </c>
      <c r="AV13" s="319" t="s">
        <v>47</v>
      </c>
      <c r="AW13" s="319" t="s">
        <v>48</v>
      </c>
      <c r="AX13" s="319" t="s">
        <v>49</v>
      </c>
      <c r="AY13" s="319" t="s">
        <v>50</v>
      </c>
      <c r="AZ13" s="321" t="s">
        <v>51</v>
      </c>
      <c r="BA13" s="319" t="s">
        <v>52</v>
      </c>
      <c r="BB13" s="319" t="s">
        <v>53</v>
      </c>
      <c r="BC13" s="319" t="s">
        <v>54</v>
      </c>
      <c r="BE13" s="377" t="s">
        <v>158</v>
      </c>
    </row>
    <row r="14" spans="1:57" s="424" customFormat="1" x14ac:dyDescent="0.25">
      <c r="B14" s="425" t="s">
        <v>62</v>
      </c>
      <c r="I14" s="419">
        <v>23724.81</v>
      </c>
      <c r="J14" s="419">
        <v>41640.370000000003</v>
      </c>
      <c r="K14" s="419">
        <v>72825.260000000009</v>
      </c>
      <c r="L14" s="419">
        <v>11044.61</v>
      </c>
      <c r="M14" s="419">
        <v>39346.540000000015</v>
      </c>
      <c r="N14" s="419">
        <v>15406.810000000001</v>
      </c>
      <c r="O14" s="419">
        <v>6228.7599999999993</v>
      </c>
      <c r="P14" s="419">
        <v>7096.96</v>
      </c>
      <c r="Q14" s="419">
        <v>18293.170000000006</v>
      </c>
      <c r="R14" s="419">
        <v>254.68</v>
      </c>
      <c r="S14" s="426">
        <v>14165</v>
      </c>
      <c r="T14" s="426">
        <v>15174</v>
      </c>
      <c r="U14" s="426">
        <v>17733</v>
      </c>
      <c r="V14" s="426">
        <v>25385</v>
      </c>
      <c r="W14" s="426">
        <v>17479</v>
      </c>
      <c r="X14" s="426">
        <v>15824</v>
      </c>
      <c r="Y14" s="426">
        <v>16813</v>
      </c>
      <c r="Z14" s="426">
        <v>13607</v>
      </c>
      <c r="AA14" s="426">
        <v>18484</v>
      </c>
      <c r="AB14" s="426">
        <v>15770</v>
      </c>
      <c r="AC14" s="426">
        <v>17077</v>
      </c>
      <c r="AD14" s="426">
        <v>20717</v>
      </c>
      <c r="AE14" s="426">
        <v>3590</v>
      </c>
      <c r="AF14" s="427">
        <v>0</v>
      </c>
      <c r="AG14" s="427">
        <v>31</v>
      </c>
      <c r="AH14" s="423">
        <v>8936</v>
      </c>
      <c r="AI14" s="423">
        <v>35015</v>
      </c>
      <c r="AJ14" s="423">
        <v>11523</v>
      </c>
      <c r="AK14" s="423">
        <v>7320</v>
      </c>
      <c r="AL14" s="423">
        <v>20539</v>
      </c>
      <c r="AM14" s="423">
        <v>6832</v>
      </c>
      <c r="AN14" s="423">
        <v>14784</v>
      </c>
      <c r="AO14" s="423">
        <v>20479</v>
      </c>
      <c r="AP14" s="423">
        <v>19613</v>
      </c>
      <c r="AQ14" s="423">
        <v>18783</v>
      </c>
      <c r="AR14" s="423">
        <v>19420</v>
      </c>
      <c r="AS14" s="423">
        <v>23600</v>
      </c>
      <c r="AT14" s="423">
        <v>19525</v>
      </c>
      <c r="AU14" s="423">
        <v>20140</v>
      </c>
      <c r="AV14" s="423">
        <v>18290</v>
      </c>
      <c r="AW14" s="423">
        <v>18117</v>
      </c>
      <c r="AX14" s="423">
        <v>25374</v>
      </c>
      <c r="AY14" s="423">
        <v>25335</v>
      </c>
      <c r="AZ14" s="428"/>
      <c r="BA14" s="423">
        <v>18484</v>
      </c>
      <c r="BB14" s="423">
        <v>15689</v>
      </c>
      <c r="BC14" s="423">
        <v>21010</v>
      </c>
      <c r="BE14" s="429">
        <v>24533</v>
      </c>
    </row>
    <row r="15" spans="1:57" x14ac:dyDescent="0.25">
      <c r="B15" s="341" t="s">
        <v>63</v>
      </c>
      <c r="I15" s="323">
        <v>3963.06</v>
      </c>
      <c r="J15" s="323">
        <v>2033.9099999999999</v>
      </c>
      <c r="K15" s="323">
        <v>6354.59</v>
      </c>
      <c r="L15" s="323">
        <v>3075.3500000000004</v>
      </c>
      <c r="M15" s="323">
        <v>3849.9700000000003</v>
      </c>
      <c r="N15" s="323">
        <v>29357.5</v>
      </c>
      <c r="O15" s="323">
        <v>4396.01</v>
      </c>
      <c r="P15" s="323">
        <v>5082.3499999999995</v>
      </c>
      <c r="Q15" s="323">
        <v>48188.2</v>
      </c>
      <c r="R15" s="323">
        <v>0</v>
      </c>
      <c r="S15" s="400">
        <v>3176</v>
      </c>
      <c r="T15" s="400">
        <v>5964</v>
      </c>
      <c r="U15" s="400">
        <v>1815</v>
      </c>
      <c r="V15" s="400">
        <v>2249</v>
      </c>
      <c r="W15" s="400">
        <v>3586</v>
      </c>
      <c r="X15" s="400">
        <v>2941</v>
      </c>
      <c r="Y15" s="400">
        <v>2255</v>
      </c>
      <c r="Z15" s="400">
        <v>64061</v>
      </c>
      <c r="AA15" s="400">
        <v>19595</v>
      </c>
      <c r="AB15" s="400">
        <v>21959</v>
      </c>
      <c r="AC15" s="400">
        <v>18490</v>
      </c>
      <c r="AD15" s="400">
        <v>16581</v>
      </c>
      <c r="AE15" s="400">
        <v>5660</v>
      </c>
      <c r="AF15" s="401">
        <v>0</v>
      </c>
      <c r="AG15" s="401">
        <v>0</v>
      </c>
      <c r="AH15" s="325">
        <v>3056</v>
      </c>
      <c r="AI15" s="325">
        <v>7747</v>
      </c>
      <c r="AJ15" s="325">
        <v>1815</v>
      </c>
      <c r="AK15" s="325">
        <v>4723</v>
      </c>
      <c r="AL15" s="325">
        <v>4541</v>
      </c>
      <c r="AM15" s="325">
        <v>3081</v>
      </c>
      <c r="AN15" s="325">
        <v>7470</v>
      </c>
      <c r="AO15" s="325">
        <v>8286</v>
      </c>
      <c r="AP15" s="325">
        <v>8259</v>
      </c>
      <c r="AQ15" s="325">
        <v>7708</v>
      </c>
      <c r="AR15" s="325">
        <v>7680</v>
      </c>
      <c r="AS15" s="325">
        <v>8718</v>
      </c>
      <c r="AT15" s="325">
        <v>7669</v>
      </c>
      <c r="AU15" s="325">
        <v>8980</v>
      </c>
      <c r="AV15" s="325">
        <v>6824</v>
      </c>
      <c r="AW15" s="325">
        <v>7702</v>
      </c>
      <c r="AX15" s="325">
        <v>7314</v>
      </c>
      <c r="AY15" s="325">
        <v>10360</v>
      </c>
      <c r="AZ15" s="338"/>
      <c r="BA15" s="325">
        <v>5921</v>
      </c>
      <c r="BB15" s="325">
        <v>6513</v>
      </c>
      <c r="BC15" s="325">
        <v>7446</v>
      </c>
      <c r="BE15" s="330">
        <v>41980</v>
      </c>
    </row>
    <row r="16" spans="1:57" x14ac:dyDescent="0.25">
      <c r="A16" s="318" t="s">
        <v>135</v>
      </c>
      <c r="B16" s="341" t="s">
        <v>64</v>
      </c>
      <c r="D16" s="339"/>
      <c r="E16" s="339"/>
      <c r="F16" s="339"/>
      <c r="I16" s="323">
        <v>0</v>
      </c>
      <c r="J16" s="323">
        <v>1600</v>
      </c>
      <c r="K16" s="323">
        <v>2695</v>
      </c>
      <c r="L16" s="323">
        <v>1600</v>
      </c>
      <c r="M16" s="323">
        <v>1666.63</v>
      </c>
      <c r="N16" s="323">
        <v>17108</v>
      </c>
      <c r="O16" s="323">
        <v>46304.84</v>
      </c>
      <c r="P16" s="323">
        <v>45285.65</v>
      </c>
      <c r="Q16" s="323">
        <v>78426.919999999984</v>
      </c>
      <c r="R16" s="323">
        <v>467167.11000000004</v>
      </c>
      <c r="S16" s="401">
        <v>0</v>
      </c>
      <c r="T16" s="401">
        <v>0</v>
      </c>
      <c r="U16" s="401">
        <v>0</v>
      </c>
      <c r="V16" s="401">
        <v>0</v>
      </c>
      <c r="W16" s="401">
        <v>0</v>
      </c>
      <c r="X16" s="400">
        <v>4800</v>
      </c>
      <c r="Y16" s="401">
        <v>0</v>
      </c>
      <c r="Z16" s="400">
        <v>108912</v>
      </c>
      <c r="AA16" s="400">
        <v>138826</v>
      </c>
      <c r="AB16" s="400">
        <v>170961</v>
      </c>
      <c r="AC16" s="400">
        <v>201869</v>
      </c>
      <c r="AD16" s="400">
        <v>38558</v>
      </c>
      <c r="AE16" s="400">
        <v>66789</v>
      </c>
      <c r="AF16" s="400">
        <v>760462</v>
      </c>
      <c r="AG16" s="400">
        <v>826271</v>
      </c>
      <c r="AH16" s="325">
        <v>12461</v>
      </c>
      <c r="AI16" s="325">
        <v>42852</v>
      </c>
      <c r="AJ16" s="325">
        <v>8884</v>
      </c>
      <c r="AK16" s="325">
        <v>18041</v>
      </c>
      <c r="AL16" s="325">
        <v>14045</v>
      </c>
      <c r="AM16" s="325">
        <v>11145</v>
      </c>
      <c r="AN16" s="325">
        <v>29896</v>
      </c>
      <c r="AO16" s="325">
        <v>31032</v>
      </c>
      <c r="AP16" s="325">
        <v>25987</v>
      </c>
      <c r="AQ16" s="325">
        <v>25655</v>
      </c>
      <c r="AR16" s="325">
        <v>34140</v>
      </c>
      <c r="AS16" s="325">
        <v>25493</v>
      </c>
      <c r="AT16" s="325">
        <v>36605</v>
      </c>
      <c r="AU16" s="325">
        <v>26122</v>
      </c>
      <c r="AV16" s="325">
        <v>24239</v>
      </c>
      <c r="AW16" s="325">
        <v>27437</v>
      </c>
      <c r="AX16" s="325">
        <v>28315</v>
      </c>
      <c r="AY16" s="325">
        <v>32635</v>
      </c>
      <c r="AZ16" s="338"/>
      <c r="BA16" s="325">
        <v>17939</v>
      </c>
      <c r="BB16" s="325">
        <v>18255</v>
      </c>
      <c r="BC16" s="325">
        <v>21749</v>
      </c>
      <c r="BE16" s="330">
        <v>168784</v>
      </c>
    </row>
    <row r="17" spans="1:58" x14ac:dyDescent="0.25">
      <c r="B17" s="347" t="s">
        <v>154</v>
      </c>
      <c r="C17" s="319"/>
      <c r="D17" s="319"/>
      <c r="E17" s="319"/>
      <c r="F17" s="319"/>
      <c r="G17" s="319"/>
      <c r="H17" s="319"/>
      <c r="I17" s="323">
        <v>21951.780000000002</v>
      </c>
      <c r="J17" s="323">
        <v>21591.45</v>
      </c>
      <c r="K17" s="323">
        <v>57541.479999999996</v>
      </c>
      <c r="L17" s="323">
        <v>3751.33</v>
      </c>
      <c r="M17" s="323">
        <v>33664.22</v>
      </c>
      <c r="N17" s="323">
        <v>14039.78</v>
      </c>
      <c r="O17" s="323">
        <v>8710.4699999999993</v>
      </c>
      <c r="P17" s="323">
        <v>6180.35</v>
      </c>
      <c r="Q17" s="323">
        <v>16426.48</v>
      </c>
      <c r="R17" s="323">
        <v>15263.22</v>
      </c>
      <c r="S17" s="400">
        <v>29515</v>
      </c>
      <c r="T17" s="400">
        <v>21999</v>
      </c>
      <c r="U17" s="400">
        <v>30256</v>
      </c>
      <c r="V17" s="400">
        <v>35569</v>
      </c>
      <c r="W17" s="400">
        <v>18172</v>
      </c>
      <c r="X17" s="400">
        <v>17617</v>
      </c>
      <c r="Y17" s="400">
        <v>23809</v>
      </c>
      <c r="Z17" s="400">
        <v>18442</v>
      </c>
      <c r="AA17" s="400">
        <v>21499</v>
      </c>
      <c r="AB17" s="400">
        <v>18926</v>
      </c>
      <c r="AC17" s="400">
        <v>26010</v>
      </c>
      <c r="AD17" s="400">
        <v>26371</v>
      </c>
      <c r="AE17" s="400">
        <v>6233</v>
      </c>
      <c r="AF17" s="400">
        <v>17771</v>
      </c>
      <c r="AG17" s="400">
        <v>23082</v>
      </c>
      <c r="AH17" s="398">
        <v>15966</v>
      </c>
      <c r="AI17" s="398">
        <v>96821</v>
      </c>
      <c r="AJ17" s="398">
        <v>49593</v>
      </c>
      <c r="AK17" s="398">
        <v>26982</v>
      </c>
      <c r="AL17" s="398">
        <v>26678</v>
      </c>
      <c r="AM17" s="398">
        <v>21022</v>
      </c>
      <c r="AN17" s="398">
        <v>43358</v>
      </c>
      <c r="AO17" s="398">
        <v>102748</v>
      </c>
      <c r="AP17" s="398">
        <v>49315</v>
      </c>
      <c r="AQ17" s="398">
        <v>43441</v>
      </c>
      <c r="AR17" s="398">
        <v>52926</v>
      </c>
      <c r="AS17" s="398">
        <v>64638</v>
      </c>
      <c r="AT17" s="398">
        <v>55795</v>
      </c>
      <c r="AU17" s="398">
        <v>75626</v>
      </c>
      <c r="AV17" s="398">
        <v>39999</v>
      </c>
      <c r="AW17" s="398">
        <v>40007</v>
      </c>
      <c r="AX17" s="398">
        <v>45103</v>
      </c>
      <c r="AY17" s="398">
        <v>63952</v>
      </c>
      <c r="AZ17" s="338"/>
      <c r="BA17" s="398">
        <v>40153</v>
      </c>
      <c r="BB17" s="398">
        <v>44517</v>
      </c>
      <c r="BC17" s="398">
        <v>42820</v>
      </c>
      <c r="BE17" s="323">
        <v>31406</v>
      </c>
      <c r="BF17" s="376"/>
    </row>
    <row r="18" spans="1:58" x14ac:dyDescent="0.25">
      <c r="B18" s="341" t="s">
        <v>166</v>
      </c>
      <c r="C18" s="310">
        <v>8865</v>
      </c>
      <c r="D18" s="310">
        <v>27635.9</v>
      </c>
      <c r="E18" s="310">
        <v>44245.61</v>
      </c>
      <c r="F18" s="310">
        <v>9000</v>
      </c>
      <c r="G18" s="310">
        <v>10435</v>
      </c>
      <c r="H18" s="310">
        <v>26340.65</v>
      </c>
      <c r="I18" s="323">
        <v>9680</v>
      </c>
      <c r="J18" s="323">
        <v>18895</v>
      </c>
      <c r="K18" s="323">
        <v>41200</v>
      </c>
      <c r="L18" s="323">
        <v>5400</v>
      </c>
      <c r="M18" s="323">
        <v>18950</v>
      </c>
      <c r="N18" s="323">
        <v>9285.6</v>
      </c>
      <c r="O18" s="323">
        <v>4719</v>
      </c>
      <c r="P18" s="323">
        <v>6035</v>
      </c>
      <c r="Q18" s="323">
        <v>11875</v>
      </c>
      <c r="R18" s="323">
        <v>150</v>
      </c>
      <c r="S18" s="400">
        <v>11760</v>
      </c>
      <c r="T18" s="400">
        <v>7211</v>
      </c>
      <c r="U18" s="400">
        <v>19192</v>
      </c>
      <c r="V18" s="400">
        <v>5585</v>
      </c>
      <c r="W18" s="400">
        <v>7435</v>
      </c>
      <c r="X18" s="400">
        <v>6827</v>
      </c>
      <c r="Y18" s="400">
        <v>7833</v>
      </c>
      <c r="Z18" s="400">
        <v>7025</v>
      </c>
      <c r="AA18" s="400">
        <v>8683</v>
      </c>
      <c r="AB18" s="400">
        <v>7365</v>
      </c>
      <c r="AC18" s="400">
        <v>11000</v>
      </c>
      <c r="AD18" s="400">
        <v>14087</v>
      </c>
      <c r="AE18" s="400">
        <v>5689</v>
      </c>
      <c r="AF18" s="400">
        <v>8525</v>
      </c>
      <c r="AG18" s="400">
        <v>10299</v>
      </c>
      <c r="AH18" s="325">
        <v>4806</v>
      </c>
      <c r="AI18" s="325">
        <v>17173</v>
      </c>
      <c r="AJ18" s="325">
        <v>10315</v>
      </c>
      <c r="AK18" s="325">
        <v>6581</v>
      </c>
      <c r="AL18" s="325">
        <v>19277</v>
      </c>
      <c r="AM18" s="325">
        <v>3093</v>
      </c>
      <c r="AN18" s="325">
        <v>10675</v>
      </c>
      <c r="AO18" s="325">
        <v>17877</v>
      </c>
      <c r="AP18" s="325">
        <v>15366</v>
      </c>
      <c r="AQ18" s="325">
        <v>11812</v>
      </c>
      <c r="AR18" s="325">
        <v>9647</v>
      </c>
      <c r="AS18" s="325">
        <v>22897</v>
      </c>
      <c r="AT18" s="325">
        <v>13811</v>
      </c>
      <c r="AU18" s="325">
        <v>9106</v>
      </c>
      <c r="AV18" s="325">
        <v>9087</v>
      </c>
      <c r="AW18" s="325">
        <v>9016</v>
      </c>
      <c r="AX18" s="325">
        <v>9956</v>
      </c>
      <c r="AY18" s="325">
        <v>6213</v>
      </c>
      <c r="AZ18" s="340"/>
      <c r="BA18" s="325">
        <v>8011</v>
      </c>
      <c r="BB18" s="325">
        <v>8035</v>
      </c>
      <c r="BC18" s="325">
        <v>22134</v>
      </c>
      <c r="BE18" s="323">
        <v>9569</v>
      </c>
      <c r="BF18" s="376"/>
    </row>
    <row r="19" spans="1:58" x14ac:dyDescent="0.25">
      <c r="B19" s="341" t="s">
        <v>162</v>
      </c>
      <c r="C19" s="379"/>
      <c r="D19" s="379"/>
      <c r="E19" s="379"/>
      <c r="F19" s="379"/>
      <c r="G19" s="379"/>
      <c r="H19" s="379"/>
      <c r="I19" s="323">
        <v>7050</v>
      </c>
      <c r="J19" s="323">
        <v>19222</v>
      </c>
      <c r="K19" s="323">
        <v>10850</v>
      </c>
      <c r="L19" s="323">
        <v>3600</v>
      </c>
      <c r="M19" s="323">
        <v>11066.83</v>
      </c>
      <c r="N19" s="323">
        <v>16766.88</v>
      </c>
      <c r="O19" s="323">
        <v>12775</v>
      </c>
      <c r="P19" s="323">
        <v>6564</v>
      </c>
      <c r="Q19" s="323">
        <v>10326.66</v>
      </c>
      <c r="R19" s="323">
        <v>33868</v>
      </c>
      <c r="S19" s="400">
        <v>23634</v>
      </c>
      <c r="T19" s="400">
        <v>11881</v>
      </c>
      <c r="U19" s="400">
        <v>11064</v>
      </c>
      <c r="V19" s="400">
        <v>15720</v>
      </c>
      <c r="W19" s="400">
        <v>10556</v>
      </c>
      <c r="X19" s="400">
        <v>7488</v>
      </c>
      <c r="Y19" s="400">
        <v>12738</v>
      </c>
      <c r="Z19" s="400">
        <v>13360</v>
      </c>
      <c r="AA19" s="400">
        <v>16710</v>
      </c>
      <c r="AB19" s="400">
        <v>10817</v>
      </c>
      <c r="AC19" s="400">
        <v>10700</v>
      </c>
      <c r="AD19" s="400">
        <v>7255</v>
      </c>
      <c r="AE19" s="400">
        <v>5417</v>
      </c>
      <c r="AF19" s="400">
        <v>11150</v>
      </c>
      <c r="AG19" s="400">
        <v>15641</v>
      </c>
      <c r="AH19" s="325">
        <v>5660</v>
      </c>
      <c r="AI19" s="325">
        <v>21723</v>
      </c>
      <c r="AJ19" s="325">
        <v>6938</v>
      </c>
      <c r="AK19" s="325">
        <v>6517</v>
      </c>
      <c r="AL19" s="325">
        <v>4916</v>
      </c>
      <c r="AM19" s="325">
        <v>2313</v>
      </c>
      <c r="AN19" s="325">
        <v>6824</v>
      </c>
      <c r="AO19" s="325">
        <v>5966</v>
      </c>
      <c r="AP19" s="325">
        <v>8619</v>
      </c>
      <c r="AQ19" s="325">
        <v>7455</v>
      </c>
      <c r="AR19" s="325">
        <v>5133</v>
      </c>
      <c r="AS19" s="325">
        <v>13324</v>
      </c>
      <c r="AT19" s="325">
        <v>13728</v>
      </c>
      <c r="AU19" s="325">
        <v>5872</v>
      </c>
      <c r="AV19" s="325">
        <v>9360</v>
      </c>
      <c r="AW19" s="325">
        <v>11303</v>
      </c>
      <c r="AX19" s="325">
        <v>9028</v>
      </c>
      <c r="AY19" s="325">
        <v>15742</v>
      </c>
      <c r="AZ19" s="340"/>
      <c r="BA19" s="325">
        <v>4929</v>
      </c>
      <c r="BB19" s="325">
        <v>7836</v>
      </c>
      <c r="BC19" s="325">
        <v>8918</v>
      </c>
      <c r="BE19" s="323">
        <v>15597</v>
      </c>
      <c r="BF19" s="376"/>
    </row>
    <row r="20" spans="1:58" x14ac:dyDescent="0.25">
      <c r="B20" s="341" t="s">
        <v>163</v>
      </c>
      <c r="C20" s="379"/>
      <c r="D20" s="379"/>
      <c r="E20" s="379"/>
      <c r="F20" s="379"/>
      <c r="G20" s="379"/>
      <c r="H20" s="379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5">
        <v>22798</v>
      </c>
      <c r="AI20" s="325">
        <v>26009</v>
      </c>
      <c r="AJ20" s="399">
        <v>506</v>
      </c>
      <c r="AK20" s="325">
        <v>12707</v>
      </c>
      <c r="AL20" s="325">
        <v>10652</v>
      </c>
      <c r="AM20" s="325">
        <v>6698</v>
      </c>
      <c r="AN20" s="325">
        <v>13351</v>
      </c>
      <c r="AO20" s="325">
        <v>20720</v>
      </c>
      <c r="AP20" s="325">
        <v>14698</v>
      </c>
      <c r="AQ20" s="325">
        <v>24137</v>
      </c>
      <c r="AR20" s="325">
        <v>36958</v>
      </c>
      <c r="AS20" s="325">
        <v>20038</v>
      </c>
      <c r="AT20" s="325">
        <v>13555</v>
      </c>
      <c r="AU20" s="325">
        <v>93925</v>
      </c>
      <c r="AV20" s="325">
        <v>65313</v>
      </c>
      <c r="AW20" s="325">
        <v>49455</v>
      </c>
      <c r="AX20" s="325">
        <v>100301</v>
      </c>
      <c r="AY20" s="325">
        <v>19140</v>
      </c>
      <c r="AZ20" s="340"/>
      <c r="BA20" s="325">
        <v>8949</v>
      </c>
      <c r="BB20" s="325">
        <v>11953</v>
      </c>
      <c r="BC20" s="325">
        <v>48832</v>
      </c>
      <c r="BE20" s="323"/>
      <c r="BF20" s="376"/>
    </row>
    <row r="21" spans="1:58" x14ac:dyDescent="0.25">
      <c r="A21" s="318" t="s">
        <v>149</v>
      </c>
      <c r="B21" s="341" t="s">
        <v>136</v>
      </c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25">
        <v>4205</v>
      </c>
      <c r="AI21" s="325">
        <v>13127</v>
      </c>
      <c r="AJ21" s="325">
        <v>9870</v>
      </c>
      <c r="AK21" s="325">
        <v>5389</v>
      </c>
      <c r="AL21" s="325">
        <v>6100</v>
      </c>
      <c r="AM21" s="325">
        <v>3452</v>
      </c>
      <c r="AN21" s="325">
        <v>8872</v>
      </c>
      <c r="AO21" s="325">
        <v>11378</v>
      </c>
      <c r="AP21" s="325">
        <v>10356</v>
      </c>
      <c r="AQ21" s="325">
        <v>8992</v>
      </c>
      <c r="AR21" s="325">
        <v>11242</v>
      </c>
      <c r="AS21" s="325">
        <v>11190</v>
      </c>
      <c r="AT21" s="325">
        <v>9819</v>
      </c>
      <c r="AU21" s="325">
        <v>10893</v>
      </c>
      <c r="AV21" s="325">
        <v>9205</v>
      </c>
      <c r="AW21" s="325">
        <v>8055</v>
      </c>
      <c r="AX21" s="325">
        <v>13282</v>
      </c>
      <c r="AY21" s="325">
        <v>14670</v>
      </c>
      <c r="AZ21" s="340"/>
      <c r="BA21" s="325">
        <v>9145</v>
      </c>
      <c r="BB21" s="325">
        <v>9145</v>
      </c>
      <c r="BC21" s="325">
        <v>10805</v>
      </c>
      <c r="BE21" s="323"/>
      <c r="BF21" s="376"/>
    </row>
    <row r="22" spans="1:58" x14ac:dyDescent="0.25">
      <c r="I22" s="339"/>
      <c r="J22" s="339"/>
      <c r="K22" s="339"/>
      <c r="L22" s="339"/>
      <c r="M22" s="339"/>
      <c r="N22" s="339"/>
      <c r="O22" s="339"/>
      <c r="P22" s="339"/>
      <c r="Q22" s="339"/>
      <c r="S22" s="339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39"/>
      <c r="AR22" s="339"/>
      <c r="AS22" s="339"/>
      <c r="AT22" s="339"/>
      <c r="AU22" s="339"/>
      <c r="AV22" s="339"/>
      <c r="AW22" s="339"/>
      <c r="AX22" s="339"/>
      <c r="AY22" s="339"/>
      <c r="AZ22" s="339"/>
      <c r="BA22" s="339"/>
      <c r="BB22" s="339"/>
      <c r="BC22" s="339"/>
      <c r="BE22" s="323"/>
    </row>
    <row r="23" spans="1:58" x14ac:dyDescent="0.25">
      <c r="B23" s="342" t="s">
        <v>67</v>
      </c>
      <c r="C23" s="319"/>
      <c r="D23" s="319"/>
      <c r="E23" s="319"/>
      <c r="F23" s="319"/>
      <c r="G23" s="319"/>
      <c r="H23" s="319"/>
      <c r="I23" s="319" t="s">
        <v>8</v>
      </c>
      <c r="J23" s="319" t="s">
        <v>9</v>
      </c>
      <c r="K23" s="319" t="s">
        <v>10</v>
      </c>
      <c r="L23" s="319" t="s">
        <v>114</v>
      </c>
      <c r="M23" s="319" t="s">
        <v>12</v>
      </c>
      <c r="N23" s="319" t="s">
        <v>13</v>
      </c>
      <c r="O23" s="319" t="s">
        <v>14</v>
      </c>
      <c r="P23" s="319" t="s">
        <v>15</v>
      </c>
      <c r="Q23" s="319" t="s">
        <v>16</v>
      </c>
      <c r="R23" s="319" t="s">
        <v>17</v>
      </c>
      <c r="S23" s="319" t="s">
        <v>18</v>
      </c>
      <c r="T23" s="319" t="s">
        <v>19</v>
      </c>
      <c r="U23" s="319" t="s">
        <v>20</v>
      </c>
      <c r="V23" s="319" t="s">
        <v>21</v>
      </c>
      <c r="W23" s="319" t="s">
        <v>22</v>
      </c>
      <c r="X23" s="319" t="s">
        <v>23</v>
      </c>
      <c r="Y23" s="319" t="s">
        <v>24</v>
      </c>
      <c r="Z23" s="319" t="s">
        <v>25</v>
      </c>
      <c r="AA23" s="319" t="s">
        <v>26</v>
      </c>
      <c r="AB23" s="319" t="s">
        <v>27</v>
      </c>
      <c r="AC23" s="319" t="s">
        <v>28</v>
      </c>
      <c r="AD23" s="319" t="s">
        <v>29</v>
      </c>
      <c r="AE23" s="319" t="s">
        <v>30</v>
      </c>
      <c r="AF23" s="319" t="s">
        <v>31</v>
      </c>
      <c r="AG23" s="319" t="s">
        <v>32</v>
      </c>
      <c r="AH23" s="319" t="s">
        <v>34</v>
      </c>
      <c r="AI23" s="319" t="s">
        <v>35</v>
      </c>
      <c r="AJ23" s="319" t="s">
        <v>36</v>
      </c>
      <c r="AK23" s="319" t="s">
        <v>37</v>
      </c>
      <c r="AL23" s="319" t="s">
        <v>38</v>
      </c>
      <c r="AM23" s="319" t="s">
        <v>39</v>
      </c>
      <c r="AN23" s="319" t="s">
        <v>33</v>
      </c>
      <c r="AO23" s="319" t="s">
        <v>40</v>
      </c>
      <c r="AP23" s="319" t="s">
        <v>41</v>
      </c>
      <c r="AQ23" s="319" t="s">
        <v>42</v>
      </c>
      <c r="AR23" s="319" t="s">
        <v>43</v>
      </c>
      <c r="AS23" s="319" t="s">
        <v>44</v>
      </c>
      <c r="AT23" s="319" t="s">
        <v>45</v>
      </c>
      <c r="AU23" s="319" t="s">
        <v>46</v>
      </c>
      <c r="AV23" s="319" t="s">
        <v>47</v>
      </c>
      <c r="AW23" s="319" t="s">
        <v>48</v>
      </c>
      <c r="AX23" s="319" t="s">
        <v>49</v>
      </c>
      <c r="AY23" s="319" t="s">
        <v>50</v>
      </c>
      <c r="AZ23" s="321" t="s">
        <v>51</v>
      </c>
      <c r="BA23" s="319" t="s">
        <v>52</v>
      </c>
      <c r="BB23" s="319" t="s">
        <v>53</v>
      </c>
      <c r="BC23" s="319" t="s">
        <v>54</v>
      </c>
      <c r="BE23" s="377" t="s">
        <v>158</v>
      </c>
    </row>
    <row r="24" spans="1:58" x14ac:dyDescent="0.25">
      <c r="B24" s="341" t="s">
        <v>62</v>
      </c>
      <c r="C24" s="323"/>
      <c r="D24" s="323"/>
      <c r="E24" s="323"/>
      <c r="F24" s="323"/>
      <c r="G24" s="323"/>
      <c r="H24" s="323"/>
      <c r="I24" s="323">
        <v>5760.07</v>
      </c>
      <c r="J24" s="323">
        <v>10247.470000000001</v>
      </c>
      <c r="K24" s="323">
        <v>10153.210000000014</v>
      </c>
      <c r="L24" s="323">
        <v>3395.88</v>
      </c>
      <c r="M24" s="323">
        <v>-4826.9599999999846</v>
      </c>
      <c r="N24" s="323">
        <v>3775.9300000000021</v>
      </c>
      <c r="O24" s="323">
        <v>2730.6599999999989</v>
      </c>
      <c r="P24" s="323">
        <v>-736.54</v>
      </c>
      <c r="Q24" s="323">
        <v>2354.0100000000002</v>
      </c>
      <c r="R24" s="323">
        <v>-1511.48</v>
      </c>
      <c r="S24" s="323">
        <v>-7059</v>
      </c>
      <c r="T24" s="323">
        <v>-10482</v>
      </c>
      <c r="U24" s="323">
        <v>-3894</v>
      </c>
      <c r="V24" s="323">
        <v>-8657</v>
      </c>
      <c r="W24" s="323">
        <v>203</v>
      </c>
      <c r="X24" s="323">
        <v>-6558</v>
      </c>
      <c r="Y24" s="323">
        <v>-17550</v>
      </c>
      <c r="Z24" s="323">
        <v>-9410</v>
      </c>
      <c r="AA24" s="323">
        <v>-3028</v>
      </c>
      <c r="AB24" s="323">
        <v>-4730</v>
      </c>
      <c r="AC24" s="323">
        <v>-13815</v>
      </c>
      <c r="AD24" s="323">
        <v>-24036</v>
      </c>
      <c r="AE24" s="323">
        <v>-3052</v>
      </c>
      <c r="AF24" s="323">
        <v>-372</v>
      </c>
      <c r="AG24" s="323">
        <v>51</v>
      </c>
      <c r="AH24" s="323">
        <v>-4228</v>
      </c>
      <c r="AI24" s="323">
        <v>5782</v>
      </c>
      <c r="AJ24" s="323">
        <v>4908</v>
      </c>
      <c r="AK24" s="323">
        <v>-1212</v>
      </c>
      <c r="AL24" s="323">
        <v>5258</v>
      </c>
      <c r="AM24" s="323">
        <v>2690</v>
      </c>
      <c r="AN24" s="323">
        <v>-5284</v>
      </c>
      <c r="AO24" s="323">
        <v>-842</v>
      </c>
      <c r="AP24" s="323">
        <v>-2861</v>
      </c>
      <c r="AQ24" s="323">
        <v>-349</v>
      </c>
      <c r="AR24" s="323">
        <v>2447</v>
      </c>
      <c r="AS24" s="323">
        <v>-7486</v>
      </c>
      <c r="AT24" s="323">
        <v>8059</v>
      </c>
      <c r="AU24" s="323">
        <v>6842</v>
      </c>
      <c r="AV24" s="323">
        <v>-6588</v>
      </c>
      <c r="AW24" s="323">
        <v>-24892</v>
      </c>
      <c r="AX24" s="323">
        <v>15217</v>
      </c>
      <c r="AY24" s="323">
        <v>-11060</v>
      </c>
      <c r="AZ24" s="326">
        <v>0</v>
      </c>
      <c r="BA24" s="323">
        <v>1098</v>
      </c>
      <c r="BB24" s="323">
        <v>-100</v>
      </c>
      <c r="BC24" s="323">
        <v>834</v>
      </c>
      <c r="BD24" s="323"/>
      <c r="BE24" s="323">
        <v>-1471</v>
      </c>
    </row>
    <row r="25" spans="1:58" x14ac:dyDescent="0.25">
      <c r="B25" s="341" t="s">
        <v>63</v>
      </c>
      <c r="C25" s="323"/>
      <c r="D25" s="323"/>
      <c r="E25" s="323"/>
      <c r="F25" s="323"/>
      <c r="G25" s="323"/>
      <c r="H25" s="323"/>
      <c r="I25" s="323">
        <v>-2864.47</v>
      </c>
      <c r="J25" s="323">
        <v>196.17999999999984</v>
      </c>
      <c r="K25" s="323">
        <v>-2226.4100000000017</v>
      </c>
      <c r="L25" s="323">
        <v>-6728.3799999999992</v>
      </c>
      <c r="M25" s="323">
        <v>-830.08999999999924</v>
      </c>
      <c r="N25" s="323">
        <v>-5661.93</v>
      </c>
      <c r="O25" s="323">
        <v>-23931.93</v>
      </c>
      <c r="P25" s="323">
        <v>-5899.0999999999995</v>
      </c>
      <c r="Q25" s="323">
        <v>5903.0899999999965</v>
      </c>
      <c r="R25" s="323">
        <v>0</v>
      </c>
      <c r="S25" s="323">
        <v>-3446</v>
      </c>
      <c r="T25" s="323">
        <v>4616</v>
      </c>
      <c r="U25" s="323">
        <v>-6764</v>
      </c>
      <c r="V25" s="323">
        <v>-4404</v>
      </c>
      <c r="W25" s="323">
        <v>-3072</v>
      </c>
      <c r="X25" s="323">
        <v>-9351</v>
      </c>
      <c r="Y25" s="323">
        <v>-3980</v>
      </c>
      <c r="Z25" s="323">
        <v>-14083</v>
      </c>
      <c r="AA25" s="323">
        <v>2074</v>
      </c>
      <c r="AB25" s="323">
        <v>-3794</v>
      </c>
      <c r="AC25" s="323">
        <v>7805</v>
      </c>
      <c r="AD25" s="323">
        <v>532</v>
      </c>
      <c r="AE25" s="323">
        <v>-1257</v>
      </c>
      <c r="AF25" s="323">
        <v>0</v>
      </c>
      <c r="AG25" s="323">
        <v>0</v>
      </c>
      <c r="AH25" s="323">
        <v>-15422</v>
      </c>
      <c r="AI25" s="323">
        <v>-103790</v>
      </c>
      <c r="AJ25" s="323">
        <v>-6437</v>
      </c>
      <c r="AK25" s="323">
        <v>-14436</v>
      </c>
      <c r="AL25" s="323">
        <v>-19037</v>
      </c>
      <c r="AM25" s="323">
        <v>-16082</v>
      </c>
      <c r="AN25" s="323">
        <v>-14144</v>
      </c>
      <c r="AO25" s="323">
        <v>-87637</v>
      </c>
      <c r="AP25" s="323">
        <v>-54644</v>
      </c>
      <c r="AQ25" s="323">
        <v>-18560</v>
      </c>
      <c r="AR25" s="323">
        <v>-108657</v>
      </c>
      <c r="AS25" s="323">
        <v>-42119</v>
      </c>
      <c r="AT25" s="323">
        <v>-62017</v>
      </c>
      <c r="AU25" s="323">
        <v>-102818</v>
      </c>
      <c r="AV25" s="323">
        <v>-61739</v>
      </c>
      <c r="AW25" s="323">
        <v>-13120</v>
      </c>
      <c r="AX25" s="323">
        <v>-25460</v>
      </c>
      <c r="AY25" s="323">
        <v>-184247</v>
      </c>
      <c r="AZ25" s="326">
        <v>0</v>
      </c>
      <c r="BA25" s="323">
        <v>-938</v>
      </c>
      <c r="BB25" s="323">
        <v>-6002</v>
      </c>
      <c r="BC25" s="323">
        <v>-89868</v>
      </c>
      <c r="BD25" s="323"/>
      <c r="BE25" s="323">
        <v>-9935</v>
      </c>
    </row>
    <row r="26" spans="1:58" x14ac:dyDescent="0.25">
      <c r="B26" s="341" t="s">
        <v>64</v>
      </c>
      <c r="C26" s="323"/>
      <c r="D26" s="323"/>
      <c r="E26" s="323"/>
      <c r="F26" s="323"/>
      <c r="G26" s="323"/>
      <c r="H26" s="323"/>
      <c r="I26" s="323">
        <v>0</v>
      </c>
      <c r="J26" s="323">
        <v>-1813.7500000000005</v>
      </c>
      <c r="K26" s="323">
        <v>-3975.4399999999996</v>
      </c>
      <c r="L26" s="323">
        <v>1600</v>
      </c>
      <c r="M26" s="323">
        <v>-2047.9299999999998</v>
      </c>
      <c r="N26" s="323">
        <v>-10387.489999999998</v>
      </c>
      <c r="O26" s="323">
        <v>20538.479999999996</v>
      </c>
      <c r="P26" s="323">
        <v>22998.880000000001</v>
      </c>
      <c r="Q26" s="323">
        <v>-27173.590000000011</v>
      </c>
      <c r="R26" s="323">
        <v>21902.110000000044</v>
      </c>
      <c r="S26" s="323">
        <v>0</v>
      </c>
      <c r="T26" s="323">
        <v>-2559</v>
      </c>
      <c r="U26" s="323">
        <v>0</v>
      </c>
      <c r="V26" s="323">
        <v>-6500</v>
      </c>
      <c r="W26" s="323">
        <v>0</v>
      </c>
      <c r="X26" s="323">
        <v>4800</v>
      </c>
      <c r="Y26" s="323">
        <v>-352</v>
      </c>
      <c r="Z26" s="323">
        <v>6608</v>
      </c>
      <c r="AA26" s="323">
        <v>-3381</v>
      </c>
      <c r="AB26" s="323">
        <v>20057</v>
      </c>
      <c r="AC26" s="323">
        <v>32016</v>
      </c>
      <c r="AD26" s="323">
        <v>-10303</v>
      </c>
      <c r="AE26" s="323">
        <v>18210</v>
      </c>
      <c r="AF26" s="323">
        <v>46736</v>
      </c>
      <c r="AG26" s="323">
        <v>28793</v>
      </c>
      <c r="AH26" s="323">
        <v>-20491</v>
      </c>
      <c r="AI26" s="323">
        <v>-84738</v>
      </c>
      <c r="AJ26" s="323">
        <v>-1005</v>
      </c>
      <c r="AK26" s="323">
        <v>-21187</v>
      </c>
      <c r="AL26" s="323">
        <v>-47426</v>
      </c>
      <c r="AM26" s="323">
        <v>-40889</v>
      </c>
      <c r="AN26" s="323">
        <v>-50425</v>
      </c>
      <c r="AO26" s="323">
        <v>-123449</v>
      </c>
      <c r="AP26" s="323">
        <v>-56518</v>
      </c>
      <c r="AQ26" s="323">
        <v>-36862</v>
      </c>
      <c r="AR26" s="323">
        <v>-273835</v>
      </c>
      <c r="AS26" s="323">
        <v>-22967</v>
      </c>
      <c r="AT26" s="323">
        <v>-3720</v>
      </c>
      <c r="AU26" s="323">
        <v>-40474</v>
      </c>
      <c r="AV26" s="323">
        <v>-162682</v>
      </c>
      <c r="AW26" s="323">
        <v>-6339</v>
      </c>
      <c r="AX26" s="323">
        <v>-13239</v>
      </c>
      <c r="AY26" s="323">
        <v>-163721</v>
      </c>
      <c r="AZ26" s="326">
        <v>0</v>
      </c>
      <c r="BA26" s="323">
        <v>1284</v>
      </c>
      <c r="BB26" s="323">
        <v>-24226</v>
      </c>
      <c r="BC26" s="323">
        <v>-401269</v>
      </c>
      <c r="BD26" s="323"/>
      <c r="BE26" s="323">
        <v>-3699</v>
      </c>
    </row>
    <row r="27" spans="1:58" x14ac:dyDescent="0.25">
      <c r="B27" s="347" t="s">
        <v>154</v>
      </c>
      <c r="C27" s="377"/>
      <c r="D27" s="377"/>
      <c r="E27" s="377"/>
      <c r="F27" s="377"/>
      <c r="G27" s="377"/>
      <c r="H27" s="377"/>
      <c r="I27" s="323">
        <v>2606.41</v>
      </c>
      <c r="J27" s="323">
        <v>-743.06999999999971</v>
      </c>
      <c r="K27" s="323">
        <v>-8753.8700000000099</v>
      </c>
      <c r="L27" s="323">
        <v>934.59999999999991</v>
      </c>
      <c r="M27" s="323">
        <v>-6888.4199999999983</v>
      </c>
      <c r="N27" s="323">
        <v>3702.0200000000004</v>
      </c>
      <c r="O27" s="323">
        <v>-1775.5400000000009</v>
      </c>
      <c r="P27" s="323">
        <v>-1360</v>
      </c>
      <c r="Q27" s="323">
        <v>521.07999999999993</v>
      </c>
      <c r="R27" s="323">
        <v>551.23999999999978</v>
      </c>
      <c r="S27" s="323">
        <v>3126</v>
      </c>
      <c r="T27" s="323">
        <v>2978</v>
      </c>
      <c r="U27" s="323">
        <v>-1578</v>
      </c>
      <c r="V27" s="323">
        <v>-6892</v>
      </c>
      <c r="W27" s="323">
        <v>4354</v>
      </c>
      <c r="X27" s="323">
        <v>3987</v>
      </c>
      <c r="Y27" s="323">
        <v>-3659</v>
      </c>
      <c r="Z27" s="323">
        <v>1897</v>
      </c>
      <c r="AA27" s="323">
        <v>1074</v>
      </c>
      <c r="AB27" s="323">
        <v>-1632</v>
      </c>
      <c r="AC27" s="323">
        <v>-402</v>
      </c>
      <c r="AD27" s="323">
        <v>12757</v>
      </c>
      <c r="AE27" s="323">
        <v>2566</v>
      </c>
      <c r="AF27" s="323">
        <v>8734</v>
      </c>
      <c r="AG27" s="323">
        <v>25845</v>
      </c>
      <c r="AH27" s="323">
        <v>1566</v>
      </c>
      <c r="AI27" s="323">
        <v>101151</v>
      </c>
      <c r="AJ27" s="323">
        <v>54717</v>
      </c>
      <c r="AK27" s="323">
        <v>19272</v>
      </c>
      <c r="AL27" s="323">
        <v>5315</v>
      </c>
      <c r="AM27" s="323">
        <v>10271</v>
      </c>
      <c r="AN27" s="323">
        <v>21802</v>
      </c>
      <c r="AO27" s="323">
        <v>54386</v>
      </c>
      <c r="AP27" s="323">
        <v>59322</v>
      </c>
      <c r="AQ27" s="323">
        <v>21037</v>
      </c>
      <c r="AR27" s="323">
        <v>16655</v>
      </c>
      <c r="AS27" s="323">
        <v>31656</v>
      </c>
      <c r="AT27" s="323">
        <v>39268</v>
      </c>
      <c r="AU27" s="323">
        <v>80391</v>
      </c>
      <c r="AV27" s="323">
        <v>25656</v>
      </c>
      <c r="AW27" s="323">
        <v>13960</v>
      </c>
      <c r="AX27" s="323">
        <v>16646</v>
      </c>
      <c r="AY27" s="323">
        <v>12994</v>
      </c>
      <c r="AZ27" s="326">
        <v>0</v>
      </c>
      <c r="BA27" s="323">
        <v>25159</v>
      </c>
      <c r="BB27" s="323">
        <v>26068</v>
      </c>
      <c r="BC27" s="323">
        <v>11565</v>
      </c>
      <c r="BD27" s="323"/>
      <c r="BE27" s="323">
        <v>-19939</v>
      </c>
    </row>
    <row r="28" spans="1:58" x14ac:dyDescent="0.25">
      <c r="B28" s="341" t="s">
        <v>166</v>
      </c>
      <c r="C28" s="323">
        <v>-13994.579999999998</v>
      </c>
      <c r="D28" s="323">
        <v>9995.0299999999988</v>
      </c>
      <c r="E28" s="323">
        <v>9525.4199999999983</v>
      </c>
      <c r="F28" s="323">
        <v>5221.01</v>
      </c>
      <c r="G28" s="323">
        <v>-9129.0799999999981</v>
      </c>
      <c r="H28" s="323">
        <v>-11365.719999999994</v>
      </c>
      <c r="I28" s="323">
        <v>5281.28</v>
      </c>
      <c r="J28" s="323">
        <v>10299.599999999999</v>
      </c>
      <c r="K28" s="323">
        <v>14630.39</v>
      </c>
      <c r="L28" s="323">
        <v>3518.52</v>
      </c>
      <c r="M28" s="323">
        <v>-5668.6400000000031</v>
      </c>
      <c r="N28" s="323">
        <v>4915.51</v>
      </c>
      <c r="O28" s="323">
        <v>3286.7</v>
      </c>
      <c r="P28" s="323">
        <v>4636.47</v>
      </c>
      <c r="Q28" s="323">
        <v>10931.22</v>
      </c>
      <c r="R28" s="323">
        <v>-5275.32</v>
      </c>
      <c r="S28" s="323">
        <v>7430</v>
      </c>
      <c r="T28" s="323">
        <v>6153</v>
      </c>
      <c r="U28" s="323">
        <v>-3289</v>
      </c>
      <c r="V28" s="323">
        <v>3278</v>
      </c>
      <c r="W28" s="323">
        <v>-5394</v>
      </c>
      <c r="X28" s="323">
        <v>6827</v>
      </c>
      <c r="Y28" s="323">
        <v>1847</v>
      </c>
      <c r="Z28" s="323">
        <v>3666</v>
      </c>
      <c r="AA28" s="323">
        <v>-3171</v>
      </c>
      <c r="AB28" s="323">
        <v>1322</v>
      </c>
      <c r="AC28" s="323">
        <v>5452</v>
      </c>
      <c r="AD28" s="323">
        <v>-5612</v>
      </c>
      <c r="AE28" s="323">
        <v>2974</v>
      </c>
      <c r="AF28" s="323">
        <v>2124</v>
      </c>
      <c r="AG28" s="323">
        <v>5744</v>
      </c>
      <c r="AH28" s="323">
        <v>1634</v>
      </c>
      <c r="AI28" s="323">
        <v>9633</v>
      </c>
      <c r="AJ28" s="323">
        <v>1602</v>
      </c>
      <c r="AK28" s="323">
        <v>-3347</v>
      </c>
      <c r="AL28" s="323">
        <v>9941</v>
      </c>
      <c r="AM28" s="323">
        <v>808</v>
      </c>
      <c r="AN28" s="323">
        <v>-9076</v>
      </c>
      <c r="AO28" s="323">
        <v>6655</v>
      </c>
      <c r="AP28" s="323">
        <v>12712</v>
      </c>
      <c r="AQ28" s="323">
        <v>5298</v>
      </c>
      <c r="AR28" s="323">
        <v>6327</v>
      </c>
      <c r="AS28" s="323">
        <v>3580</v>
      </c>
      <c r="AT28" s="323">
        <v>3703</v>
      </c>
      <c r="AU28" s="323">
        <v>5463</v>
      </c>
      <c r="AV28" s="323">
        <v>-11663</v>
      </c>
      <c r="AW28" s="323">
        <v>6035</v>
      </c>
      <c r="AX28" s="323">
        <v>3818</v>
      </c>
      <c r="AY28" s="323">
        <v>843</v>
      </c>
      <c r="AZ28" s="326">
        <v>0</v>
      </c>
      <c r="BA28" s="323">
        <v>-36</v>
      </c>
      <c r="BB28" s="323">
        <v>-1839</v>
      </c>
      <c r="BC28" s="323">
        <v>12476</v>
      </c>
      <c r="BD28" s="323"/>
      <c r="BE28" s="323">
        <v>1821</v>
      </c>
    </row>
    <row r="29" spans="1:58" x14ac:dyDescent="0.25">
      <c r="B29" s="341" t="s">
        <v>162</v>
      </c>
      <c r="C29" s="323"/>
      <c r="D29" s="323"/>
      <c r="E29" s="323"/>
      <c r="F29" s="323"/>
      <c r="G29" s="323"/>
      <c r="H29" s="323"/>
      <c r="I29" s="323">
        <v>-1805.0599999999995</v>
      </c>
      <c r="J29" s="323">
        <v>-4988.8299999999981</v>
      </c>
      <c r="K29" s="323">
        <v>-18326.48</v>
      </c>
      <c r="L29" s="323">
        <v>878.27000000000044</v>
      </c>
      <c r="M29" s="323">
        <v>3397.8599999999997</v>
      </c>
      <c r="N29" s="323">
        <v>9941.5700000000015</v>
      </c>
      <c r="O29" s="323">
        <v>1341.6599999999999</v>
      </c>
      <c r="P29" s="323">
        <v>-1900.6100000000006</v>
      </c>
      <c r="Q29" s="323">
        <v>5901.08</v>
      </c>
      <c r="R29" s="323">
        <v>1163.2200000000012</v>
      </c>
      <c r="S29" s="323">
        <v>15446</v>
      </c>
      <c r="T29" s="323">
        <v>-1407</v>
      </c>
      <c r="U29" s="323">
        <v>-2973</v>
      </c>
      <c r="V29" s="323">
        <v>-1153</v>
      </c>
      <c r="W29" s="323">
        <v>3722</v>
      </c>
      <c r="X29" s="323">
        <v>3703</v>
      </c>
      <c r="Y29" s="323">
        <v>2349</v>
      </c>
      <c r="Z29" s="323">
        <v>4275</v>
      </c>
      <c r="AA29" s="323">
        <v>3581</v>
      </c>
      <c r="AB29" s="323">
        <v>2762</v>
      </c>
      <c r="AC29" s="323">
        <v>452</v>
      </c>
      <c r="AD29" s="323">
        <v>-890</v>
      </c>
      <c r="AE29" s="323">
        <v>3074</v>
      </c>
      <c r="AF29" s="323">
        <v>3325</v>
      </c>
      <c r="AG29" s="323">
        <v>2580</v>
      </c>
      <c r="AH29" s="323">
        <v>558</v>
      </c>
      <c r="AI29" s="323">
        <v>14863</v>
      </c>
      <c r="AJ29" s="323">
        <v>-7402</v>
      </c>
      <c r="AK29" s="323">
        <v>-8586</v>
      </c>
      <c r="AL29" s="323">
        <v>-4826</v>
      </c>
      <c r="AM29" s="323">
        <v>-17831</v>
      </c>
      <c r="AN29" s="323">
        <v>1884</v>
      </c>
      <c r="AO29" s="323">
        <v>-2009</v>
      </c>
      <c r="AP29" s="323">
        <v>-1335</v>
      </c>
      <c r="AQ29" s="323">
        <v>83</v>
      </c>
      <c r="AR29" s="323">
        <v>459</v>
      </c>
      <c r="AS29" s="323">
        <v>-3427</v>
      </c>
      <c r="AT29" s="323">
        <v>-1866</v>
      </c>
      <c r="AU29" s="323">
        <v>-2632</v>
      </c>
      <c r="AV29" s="323">
        <v>990</v>
      </c>
      <c r="AW29" s="323">
        <v>2095</v>
      </c>
      <c r="AX29" s="323">
        <v>-4583</v>
      </c>
      <c r="AY29" s="323">
        <v>6273</v>
      </c>
      <c r="AZ29" s="323">
        <v>0</v>
      </c>
      <c r="BA29" s="323">
        <v>498</v>
      </c>
      <c r="BB29" s="323">
        <v>793</v>
      </c>
      <c r="BC29" s="323">
        <v>1245</v>
      </c>
      <c r="BD29" s="323"/>
      <c r="BE29" s="323">
        <v>-629</v>
      </c>
    </row>
    <row r="30" spans="1:58" x14ac:dyDescent="0.25">
      <c r="B30" s="341" t="s">
        <v>167</v>
      </c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>
        <v>5497</v>
      </c>
      <c r="AI30" s="323">
        <v>19084</v>
      </c>
      <c r="AJ30" s="323">
        <v>8037</v>
      </c>
      <c r="AK30" s="323">
        <v>9577</v>
      </c>
      <c r="AL30" s="323">
        <v>5062</v>
      </c>
      <c r="AM30" s="323">
        <v>5331</v>
      </c>
      <c r="AN30" s="323">
        <v>11892</v>
      </c>
      <c r="AO30" s="323">
        <v>16112</v>
      </c>
      <c r="AP30" s="323">
        <v>11231</v>
      </c>
      <c r="AQ30" s="323">
        <v>14358</v>
      </c>
      <c r="AR30" s="323">
        <v>16527</v>
      </c>
      <c r="AS30" s="323">
        <v>13538</v>
      </c>
      <c r="AT30" s="323">
        <v>13555</v>
      </c>
      <c r="AU30" s="323">
        <v>17127</v>
      </c>
      <c r="AV30" s="323">
        <v>8524</v>
      </c>
      <c r="AW30" s="323">
        <v>12561</v>
      </c>
      <c r="AX30" s="323">
        <v>27049</v>
      </c>
      <c r="AY30" s="323">
        <v>14736</v>
      </c>
      <c r="AZ30" s="323">
        <v>0</v>
      </c>
      <c r="BA30" s="323">
        <v>13194</v>
      </c>
      <c r="BB30" s="323">
        <v>13268</v>
      </c>
      <c r="BC30" s="323">
        <v>15485</v>
      </c>
      <c r="BD30" s="323"/>
      <c r="BE30" s="323"/>
    </row>
    <row r="31" spans="1:58" x14ac:dyDescent="0.25">
      <c r="B31" s="341" t="s">
        <v>136</v>
      </c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>
        <v>1984</v>
      </c>
      <c r="AI31" s="323">
        <v>6237</v>
      </c>
      <c r="AJ31" s="323">
        <v>7261</v>
      </c>
      <c r="AK31" s="323">
        <v>854</v>
      </c>
      <c r="AL31" s="323">
        <v>-681</v>
      </c>
      <c r="AM31" s="323">
        <v>412</v>
      </c>
      <c r="AN31" s="323">
        <v>-7301</v>
      </c>
      <c r="AO31" s="323">
        <v>-11852</v>
      </c>
      <c r="AP31" s="323">
        <v>-352</v>
      </c>
      <c r="AQ31" s="323">
        <v>-19467</v>
      </c>
      <c r="AR31" s="323">
        <v>-5276</v>
      </c>
      <c r="AS31" s="323">
        <v>-1937</v>
      </c>
      <c r="AT31" s="323">
        <v>5030</v>
      </c>
      <c r="AU31" s="323">
        <v>3435</v>
      </c>
      <c r="AV31" s="323">
        <v>-25476</v>
      </c>
      <c r="AW31" s="323">
        <v>546</v>
      </c>
      <c r="AX31" s="323">
        <v>-5877</v>
      </c>
      <c r="AY31" s="323">
        <v>4095</v>
      </c>
      <c r="AZ31" s="326">
        <v>0</v>
      </c>
      <c r="BA31" s="323">
        <v>4591</v>
      </c>
      <c r="BB31" s="323">
        <v>2828</v>
      </c>
      <c r="BC31" s="323">
        <v>1846</v>
      </c>
      <c r="BD31" s="384"/>
      <c r="BE31" s="323"/>
    </row>
    <row r="32" spans="1:58" x14ac:dyDescent="0.25">
      <c r="I32" s="343"/>
      <c r="AH32" s="343"/>
      <c r="AI32" s="343"/>
      <c r="AJ32" s="343"/>
      <c r="AK32" s="343"/>
      <c r="AL32" s="343"/>
      <c r="AM32" s="343"/>
      <c r="AN32" s="343"/>
      <c r="AO32" s="343"/>
      <c r="AP32" s="343"/>
      <c r="AQ32" s="343"/>
      <c r="AR32" s="343"/>
      <c r="AS32" s="343"/>
      <c r="AT32" s="343"/>
      <c r="AU32" s="343"/>
      <c r="AV32" s="343"/>
      <c r="AW32" s="343"/>
      <c r="AX32" s="343"/>
      <c r="AY32" s="343"/>
      <c r="AZ32" s="343"/>
      <c r="BA32" s="343"/>
      <c r="BB32" s="343"/>
      <c r="BC32" s="343"/>
    </row>
    <row r="33" spans="2:57" x14ac:dyDescent="0.25">
      <c r="B33" s="342" t="s">
        <v>127</v>
      </c>
      <c r="C33" s="320" t="s">
        <v>2</v>
      </c>
      <c r="D33" s="320" t="s">
        <v>3</v>
      </c>
      <c r="E33" s="320" t="s">
        <v>4</v>
      </c>
      <c r="F33" s="320" t="s">
        <v>5</v>
      </c>
      <c r="G33" s="320" t="s">
        <v>6</v>
      </c>
      <c r="H33" s="320" t="s">
        <v>7</v>
      </c>
      <c r="I33" s="319" t="s">
        <v>8</v>
      </c>
      <c r="J33" s="319" t="s">
        <v>9</v>
      </c>
      <c r="K33" s="319" t="s">
        <v>10</v>
      </c>
      <c r="L33" s="319" t="s">
        <v>114</v>
      </c>
      <c r="M33" s="319" t="s">
        <v>12</v>
      </c>
      <c r="N33" s="319" t="s">
        <v>13</v>
      </c>
      <c r="O33" s="319" t="s">
        <v>14</v>
      </c>
      <c r="P33" s="319" t="s">
        <v>15</v>
      </c>
      <c r="Q33" s="319" t="s">
        <v>16</v>
      </c>
      <c r="R33" s="319" t="s">
        <v>17</v>
      </c>
      <c r="S33" s="319" t="s">
        <v>18</v>
      </c>
      <c r="T33" s="319" t="s">
        <v>19</v>
      </c>
      <c r="U33" s="319" t="s">
        <v>20</v>
      </c>
      <c r="V33" s="319" t="s">
        <v>21</v>
      </c>
      <c r="W33" s="319" t="s">
        <v>22</v>
      </c>
      <c r="X33" s="319" t="s">
        <v>23</v>
      </c>
      <c r="Y33" s="319" t="s">
        <v>24</v>
      </c>
      <c r="Z33" s="319" t="s">
        <v>25</v>
      </c>
      <c r="AA33" s="319" t="s">
        <v>26</v>
      </c>
      <c r="AB33" s="319" t="s">
        <v>27</v>
      </c>
      <c r="AC33" s="319" t="s">
        <v>28</v>
      </c>
      <c r="AD33" s="319" t="s">
        <v>29</v>
      </c>
      <c r="AE33" s="319" t="s">
        <v>30</v>
      </c>
      <c r="AF33" s="319" t="s">
        <v>31</v>
      </c>
      <c r="AG33" s="319" t="s">
        <v>32</v>
      </c>
      <c r="AH33" s="319" t="s">
        <v>34</v>
      </c>
      <c r="AI33" s="319" t="s">
        <v>35</v>
      </c>
      <c r="AJ33" s="319" t="s">
        <v>36</v>
      </c>
      <c r="AK33" s="319" t="s">
        <v>37</v>
      </c>
      <c r="AL33" s="319" t="s">
        <v>38</v>
      </c>
      <c r="AM33" s="319" t="s">
        <v>39</v>
      </c>
      <c r="AN33" s="319" t="s">
        <v>33</v>
      </c>
      <c r="AO33" s="319" t="s">
        <v>40</v>
      </c>
      <c r="AP33" s="319" t="s">
        <v>41</v>
      </c>
      <c r="AQ33" s="319" t="s">
        <v>42</v>
      </c>
      <c r="AR33" s="319" t="s">
        <v>43</v>
      </c>
      <c r="AS33" s="319" t="s">
        <v>44</v>
      </c>
      <c r="AT33" s="319" t="s">
        <v>45</v>
      </c>
      <c r="AU33" s="319" t="s">
        <v>46</v>
      </c>
      <c r="AV33" s="319" t="s">
        <v>47</v>
      </c>
      <c r="AW33" s="319" t="s">
        <v>48</v>
      </c>
      <c r="AX33" s="319" t="s">
        <v>49</v>
      </c>
      <c r="AY33" s="319" t="s">
        <v>50</v>
      </c>
      <c r="AZ33" s="319" t="s">
        <v>51</v>
      </c>
      <c r="BA33" s="319" t="s">
        <v>52</v>
      </c>
      <c r="BB33" s="319" t="s">
        <v>53</v>
      </c>
      <c r="BC33" s="319" t="s">
        <v>54</v>
      </c>
    </row>
    <row r="34" spans="2:57" x14ac:dyDescent="0.25">
      <c r="B34" s="347" t="s">
        <v>62</v>
      </c>
      <c r="C34" s="339">
        <v>-1775.67</v>
      </c>
      <c r="D34" s="339">
        <v>-1017.9699999999939</v>
      </c>
      <c r="E34" s="339">
        <v>-21415.730000000003</v>
      </c>
      <c r="F34" s="339">
        <v>1548.7899999999995</v>
      </c>
      <c r="G34" s="339">
        <v>3661.69</v>
      </c>
      <c r="H34" s="339">
        <v>3339.66</v>
      </c>
      <c r="I34" s="339">
        <v>-2099.7400000000016</v>
      </c>
      <c r="J34" s="339">
        <v>1207.0999999999985</v>
      </c>
      <c r="K34" s="339">
        <v>1898.9500000000044</v>
      </c>
      <c r="L34" s="339">
        <v>10309.27</v>
      </c>
      <c r="M34" s="339">
        <v>-11762.5</v>
      </c>
      <c r="N34" s="339">
        <v>-6169.8799999999992</v>
      </c>
      <c r="O34" s="339">
        <v>617.89999999999964</v>
      </c>
      <c r="P34" s="339">
        <v>-2570.5</v>
      </c>
      <c r="Q34" s="339">
        <v>348.83999999999469</v>
      </c>
      <c r="R34" s="339">
        <v>336.83999999999992</v>
      </c>
      <c r="S34" s="339">
        <v>1846.4099999999962</v>
      </c>
      <c r="T34" s="339">
        <v>2394.5999999999985</v>
      </c>
      <c r="U34" s="339">
        <v>6185.43</v>
      </c>
      <c r="V34" s="339">
        <v>33533.300000000003</v>
      </c>
      <c r="W34" s="339">
        <v>11222.280000000002</v>
      </c>
      <c r="X34" s="339">
        <v>6349.6299999999937</v>
      </c>
      <c r="Y34" s="339">
        <v>6325.9200000000055</v>
      </c>
      <c r="Z34" s="339">
        <v>21179.580000000009</v>
      </c>
      <c r="AA34" s="339">
        <v>-2227.4799999999996</v>
      </c>
      <c r="AB34" s="339">
        <v>7313.2999999999993</v>
      </c>
      <c r="AC34" s="339">
        <v>4267.8899999999921</v>
      </c>
      <c r="AD34" s="339">
        <v>18362.440000000002</v>
      </c>
      <c r="AE34" s="339">
        <v>3906.92</v>
      </c>
      <c r="AF34" s="339">
        <v>-376.36</v>
      </c>
      <c r="AG34" s="339">
        <v>718.0100000000001</v>
      </c>
      <c r="AH34" s="339">
        <v>-2236.1000000000004</v>
      </c>
      <c r="AI34" s="339">
        <v>-7265.809999999994</v>
      </c>
      <c r="AJ34" s="339">
        <v>5872.470000000003</v>
      </c>
      <c r="AK34" s="339">
        <v>3847.9800000000014</v>
      </c>
      <c r="AL34" s="339">
        <v>7585.1300000000047</v>
      </c>
      <c r="AM34" s="339">
        <v>-2275.1</v>
      </c>
      <c r="AN34" s="339">
        <v>1592.6500000000015</v>
      </c>
      <c r="AO34" s="339">
        <v>3701.9599999999991</v>
      </c>
      <c r="AP34" s="339">
        <v>-2110.6800000000003</v>
      </c>
      <c r="AQ34" s="339">
        <v>5365.02</v>
      </c>
      <c r="AR34" s="339">
        <v>10305.779999999999</v>
      </c>
      <c r="AS34" s="339">
        <v>556.02999999999884</v>
      </c>
      <c r="AT34" s="339">
        <v>35642.270000000004</v>
      </c>
      <c r="AU34" s="339">
        <v>7915.6999999999971</v>
      </c>
      <c r="AV34" s="339">
        <v>4702.7800000000025</v>
      </c>
      <c r="AW34" s="339">
        <v>-11683.090000000004</v>
      </c>
      <c r="AX34" s="339">
        <v>24248.39</v>
      </c>
      <c r="AY34" s="339">
        <v>265.54000000000087</v>
      </c>
      <c r="AZ34" s="339">
        <v>0</v>
      </c>
      <c r="BA34" s="339">
        <v>766.06000000000131</v>
      </c>
      <c r="BB34" s="339">
        <v>-1963.17</v>
      </c>
      <c r="BC34" s="339">
        <v>1822.0500000000029</v>
      </c>
      <c r="BD34" s="339">
        <v>0</v>
      </c>
      <c r="BE34" s="339">
        <v>14628</v>
      </c>
    </row>
    <row r="35" spans="2:57" x14ac:dyDescent="0.25">
      <c r="B35" s="347" t="s">
        <v>63</v>
      </c>
      <c r="C35" s="339">
        <v>1303.19</v>
      </c>
      <c r="D35" s="339">
        <v>-6569.0599999999995</v>
      </c>
      <c r="E35" s="339">
        <v>-23652.079999999994</v>
      </c>
      <c r="F35" s="339">
        <v>2193.13</v>
      </c>
      <c r="G35" s="339">
        <v>-5065.5599999999995</v>
      </c>
      <c r="H35" s="339">
        <v>-67.66</v>
      </c>
      <c r="I35" s="339">
        <v>3164.4700000000003</v>
      </c>
      <c r="J35" s="339">
        <v>905.27</v>
      </c>
      <c r="K35" s="339">
        <v>93.999999999998181</v>
      </c>
      <c r="L35" s="339">
        <v>29200.27</v>
      </c>
      <c r="M35" s="339">
        <v>-752.05999999999949</v>
      </c>
      <c r="N35" s="339">
        <v>-2137.4300000000003</v>
      </c>
      <c r="O35" s="339">
        <v>-12741.940000000002</v>
      </c>
      <c r="P35" s="339">
        <v>-3797.4499999999989</v>
      </c>
      <c r="Q35" s="339">
        <v>-8803.11</v>
      </c>
      <c r="R35" s="339">
        <v>0</v>
      </c>
      <c r="S35" s="339">
        <v>3906.4500000000007</v>
      </c>
      <c r="T35" s="339">
        <v>4134.62</v>
      </c>
      <c r="U35" s="339">
        <v>-313.59999999999854</v>
      </c>
      <c r="V35" s="339">
        <v>5335.4599999999991</v>
      </c>
      <c r="W35" s="339">
        <v>3370.24</v>
      </c>
      <c r="X35" s="339">
        <v>483.15999999999804</v>
      </c>
      <c r="Y35" s="339">
        <v>10161.279999999999</v>
      </c>
      <c r="Z35" s="339">
        <v>38563.26999999999</v>
      </c>
      <c r="AA35" s="339">
        <v>-1619.8099999999995</v>
      </c>
      <c r="AB35" s="339">
        <v>11847.329999999994</v>
      </c>
      <c r="AC35" s="339">
        <v>19939.400000000001</v>
      </c>
      <c r="AD35" s="339">
        <v>54.739999999997963</v>
      </c>
      <c r="AE35" s="339">
        <v>3401.6100000000006</v>
      </c>
      <c r="AF35" s="339">
        <v>0</v>
      </c>
      <c r="AG35" s="339">
        <v>0</v>
      </c>
      <c r="AH35" s="339">
        <v>3398.5499999999993</v>
      </c>
      <c r="AI35" s="339">
        <v>6102.75</v>
      </c>
      <c r="AJ35" s="339">
        <v>11741.179999999993</v>
      </c>
      <c r="AK35" s="339">
        <v>13129.98</v>
      </c>
      <c r="AL35" s="339">
        <v>5610.9400000000023</v>
      </c>
      <c r="AM35" s="339">
        <v>91.579999999998108</v>
      </c>
      <c r="AN35" s="339">
        <v>5296.3799999999974</v>
      </c>
      <c r="AO35" s="339">
        <v>30077.259999999995</v>
      </c>
      <c r="AP35" s="339">
        <v>21601.61</v>
      </c>
      <c r="AQ35" s="339">
        <v>18654.019999999997</v>
      </c>
      <c r="AR35" s="339">
        <v>19823.01999999999</v>
      </c>
      <c r="AS35" s="339">
        <v>-5209.43</v>
      </c>
      <c r="AT35" s="339">
        <v>22649.259999999995</v>
      </c>
      <c r="AU35" s="339">
        <v>18479.49000000002</v>
      </c>
      <c r="AV35" s="339">
        <v>-5641.0499999999956</v>
      </c>
      <c r="AW35" s="339">
        <v>11478.61</v>
      </c>
      <c r="AX35" s="339">
        <v>23763.930000000008</v>
      </c>
      <c r="AY35" s="339">
        <v>97156.469999999972</v>
      </c>
      <c r="AZ35" s="339">
        <v>0</v>
      </c>
      <c r="BA35" s="339">
        <v>10427.649999999998</v>
      </c>
      <c r="BB35" s="339">
        <v>6697.5099999999984</v>
      </c>
      <c r="BC35" s="339">
        <v>17880.559999999983</v>
      </c>
      <c r="BD35" s="339">
        <v>0</v>
      </c>
      <c r="BE35" s="339">
        <v>26473</v>
      </c>
    </row>
    <row r="36" spans="2:57" x14ac:dyDescent="0.25">
      <c r="B36" s="347" t="s">
        <v>64</v>
      </c>
      <c r="C36" s="339">
        <v>0</v>
      </c>
      <c r="D36" s="339">
        <v>-567</v>
      </c>
      <c r="E36" s="339">
        <v>-6321.5999999999985</v>
      </c>
      <c r="F36" s="339">
        <v>0</v>
      </c>
      <c r="G36" s="339">
        <v>6597.83</v>
      </c>
      <c r="H36" s="339">
        <v>38749.999999999942</v>
      </c>
      <c r="I36" s="339">
        <v>0</v>
      </c>
      <c r="J36" s="339">
        <v>-1617.7500000000005</v>
      </c>
      <c r="K36" s="339">
        <v>6762.56</v>
      </c>
      <c r="L36" s="339">
        <v>0</v>
      </c>
      <c r="M36" s="339">
        <v>2234.44</v>
      </c>
      <c r="N36" s="339">
        <v>14341.510000000002</v>
      </c>
      <c r="O36" s="339">
        <v>10437.64</v>
      </c>
      <c r="P36" s="339">
        <v>41269.229999999996</v>
      </c>
      <c r="Q36" s="339">
        <v>-34663.509999999995</v>
      </c>
      <c r="R36" s="339">
        <v>154383</v>
      </c>
      <c r="S36" s="339">
        <v>0</v>
      </c>
      <c r="T36" s="339">
        <v>1012.0700000000002</v>
      </c>
      <c r="U36" s="339">
        <v>0</v>
      </c>
      <c r="V36" s="339">
        <v>-6500</v>
      </c>
      <c r="W36" s="339">
        <v>5805.6</v>
      </c>
      <c r="X36" s="339">
        <v>0</v>
      </c>
      <c r="Y36" s="339">
        <v>-352</v>
      </c>
      <c r="Z36" s="339">
        <v>-18811.069999999992</v>
      </c>
      <c r="AA36" s="339">
        <v>-2701.3800000000047</v>
      </c>
      <c r="AB36" s="339">
        <v>31555.420000000013</v>
      </c>
      <c r="AC36" s="339">
        <v>51746.309999999969</v>
      </c>
      <c r="AD36" s="339">
        <v>-32017.25</v>
      </c>
      <c r="AE36" s="339">
        <v>-3347.9700000000012</v>
      </c>
      <c r="AF36" s="339">
        <v>115842.37</v>
      </c>
      <c r="AG36" s="339">
        <v>72994.670000000158</v>
      </c>
      <c r="AH36" s="339">
        <v>-8504.8099999999977</v>
      </c>
      <c r="AI36" s="339">
        <v>-17630.499999999985</v>
      </c>
      <c r="AJ36" s="339">
        <v>5573.5400000000045</v>
      </c>
      <c r="AK36" s="339">
        <v>33507.19</v>
      </c>
      <c r="AL36" s="339">
        <v>-280.11000000000786</v>
      </c>
      <c r="AM36" s="339">
        <v>-6031.8199999999924</v>
      </c>
      <c r="AN36" s="339">
        <v>-2843.3500000000058</v>
      </c>
      <c r="AO36" s="339">
        <v>27057.610000000015</v>
      </c>
      <c r="AP36" s="339">
        <v>127505.01000000004</v>
      </c>
      <c r="AQ36" s="339">
        <v>-23408.300000000003</v>
      </c>
      <c r="AR36" s="339">
        <v>-160281.69999999998</v>
      </c>
      <c r="AS36" s="339">
        <v>77616.48000000001</v>
      </c>
      <c r="AT36" s="339">
        <v>5966.9599999999991</v>
      </c>
      <c r="AU36" s="339">
        <v>54624.429999999993</v>
      </c>
      <c r="AV36" s="339">
        <v>-142020.96</v>
      </c>
      <c r="AW36" s="339">
        <v>725.05000000000291</v>
      </c>
      <c r="AX36" s="339">
        <v>74277.790000000008</v>
      </c>
      <c r="AY36" s="339">
        <v>-19154.600000000035</v>
      </c>
      <c r="AZ36" s="339">
        <v>0</v>
      </c>
      <c r="BA36" s="339">
        <v>30311.310000000005</v>
      </c>
      <c r="BB36" s="339">
        <v>11952.259999999995</v>
      </c>
      <c r="BC36" s="339">
        <v>-275115.69</v>
      </c>
      <c r="BD36" s="339">
        <v>0</v>
      </c>
      <c r="BE36" s="339">
        <v>10764</v>
      </c>
    </row>
    <row r="37" spans="2:57" x14ac:dyDescent="0.25">
      <c r="B37" s="347" t="s">
        <v>58</v>
      </c>
      <c r="C37" s="339">
        <v>213.39</v>
      </c>
      <c r="D37" s="339">
        <v>-8904.8499999999985</v>
      </c>
      <c r="E37" s="339">
        <v>-12789.529999999999</v>
      </c>
      <c r="F37" s="339">
        <v>1547</v>
      </c>
      <c r="G37" s="339">
        <v>-964.61000000000058</v>
      </c>
      <c r="H37" s="339">
        <v>9433.5299999999988</v>
      </c>
      <c r="I37" s="339">
        <v>4725.6299999999974</v>
      </c>
      <c r="J37" s="339">
        <v>-9017.52</v>
      </c>
      <c r="K37" s="339">
        <v>-1981.3500000000058</v>
      </c>
      <c r="L37" s="339">
        <v>1102.27</v>
      </c>
      <c r="M37" s="339">
        <v>-991.63999999999942</v>
      </c>
      <c r="N37" s="339">
        <v>13612.24</v>
      </c>
      <c r="O37" s="339">
        <v>-1074.0100000000002</v>
      </c>
      <c r="P37" s="339">
        <v>-1625.3500000000004</v>
      </c>
      <c r="Q37" s="339">
        <v>1588.6000000000004</v>
      </c>
      <c r="R37" s="339">
        <v>-5277.98</v>
      </c>
      <c r="S37" s="339">
        <v>590.90000000000146</v>
      </c>
      <c r="T37" s="339">
        <v>7497.8899999999994</v>
      </c>
      <c r="U37" s="339">
        <v>1110.6900000000023</v>
      </c>
      <c r="V37" s="339">
        <v>-16171</v>
      </c>
      <c r="W37" s="339">
        <v>-493.29000000000087</v>
      </c>
      <c r="X37" s="339">
        <v>474.78000000000065</v>
      </c>
      <c r="Y37" s="339">
        <v>-652.84000000000015</v>
      </c>
      <c r="Z37" s="339">
        <v>1293.4299999999967</v>
      </c>
      <c r="AA37" s="339">
        <v>-305</v>
      </c>
      <c r="AB37" s="339">
        <v>-5120.8600000000006</v>
      </c>
      <c r="AC37" s="339">
        <v>-5719.6699999999983</v>
      </c>
      <c r="AD37" s="339">
        <v>18232.329999999998</v>
      </c>
      <c r="AE37" s="339">
        <v>2963.0200000000004</v>
      </c>
      <c r="AF37" s="339">
        <v>9148.16</v>
      </c>
      <c r="AG37" s="339">
        <v>29709.34</v>
      </c>
      <c r="AH37" s="339">
        <v>-3870.33</v>
      </c>
      <c r="AI37" s="339">
        <v>31711.01</v>
      </c>
      <c r="AJ37" s="339">
        <v>8600.0099999999984</v>
      </c>
      <c r="AK37" s="339">
        <v>22362.71</v>
      </c>
      <c r="AL37" s="339">
        <v>-9997.8199999999961</v>
      </c>
      <c r="AM37" s="339">
        <v>13518.800000000003</v>
      </c>
      <c r="AN37" s="339">
        <v>-6742.5800000000017</v>
      </c>
      <c r="AO37" s="339">
        <v>-17988.739999999991</v>
      </c>
      <c r="AP37" s="339">
        <v>22567.18</v>
      </c>
      <c r="AQ37" s="339">
        <v>-2822.760000000002</v>
      </c>
      <c r="AR37" s="339">
        <v>-9050.7200000000048</v>
      </c>
      <c r="AS37" s="339">
        <v>-10539.259999999998</v>
      </c>
      <c r="AT37" s="339">
        <v>15206.52</v>
      </c>
      <c r="AU37" s="339">
        <v>31089.96</v>
      </c>
      <c r="AV37" s="339">
        <v>854.06000000000131</v>
      </c>
      <c r="AW37" s="339">
        <v>-5262.2800000000025</v>
      </c>
      <c r="AX37" s="339">
        <v>3492.8999999999978</v>
      </c>
      <c r="AY37" s="339">
        <v>24404.289999999979</v>
      </c>
      <c r="AZ37" s="339">
        <v>0</v>
      </c>
      <c r="BA37" s="339">
        <v>-17680.07</v>
      </c>
      <c r="BB37" s="339">
        <v>4405.5900000000038</v>
      </c>
      <c r="BC37" s="339">
        <v>8394.760000000002</v>
      </c>
      <c r="BD37" s="339">
        <v>0</v>
      </c>
      <c r="BE37" s="339">
        <v>-17625</v>
      </c>
    </row>
    <row r="38" spans="2:57" x14ac:dyDescent="0.25">
      <c r="B38" s="341" t="s">
        <v>161</v>
      </c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39"/>
      <c r="AY38" s="339"/>
      <c r="AZ38" s="339"/>
      <c r="BA38" s="339"/>
      <c r="BB38" s="339"/>
      <c r="BC38" s="339"/>
      <c r="BD38" s="339"/>
      <c r="BE38" s="339"/>
    </row>
    <row r="39" spans="2:57" x14ac:dyDescent="0.25">
      <c r="B39" s="341" t="s">
        <v>162</v>
      </c>
    </row>
    <row r="40" spans="2:57" x14ac:dyDescent="0.25">
      <c r="B40" s="341" t="s">
        <v>168</v>
      </c>
    </row>
    <row r="41" spans="2:57" x14ac:dyDescent="0.25">
      <c r="D41" s="397" t="s">
        <v>169</v>
      </c>
    </row>
    <row r="42" spans="2:57" x14ac:dyDescent="0.25">
      <c r="D42" s="319" t="s">
        <v>137</v>
      </c>
      <c r="E42" s="319" t="s">
        <v>138</v>
      </c>
      <c r="K42" s="318" t="s">
        <v>139</v>
      </c>
      <c r="M42" s="318" t="s">
        <v>140</v>
      </c>
    </row>
    <row r="43" spans="2:57" x14ac:dyDescent="0.25">
      <c r="B43" s="342" t="s">
        <v>1</v>
      </c>
      <c r="D43" s="323">
        <v>194647.05000000002</v>
      </c>
      <c r="E43" s="377">
        <v>3783643</v>
      </c>
      <c r="F43" s="380">
        <v>5.1444348740089914E-2</v>
      </c>
      <c r="J43" s="318" t="s">
        <v>119</v>
      </c>
    </row>
    <row r="44" spans="2:57" x14ac:dyDescent="0.25">
      <c r="B44" s="341" t="s">
        <v>81</v>
      </c>
      <c r="C44" s="318" t="s">
        <v>18</v>
      </c>
      <c r="D44" s="323">
        <v>0</v>
      </c>
      <c r="E44" s="323">
        <v>81000</v>
      </c>
      <c r="F44" s="380">
        <v>0</v>
      </c>
      <c r="J44" s="318" t="s">
        <v>141</v>
      </c>
      <c r="K44" s="381">
        <v>446933.51</v>
      </c>
      <c r="L44" s="381">
        <v>1191816.1000000001</v>
      </c>
      <c r="M44" s="343">
        <v>744882.59000000008</v>
      </c>
    </row>
    <row r="45" spans="2:57" x14ac:dyDescent="0.25">
      <c r="B45" s="341" t="s">
        <v>82</v>
      </c>
      <c r="C45" s="318" t="s">
        <v>19</v>
      </c>
      <c r="D45" s="323">
        <v>13528.47</v>
      </c>
      <c r="E45" s="323">
        <v>55000</v>
      </c>
      <c r="F45" s="380">
        <v>0.24597218181818181</v>
      </c>
      <c r="J45" s="318" t="s">
        <v>142</v>
      </c>
      <c r="K45" s="381">
        <v>17870.480000000003</v>
      </c>
      <c r="L45" s="381">
        <v>853000</v>
      </c>
      <c r="M45" s="343">
        <v>835129.52</v>
      </c>
    </row>
    <row r="46" spans="2:57" x14ac:dyDescent="0.25">
      <c r="B46" s="341" t="s">
        <v>83</v>
      </c>
      <c r="C46" s="318" t="s">
        <v>20</v>
      </c>
      <c r="D46" s="323">
        <v>42850.67</v>
      </c>
      <c r="E46" s="323">
        <v>615060</v>
      </c>
      <c r="F46" s="380">
        <v>6.9669089194550116E-2</v>
      </c>
      <c r="J46" s="318" t="s">
        <v>143</v>
      </c>
      <c r="K46" s="381">
        <v>166531.47</v>
      </c>
      <c r="L46" s="381">
        <v>1874073</v>
      </c>
      <c r="M46" s="343">
        <v>1707541.53</v>
      </c>
    </row>
    <row r="47" spans="2:57" x14ac:dyDescent="0.25">
      <c r="B47" s="341" t="s">
        <v>84</v>
      </c>
      <c r="C47" s="318" t="s">
        <v>21</v>
      </c>
      <c r="D47" s="323">
        <v>43311.98</v>
      </c>
      <c r="E47" s="323">
        <v>575013</v>
      </c>
      <c r="F47" s="380">
        <v>7.5323479643068944E-2</v>
      </c>
      <c r="J47" s="318" t="s">
        <v>144</v>
      </c>
      <c r="K47" s="381">
        <v>28115.58</v>
      </c>
      <c r="L47" s="381">
        <v>1909570</v>
      </c>
      <c r="M47" s="343">
        <v>1881454.42</v>
      </c>
    </row>
    <row r="48" spans="2:57" x14ac:dyDescent="0.25">
      <c r="B48" s="341" t="s">
        <v>85</v>
      </c>
      <c r="C48" s="318" t="s">
        <v>22</v>
      </c>
      <c r="D48" s="323">
        <v>26971.85</v>
      </c>
      <c r="E48" s="323">
        <v>100000</v>
      </c>
      <c r="F48" s="380">
        <v>0.26971849999999997</v>
      </c>
      <c r="J48" s="318" t="s">
        <v>145</v>
      </c>
      <c r="K48" s="381">
        <v>-8724.02</v>
      </c>
      <c r="L48" s="381">
        <v>1336868.9999999998</v>
      </c>
      <c r="M48" s="343">
        <v>1345593.0199999998</v>
      </c>
    </row>
    <row r="49" spans="2:13" x14ac:dyDescent="0.25">
      <c r="B49" s="341" t="s">
        <v>86</v>
      </c>
      <c r="C49" s="318" t="s">
        <v>23</v>
      </c>
      <c r="D49" s="323">
        <v>9767.1</v>
      </c>
      <c r="E49" s="323">
        <v>380000</v>
      </c>
      <c r="F49" s="380">
        <v>2.5702894736842105E-2</v>
      </c>
      <c r="J49" s="318" t="s">
        <v>146</v>
      </c>
      <c r="K49" s="381">
        <v>212072.54000000004</v>
      </c>
      <c r="L49" s="381">
        <v>3992730.0000000005</v>
      </c>
      <c r="M49" s="343">
        <v>3780657.4600000004</v>
      </c>
    </row>
    <row r="50" spans="2:13" x14ac:dyDescent="0.25">
      <c r="B50" s="341" t="s">
        <v>87</v>
      </c>
      <c r="C50" s="318" t="s">
        <v>24</v>
      </c>
      <c r="D50" s="323">
        <v>30101.4</v>
      </c>
      <c r="E50" s="323">
        <v>68000</v>
      </c>
      <c r="F50" s="380">
        <v>0.44266764705882355</v>
      </c>
      <c r="J50" s="318" t="s">
        <v>147</v>
      </c>
      <c r="K50" s="318">
        <v>0</v>
      </c>
    </row>
    <row r="51" spans="2:13" x14ac:dyDescent="0.25">
      <c r="B51" s="341" t="s">
        <v>88</v>
      </c>
      <c r="C51" s="318" t="s">
        <v>31</v>
      </c>
      <c r="D51" s="323">
        <v>6746.8499999999995</v>
      </c>
      <c r="E51" s="323">
        <v>86210</v>
      </c>
      <c r="F51" s="380">
        <v>7.8260642616865786E-2</v>
      </c>
    </row>
    <row r="52" spans="2:13" x14ac:dyDescent="0.25">
      <c r="B52" s="341" t="s">
        <v>89</v>
      </c>
      <c r="C52" s="318" t="s">
        <v>25</v>
      </c>
      <c r="D52" s="323">
        <v>-3894.6099999999997</v>
      </c>
      <c r="E52" s="323">
        <v>303000</v>
      </c>
      <c r="F52" s="382">
        <v>-1.2853498349834982E-2</v>
      </c>
    </row>
    <row r="53" spans="2:13" x14ac:dyDescent="0.25">
      <c r="B53" s="341" t="s">
        <v>90</v>
      </c>
      <c r="C53" s="318" t="s">
        <v>26</v>
      </c>
      <c r="D53" s="323">
        <v>4187.34</v>
      </c>
      <c r="E53" s="323">
        <v>176080</v>
      </c>
      <c r="F53" s="382">
        <v>2.3780895047705589E-2</v>
      </c>
    </row>
    <row r="54" spans="2:13" x14ac:dyDescent="0.25">
      <c r="B54" s="341" t="s">
        <v>91</v>
      </c>
      <c r="C54" s="318" t="s">
        <v>27</v>
      </c>
      <c r="D54" s="323">
        <v>29988.489999999998</v>
      </c>
      <c r="E54" s="323">
        <v>248100</v>
      </c>
      <c r="F54" s="382">
        <v>0.1208725916968964</v>
      </c>
    </row>
    <row r="55" spans="2:13" x14ac:dyDescent="0.25">
      <c r="B55" s="341" t="s">
        <v>92</v>
      </c>
      <c r="C55" s="318" t="s">
        <v>28</v>
      </c>
      <c r="D55" s="323">
        <v>7252.5</v>
      </c>
      <c r="E55" s="323">
        <v>574700</v>
      </c>
      <c r="F55" s="382">
        <v>1.2619627631807899E-2</v>
      </c>
    </row>
    <row r="56" spans="2:13" x14ac:dyDescent="0.25">
      <c r="B56" s="341" t="s">
        <v>93</v>
      </c>
      <c r="C56" s="318" t="s">
        <v>32</v>
      </c>
      <c r="D56" s="323">
        <v>3022.88</v>
      </c>
      <c r="E56" s="323">
        <v>52380</v>
      </c>
      <c r="F56" s="382">
        <v>5.7710576555937386E-2</v>
      </c>
    </row>
    <row r="57" spans="2:13" x14ac:dyDescent="0.25">
      <c r="B57" s="341" t="s">
        <v>94</v>
      </c>
      <c r="C57" s="318" t="s">
        <v>29</v>
      </c>
      <c r="D57" s="323">
        <v>-24338.119999999995</v>
      </c>
      <c r="E57" s="323">
        <v>231500</v>
      </c>
      <c r="F57" s="382">
        <v>-0.10513226781857449</v>
      </c>
    </row>
    <row r="58" spans="2:13" x14ac:dyDescent="0.25">
      <c r="B58" s="341" t="s">
        <v>95</v>
      </c>
      <c r="C58" s="318" t="s">
        <v>30</v>
      </c>
      <c r="D58" s="323">
        <v>5150.25</v>
      </c>
      <c r="E58" s="323">
        <v>237600</v>
      </c>
      <c r="F58" s="382">
        <v>2.1676136363636363E-2</v>
      </c>
    </row>
    <row r="59" spans="2:13" x14ac:dyDescent="0.25">
      <c r="B59" s="342" t="s">
        <v>0</v>
      </c>
      <c r="C59" s="319"/>
      <c r="D59" s="383">
        <v>464803.99</v>
      </c>
      <c r="E59" s="377">
        <v>2044816.0999999999</v>
      </c>
      <c r="F59" s="380">
        <v>0.227308455757953</v>
      </c>
    </row>
    <row r="60" spans="2:13" x14ac:dyDescent="0.25">
      <c r="B60" s="341" t="s">
        <v>71</v>
      </c>
      <c r="C60" s="318" t="s">
        <v>13</v>
      </c>
      <c r="D60" s="384">
        <v>-6863.4599999999991</v>
      </c>
      <c r="E60" s="323">
        <v>548400</v>
      </c>
      <c r="F60" s="380">
        <v>-1.2515426695842449E-2</v>
      </c>
    </row>
    <row r="61" spans="2:13" x14ac:dyDescent="0.25">
      <c r="B61" s="341" t="s">
        <v>72</v>
      </c>
      <c r="C61" s="318" t="s">
        <v>14</v>
      </c>
      <c r="D61" s="384">
        <v>4359.2700000000004</v>
      </c>
      <c r="E61" s="323">
        <v>6500</v>
      </c>
      <c r="F61" s="380">
        <v>0.67065692307692315</v>
      </c>
    </row>
    <row r="62" spans="2:13" x14ac:dyDescent="0.25">
      <c r="B62" s="341" t="s">
        <v>73</v>
      </c>
      <c r="C62" s="318" t="s">
        <v>15</v>
      </c>
      <c r="D62" s="384">
        <v>8323.9</v>
      </c>
      <c r="E62" s="323">
        <v>111353</v>
      </c>
      <c r="F62" s="380">
        <v>7.4752364103347013E-2</v>
      </c>
    </row>
    <row r="63" spans="2:13" x14ac:dyDescent="0.25">
      <c r="B63" s="341" t="s">
        <v>74</v>
      </c>
      <c r="C63" s="318" t="s">
        <v>16</v>
      </c>
      <c r="D63" s="384">
        <v>-5897.07</v>
      </c>
      <c r="E63" s="323">
        <v>70500</v>
      </c>
      <c r="F63" s="380">
        <v>-8.3646382978723399E-2</v>
      </c>
    </row>
    <row r="64" spans="2:13" x14ac:dyDescent="0.25">
      <c r="B64" s="341" t="s">
        <v>75</v>
      </c>
      <c r="C64" s="318" t="s">
        <v>17</v>
      </c>
      <c r="D64" s="384">
        <v>17947.84</v>
      </c>
      <c r="E64" s="323">
        <v>116246.99999999997</v>
      </c>
      <c r="F64" s="380">
        <v>0.15439400586681812</v>
      </c>
    </row>
    <row r="65" spans="2:17" x14ac:dyDescent="0.25">
      <c r="B65" s="341" t="s">
        <v>76</v>
      </c>
      <c r="C65" s="318" t="s">
        <v>8</v>
      </c>
      <c r="D65" s="384">
        <v>5837.15</v>
      </c>
      <c r="E65" s="323">
        <v>196468.71000000002</v>
      </c>
      <c r="F65" s="380">
        <v>2.9710328937366155E-2</v>
      </c>
    </row>
    <row r="66" spans="2:17" x14ac:dyDescent="0.25">
      <c r="B66" s="341" t="s">
        <v>77</v>
      </c>
      <c r="C66" s="318" t="s">
        <v>9</v>
      </c>
      <c r="D66" s="384">
        <v>290989.08</v>
      </c>
      <c r="E66" s="323">
        <v>178947.86</v>
      </c>
      <c r="F66" s="380">
        <v>1.6261109800363081</v>
      </c>
    </row>
    <row r="67" spans="2:17" x14ac:dyDescent="0.25">
      <c r="B67" s="341" t="s">
        <v>78</v>
      </c>
      <c r="C67" s="318" t="s">
        <v>10</v>
      </c>
      <c r="D67" s="384">
        <v>24157.35</v>
      </c>
      <c r="E67" s="323">
        <v>157432.53</v>
      </c>
      <c r="F67" s="380">
        <v>0.15344573322933958</v>
      </c>
    </row>
    <row r="68" spans="2:17" x14ac:dyDescent="0.25">
      <c r="B68" s="341" t="s">
        <v>79</v>
      </c>
      <c r="C68" s="318" t="s">
        <v>114</v>
      </c>
      <c r="D68" s="384">
        <v>0</v>
      </c>
      <c r="E68" s="323">
        <v>484000</v>
      </c>
      <c r="F68" s="380">
        <v>0</v>
      </c>
    </row>
    <row r="69" spans="2:17" x14ac:dyDescent="0.25">
      <c r="B69" s="341" t="s">
        <v>80</v>
      </c>
      <c r="C69" s="318" t="s">
        <v>12</v>
      </c>
      <c r="D69" s="384">
        <v>125949.93</v>
      </c>
      <c r="E69" s="323">
        <v>174967</v>
      </c>
      <c r="F69" s="380">
        <v>0.71984962878714265</v>
      </c>
      <c r="N69" s="385"/>
    </row>
    <row r="70" spans="2:17" x14ac:dyDescent="0.25">
      <c r="B70" s="342" t="s">
        <v>120</v>
      </c>
      <c r="D70" s="377">
        <v>-8724.02</v>
      </c>
      <c r="E70" s="377">
        <v>1336868.9999999998</v>
      </c>
      <c r="F70" s="380">
        <v>-6.5257104473213168E-3</v>
      </c>
    </row>
    <row r="71" spans="2:17" x14ac:dyDescent="0.25">
      <c r="B71" s="396" t="s">
        <v>97</v>
      </c>
      <c r="C71" s="318" t="s">
        <v>35</v>
      </c>
      <c r="D71" s="323">
        <v>4576.22</v>
      </c>
      <c r="E71" s="323">
        <v>142417.00000000003</v>
      </c>
      <c r="F71" s="380">
        <v>3.213254035683942E-2</v>
      </c>
      <c r="H71" s="386"/>
      <c r="I71" s="387"/>
      <c r="J71" s="380"/>
      <c r="K71" s="380"/>
      <c r="L71" s="380"/>
      <c r="M71" s="380"/>
      <c r="N71" s="380"/>
      <c r="O71" s="380"/>
      <c r="P71" s="380"/>
      <c r="Q71" s="380"/>
    </row>
    <row r="72" spans="2:17" x14ac:dyDescent="0.25">
      <c r="B72" s="396" t="s">
        <v>98</v>
      </c>
      <c r="C72" s="318" t="s">
        <v>34</v>
      </c>
      <c r="D72" s="323">
        <v>1884.23</v>
      </c>
      <c r="E72" s="323">
        <v>79702.999999999985</v>
      </c>
      <c r="F72" s="380">
        <v>2.3640640879264273E-2</v>
      </c>
      <c r="H72" s="386"/>
      <c r="I72" s="388"/>
      <c r="J72" s="389"/>
      <c r="K72" s="389"/>
      <c r="L72" s="390"/>
      <c r="M72" s="390"/>
      <c r="N72" s="390"/>
      <c r="O72" s="390"/>
      <c r="P72" s="390"/>
      <c r="Q72" s="390"/>
    </row>
    <row r="73" spans="2:17" x14ac:dyDescent="0.25">
      <c r="B73" s="396" t="s">
        <v>99</v>
      </c>
      <c r="C73" s="318" t="s">
        <v>36</v>
      </c>
      <c r="D73" s="323">
        <v>2021.37</v>
      </c>
      <c r="E73" s="323">
        <v>76607</v>
      </c>
      <c r="F73" s="380">
        <v>2.6386231023274635E-2</v>
      </c>
      <c r="H73" s="386"/>
      <c r="I73" s="388"/>
      <c r="J73" s="391"/>
      <c r="K73" s="389"/>
    </row>
    <row r="74" spans="2:17" x14ac:dyDescent="0.25">
      <c r="B74" s="396" t="s">
        <v>100</v>
      </c>
      <c r="C74" s="318" t="s">
        <v>37</v>
      </c>
      <c r="D74" s="323">
        <v>-632.05999999999995</v>
      </c>
      <c r="E74" s="323">
        <v>418858.99999999988</v>
      </c>
      <c r="F74" s="380">
        <v>-1.5090042233782731E-3</v>
      </c>
      <c r="H74" s="386"/>
      <c r="I74" s="388"/>
      <c r="J74" s="391"/>
      <c r="K74" s="389"/>
    </row>
    <row r="75" spans="2:17" x14ac:dyDescent="0.25">
      <c r="B75" s="396" t="s">
        <v>101</v>
      </c>
      <c r="C75" s="318" t="s">
        <v>39</v>
      </c>
      <c r="D75" s="323">
        <v>0</v>
      </c>
      <c r="E75" s="323">
        <v>40317</v>
      </c>
      <c r="F75" s="380">
        <v>0</v>
      </c>
      <c r="H75" s="386"/>
      <c r="I75" s="388"/>
      <c r="J75" s="391"/>
      <c r="K75" s="389"/>
    </row>
    <row r="76" spans="2:17" x14ac:dyDescent="0.25">
      <c r="B76" s="396" t="s">
        <v>102</v>
      </c>
      <c r="C76" s="318" t="s">
        <v>38</v>
      </c>
      <c r="D76" s="323">
        <v>-1381.63</v>
      </c>
      <c r="E76" s="323">
        <v>182348.99999999991</v>
      </c>
      <c r="F76" s="380">
        <v>-7.5768444027661287E-3</v>
      </c>
      <c r="H76" s="386"/>
      <c r="I76" s="388"/>
      <c r="J76" s="391"/>
      <c r="K76" s="389"/>
    </row>
    <row r="77" spans="2:17" x14ac:dyDescent="0.25">
      <c r="B77" s="396" t="s">
        <v>103</v>
      </c>
      <c r="C77" s="318" t="s">
        <v>33</v>
      </c>
      <c r="D77" s="323">
        <v>1563.21</v>
      </c>
      <c r="E77" s="323">
        <v>268651</v>
      </c>
      <c r="F77" s="380">
        <v>5.818738809831343E-3</v>
      </c>
      <c r="H77" s="386"/>
      <c r="I77" s="388"/>
      <c r="J77" s="391"/>
      <c r="K77" s="389"/>
    </row>
    <row r="78" spans="2:17" x14ac:dyDescent="0.25">
      <c r="B78" s="396" t="s">
        <v>104</v>
      </c>
      <c r="C78" s="318" t="s">
        <v>40</v>
      </c>
      <c r="D78" s="323">
        <v>-16755.36</v>
      </c>
      <c r="E78" s="323">
        <v>127966.00000000004</v>
      </c>
      <c r="F78" s="380">
        <v>-0.13093602988293762</v>
      </c>
      <c r="H78" s="386"/>
      <c r="I78" s="388"/>
      <c r="J78" s="391"/>
      <c r="K78" s="389"/>
    </row>
    <row r="79" spans="2:17" x14ac:dyDescent="0.25">
      <c r="B79" s="342" t="s">
        <v>121</v>
      </c>
      <c r="D79" s="377">
        <v>212072.54000000004</v>
      </c>
      <c r="E79" s="377">
        <v>3992730.0000000005</v>
      </c>
      <c r="F79" s="380">
        <v>5.3114670914386902E-2</v>
      </c>
      <c r="H79" s="392"/>
      <c r="I79" s="393"/>
      <c r="J79" s="394"/>
      <c r="K79" s="389"/>
    </row>
    <row r="80" spans="2:17" x14ac:dyDescent="0.25">
      <c r="B80" s="396" t="s">
        <v>106</v>
      </c>
      <c r="C80" s="318" t="s">
        <v>41</v>
      </c>
      <c r="D80" s="323">
        <v>14143.3</v>
      </c>
      <c r="E80" s="323">
        <v>515109.00000000012</v>
      </c>
      <c r="F80" s="380">
        <v>2.7456907178868929E-2</v>
      </c>
      <c r="H80" s="386"/>
      <c r="I80" s="387"/>
      <c r="J80" s="391"/>
      <c r="K80" s="389"/>
    </row>
    <row r="81" spans="2:11" x14ac:dyDescent="0.25">
      <c r="B81" s="396" t="s">
        <v>107</v>
      </c>
      <c r="C81" s="318" t="s">
        <v>42</v>
      </c>
      <c r="D81" s="323">
        <v>42179.31</v>
      </c>
      <c r="E81" s="323">
        <v>254796</v>
      </c>
      <c r="F81" s="380">
        <v>0.1655414920171431</v>
      </c>
      <c r="H81" s="386"/>
      <c r="I81" s="387"/>
      <c r="J81" s="391"/>
      <c r="K81" s="389"/>
    </row>
    <row r="82" spans="2:11" x14ac:dyDescent="0.25">
      <c r="B82" s="396" t="s">
        <v>108</v>
      </c>
      <c r="C82" s="318" t="s">
        <v>47</v>
      </c>
      <c r="D82" s="323">
        <v>63767.56</v>
      </c>
      <c r="E82" s="323">
        <v>354344.00000000006</v>
      </c>
      <c r="F82" s="380">
        <v>0.1799594744090488</v>
      </c>
      <c r="H82" s="386"/>
      <c r="I82" s="387"/>
      <c r="J82" s="391"/>
      <c r="K82" s="389"/>
    </row>
    <row r="83" spans="2:11" x14ac:dyDescent="0.25">
      <c r="B83" s="396" t="s">
        <v>109</v>
      </c>
      <c r="C83" s="318" t="s">
        <v>44</v>
      </c>
      <c r="D83" s="323">
        <v>-199.81</v>
      </c>
      <c r="E83" s="323">
        <v>691233</v>
      </c>
      <c r="F83" s="380">
        <v>-2.8906316683375937E-4</v>
      </c>
      <c r="H83" s="386"/>
      <c r="I83" s="387"/>
      <c r="J83" s="391"/>
      <c r="K83" s="389"/>
    </row>
    <row r="84" spans="2:11" x14ac:dyDescent="0.25">
      <c r="B84" s="396" t="s">
        <v>110</v>
      </c>
      <c r="C84" s="318" t="s">
        <v>48</v>
      </c>
      <c r="D84" s="323">
        <v>40477.9</v>
      </c>
      <c r="E84" s="323">
        <v>237782.99999999994</v>
      </c>
      <c r="F84" s="380">
        <v>0.17023042017301493</v>
      </c>
      <c r="H84" s="386"/>
      <c r="I84" s="387"/>
      <c r="J84" s="391"/>
      <c r="K84" s="389"/>
    </row>
    <row r="85" spans="2:11" x14ac:dyDescent="0.25">
      <c r="B85" s="396" t="s">
        <v>111</v>
      </c>
      <c r="C85" s="318" t="s">
        <v>45</v>
      </c>
      <c r="D85" s="323">
        <v>26430.89</v>
      </c>
      <c r="E85" s="323">
        <v>816803.00000000023</v>
      </c>
      <c r="F85" s="380">
        <v>3.2358953138027155E-2</v>
      </c>
      <c r="H85" s="386"/>
      <c r="I85" s="387"/>
      <c r="J85" s="391"/>
      <c r="K85" s="389"/>
    </row>
    <row r="86" spans="2:11" x14ac:dyDescent="0.25">
      <c r="B86" s="396" t="s">
        <v>112</v>
      </c>
      <c r="C86" s="318" t="s">
        <v>46</v>
      </c>
      <c r="D86" s="323">
        <v>21212.690000000002</v>
      </c>
      <c r="E86" s="323">
        <v>577253</v>
      </c>
      <c r="F86" s="380">
        <v>3.674764791174754E-2</v>
      </c>
      <c r="H86" s="386"/>
      <c r="I86" s="387"/>
      <c r="J86" s="391"/>
      <c r="K86" s="389"/>
    </row>
    <row r="87" spans="2:11" x14ac:dyDescent="0.25">
      <c r="B87" s="396" t="s">
        <v>113</v>
      </c>
      <c r="C87" s="318" t="s">
        <v>43</v>
      </c>
      <c r="D87" s="323">
        <v>4060.7</v>
      </c>
      <c r="E87" s="323">
        <v>545409.00000000012</v>
      </c>
      <c r="F87" s="380">
        <v>7.4452383440683943E-3</v>
      </c>
      <c r="H87" s="386"/>
      <c r="I87" s="387"/>
      <c r="J87" s="391"/>
      <c r="K87" s="389"/>
    </row>
    <row r="88" spans="2:11" x14ac:dyDescent="0.25">
      <c r="E88" s="395"/>
    </row>
  </sheetData>
  <conditionalFormatting sqref="C24:BE31">
    <cfRule type="colorScale" priority="1">
      <colorScale>
        <cfvo type="num" val="-30000"/>
        <cfvo type="num" val="0"/>
        <cfvo type="num" val="30000"/>
        <color rgb="FFF54E4E"/>
        <color theme="0"/>
        <color rgb="FF34DB64"/>
      </colorScale>
    </cfRule>
  </conditionalFormatting>
  <conditionalFormatting sqref="C34:BE38">
    <cfRule type="cellIs" dxfId="14" priority="2" operator="greaterThanOrEqual">
      <formula>0</formula>
    </cfRule>
    <cfRule type="cellIs" dxfId="13" priority="3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D6D1-4851-4501-8061-72797AA5022F}">
  <dimension ref="A1:BI88"/>
  <sheetViews>
    <sheetView workbookViewId="0">
      <pane xSplit="2" topLeftCell="C1" activePane="topRight" state="frozen"/>
      <selection pane="topRight" activeCell="B26" sqref="B26"/>
    </sheetView>
  </sheetViews>
  <sheetFormatPr defaultColWidth="9.140625" defaultRowHeight="15" x14ac:dyDescent="0.25"/>
  <cols>
    <col min="1" max="1" width="9.140625" style="318"/>
    <col min="2" max="2" width="29.140625" style="341" customWidth="1"/>
    <col min="3" max="3" width="11.140625" style="318" customWidth="1"/>
    <col min="4" max="4" width="10.42578125" style="318" customWidth="1"/>
    <col min="5" max="5" width="11.28515625" style="318" customWidth="1"/>
    <col min="6" max="6" width="9.140625" style="318" customWidth="1"/>
    <col min="7" max="7" width="10.42578125" style="318" bestFit="1" customWidth="1"/>
    <col min="8" max="8" width="11.42578125" style="318" bestFit="1" customWidth="1"/>
    <col min="9" max="10" width="9.140625" style="318" customWidth="1"/>
    <col min="11" max="12" width="10.5703125" style="318" customWidth="1"/>
    <col min="13" max="13" width="11" style="318" customWidth="1"/>
    <col min="14" max="34" width="9.140625" style="318" customWidth="1"/>
    <col min="35" max="35" width="10.42578125" style="318" customWidth="1"/>
    <col min="36" max="36" width="9.140625" style="318" customWidth="1"/>
    <col min="37" max="38" width="11.42578125" style="318" bestFit="1" customWidth="1"/>
    <col min="39" max="39" width="10.140625" style="318" customWidth="1"/>
    <col min="40" max="40" width="9.140625" style="318" customWidth="1"/>
    <col min="41" max="41" width="12.42578125" style="318" bestFit="1" customWidth="1"/>
    <col min="42" max="42" width="11.42578125" style="318" bestFit="1" customWidth="1"/>
    <col min="43" max="43" width="9.140625" style="318" customWidth="1"/>
    <col min="44" max="44" width="12.42578125" style="318" bestFit="1" customWidth="1"/>
    <col min="45" max="46" width="11.42578125" style="318" bestFit="1" customWidth="1"/>
    <col min="47" max="48" width="12.42578125" style="318" bestFit="1" customWidth="1"/>
    <col min="49" max="50" width="11.42578125" style="318" bestFit="1" customWidth="1"/>
    <col min="51" max="51" width="12.42578125" style="318" bestFit="1" customWidth="1"/>
    <col min="52" max="52" width="9.5703125" style="318" bestFit="1" customWidth="1"/>
    <col min="53" max="53" width="10.85546875" style="318" bestFit="1" customWidth="1"/>
    <col min="54" max="54" width="11.42578125" style="318" bestFit="1" customWidth="1"/>
    <col min="55" max="55" width="12.42578125" style="318" bestFit="1" customWidth="1"/>
    <col min="56" max="56" width="9.5703125" style="318" bestFit="1" customWidth="1"/>
    <col min="57" max="57" width="11.42578125" style="318" bestFit="1" customWidth="1"/>
    <col min="58" max="16384" width="9.140625" style="318"/>
  </cols>
  <sheetData>
    <row r="1" spans="1:61" x14ac:dyDescent="0.25">
      <c r="A1" s="318" t="s">
        <v>170</v>
      </c>
      <c r="BE1" s="318" t="s">
        <v>157</v>
      </c>
    </row>
    <row r="2" spans="1:61" x14ac:dyDescent="0.25">
      <c r="A2" s="323"/>
      <c r="B2" s="402" t="s">
        <v>124</v>
      </c>
      <c r="C2" s="403" t="s">
        <v>2</v>
      </c>
      <c r="D2" s="403" t="s">
        <v>3</v>
      </c>
      <c r="E2" s="403" t="s">
        <v>4</v>
      </c>
      <c r="F2" s="403" t="s">
        <v>5</v>
      </c>
      <c r="G2" s="403" t="s">
        <v>6</v>
      </c>
      <c r="H2" s="403" t="s">
        <v>7</v>
      </c>
      <c r="I2" s="377" t="s">
        <v>8</v>
      </c>
      <c r="J2" s="377" t="s">
        <v>9</v>
      </c>
      <c r="K2" s="377" t="s">
        <v>10</v>
      </c>
      <c r="L2" s="377" t="s">
        <v>114</v>
      </c>
      <c r="M2" s="377" t="s">
        <v>12</v>
      </c>
      <c r="N2" s="377" t="s">
        <v>13</v>
      </c>
      <c r="O2" s="377" t="s">
        <v>14</v>
      </c>
      <c r="P2" s="377" t="s">
        <v>15</v>
      </c>
      <c r="Q2" s="377" t="s">
        <v>16</v>
      </c>
      <c r="R2" s="377" t="s">
        <v>17</v>
      </c>
      <c r="S2" s="377" t="s">
        <v>18</v>
      </c>
      <c r="T2" s="377" t="s">
        <v>19</v>
      </c>
      <c r="U2" s="377" t="s">
        <v>20</v>
      </c>
      <c r="V2" s="377" t="s">
        <v>21</v>
      </c>
      <c r="W2" s="377" t="s">
        <v>22</v>
      </c>
      <c r="X2" s="377" t="s">
        <v>23</v>
      </c>
      <c r="Y2" s="377" t="s">
        <v>24</v>
      </c>
      <c r="Z2" s="377" t="s">
        <v>25</v>
      </c>
      <c r="AA2" s="377" t="s">
        <v>26</v>
      </c>
      <c r="AB2" s="377" t="s">
        <v>27</v>
      </c>
      <c r="AC2" s="377" t="s">
        <v>28</v>
      </c>
      <c r="AD2" s="377" t="s">
        <v>29</v>
      </c>
      <c r="AE2" s="377" t="s">
        <v>30</v>
      </c>
      <c r="AF2" s="377" t="s">
        <v>31</v>
      </c>
      <c r="AG2" s="377" t="s">
        <v>32</v>
      </c>
      <c r="AH2" s="377" t="s">
        <v>34</v>
      </c>
      <c r="AI2" s="377" t="s">
        <v>35</v>
      </c>
      <c r="AJ2" s="377" t="s">
        <v>36</v>
      </c>
      <c r="AK2" s="377" t="s">
        <v>37</v>
      </c>
      <c r="AL2" s="377" t="s">
        <v>38</v>
      </c>
      <c r="AM2" s="377" t="s">
        <v>39</v>
      </c>
      <c r="AN2" s="377" t="s">
        <v>33</v>
      </c>
      <c r="AO2" s="377" t="s">
        <v>40</v>
      </c>
      <c r="AP2" s="377" t="s">
        <v>41</v>
      </c>
      <c r="AQ2" s="377" t="s">
        <v>42</v>
      </c>
      <c r="AR2" s="377" t="s">
        <v>43</v>
      </c>
      <c r="AS2" s="377" t="s">
        <v>44</v>
      </c>
      <c r="AT2" s="377" t="s">
        <v>45</v>
      </c>
      <c r="AU2" s="377" t="s">
        <v>46</v>
      </c>
      <c r="AV2" s="377" t="s">
        <v>47</v>
      </c>
      <c r="AW2" s="377" t="s">
        <v>48</v>
      </c>
      <c r="AX2" s="377" t="s">
        <v>49</v>
      </c>
      <c r="AY2" s="377" t="s">
        <v>50</v>
      </c>
      <c r="AZ2" s="404" t="s">
        <v>51</v>
      </c>
      <c r="BA2" s="377" t="s">
        <v>52</v>
      </c>
      <c r="BB2" s="377" t="s">
        <v>53</v>
      </c>
      <c r="BC2" s="377" t="s">
        <v>54</v>
      </c>
      <c r="BE2" s="319" t="s">
        <v>158</v>
      </c>
    </row>
    <row r="3" spans="1:61" x14ac:dyDescent="0.25">
      <c r="A3" s="323"/>
      <c r="B3" s="405" t="s">
        <v>62</v>
      </c>
      <c r="C3" s="361">
        <v>4450</v>
      </c>
      <c r="D3" s="361">
        <v>47791</v>
      </c>
      <c r="E3" s="361">
        <v>40109</v>
      </c>
      <c r="F3" s="361">
        <v>3996</v>
      </c>
      <c r="G3" s="361">
        <v>7548</v>
      </c>
      <c r="H3" s="361">
        <v>5110</v>
      </c>
      <c r="I3" s="323">
        <v>29239.710000000006</v>
      </c>
      <c r="J3" s="323">
        <v>61416.9</v>
      </c>
      <c r="K3" s="323">
        <v>101205.34000000003</v>
      </c>
      <c r="L3" s="323">
        <v>5719.8300000000008</v>
      </c>
      <c r="M3" s="323">
        <v>56515.16</v>
      </c>
      <c r="N3" s="323">
        <v>19661.649999999998</v>
      </c>
      <c r="O3" s="323">
        <v>11482.320000000002</v>
      </c>
      <c r="P3" s="323">
        <v>5414.43</v>
      </c>
      <c r="Q3" s="323">
        <v>27547.769999999993</v>
      </c>
      <c r="R3" s="323">
        <v>1309.3299999999997</v>
      </c>
      <c r="S3" s="324">
        <v>18611.770000000004</v>
      </c>
      <c r="T3" s="324">
        <v>20400.350000000002</v>
      </c>
      <c r="U3" s="324">
        <v>19461.829999999998</v>
      </c>
      <c r="V3" s="324">
        <v>32755.11</v>
      </c>
      <c r="W3" s="324">
        <v>10980.35</v>
      </c>
      <c r="X3" s="324">
        <v>22321.300000000003</v>
      </c>
      <c r="Y3" s="324">
        <v>40726.500000000007</v>
      </c>
      <c r="Z3" s="324">
        <v>28620.049999999996</v>
      </c>
      <c r="AA3" s="324">
        <v>25354.28</v>
      </c>
      <c r="AB3" s="324">
        <v>24728.11</v>
      </c>
      <c r="AC3" s="324">
        <v>25120.119999999995</v>
      </c>
      <c r="AD3" s="324">
        <v>46021.95</v>
      </c>
      <c r="AE3" s="324">
        <v>2572.3699999999994</v>
      </c>
      <c r="AF3" s="324">
        <v>795.64</v>
      </c>
      <c r="AG3" s="324">
        <v>1319.8</v>
      </c>
      <c r="AH3" s="325">
        <v>11640.26</v>
      </c>
      <c r="AI3" s="325">
        <v>15561.020000000002</v>
      </c>
      <c r="AJ3" s="325">
        <v>5143.97</v>
      </c>
      <c r="AK3" s="325">
        <v>8285.4800000000014</v>
      </c>
      <c r="AL3" s="325">
        <v>19409.679999999997</v>
      </c>
      <c r="AM3" s="325">
        <v>1978.04</v>
      </c>
      <c r="AN3" s="325">
        <v>16916.510000000002</v>
      </c>
      <c r="AO3" s="325">
        <v>25037.430000000004</v>
      </c>
      <c r="AP3" s="325">
        <v>45720.399999999994</v>
      </c>
      <c r="AQ3" s="325">
        <v>28447.51</v>
      </c>
      <c r="AR3" s="325">
        <v>27700.859999999997</v>
      </c>
      <c r="AS3" s="325">
        <v>32690.649999999998</v>
      </c>
      <c r="AT3" s="325">
        <v>27449.539999999997</v>
      </c>
      <c r="AU3" s="325">
        <v>22089.259999999991</v>
      </c>
      <c r="AV3" s="325">
        <v>22271.340000000004</v>
      </c>
      <c r="AW3" s="325">
        <v>31740.650000000005</v>
      </c>
      <c r="AX3" s="325">
        <v>32201.239999999998</v>
      </c>
      <c r="AY3" s="325">
        <v>37217.460000000006</v>
      </c>
      <c r="AZ3" s="326"/>
      <c r="BA3" s="323">
        <v>24290.780000000006</v>
      </c>
      <c r="BB3" s="325">
        <v>18743.900000000001</v>
      </c>
      <c r="BC3" s="325">
        <v>18993.27</v>
      </c>
      <c r="BE3" s="323">
        <v>27218.940000000002</v>
      </c>
    </row>
    <row r="4" spans="1:61" x14ac:dyDescent="0.25">
      <c r="A4" s="323"/>
      <c r="B4" s="405" t="s">
        <v>63</v>
      </c>
      <c r="C4" s="361">
        <v>1794</v>
      </c>
      <c r="D4" s="361">
        <v>6799</v>
      </c>
      <c r="E4" s="361">
        <v>13299</v>
      </c>
      <c r="F4" s="361">
        <v>4248</v>
      </c>
      <c r="G4" s="361">
        <v>8522</v>
      </c>
      <c r="H4" s="362">
        <v>346</v>
      </c>
      <c r="I4" s="323">
        <v>10335.44</v>
      </c>
      <c r="J4" s="323">
        <v>1146.46</v>
      </c>
      <c r="K4" s="323">
        <v>5385.0599999999995</v>
      </c>
      <c r="L4" s="323">
        <v>16123.29</v>
      </c>
      <c r="M4" s="323">
        <v>8029.45</v>
      </c>
      <c r="N4" s="323">
        <v>50009.95</v>
      </c>
      <c r="O4" s="323">
        <v>23412.400000000001</v>
      </c>
      <c r="P4" s="323">
        <v>12443.55</v>
      </c>
      <c r="Q4" s="323">
        <v>59886.890000000007</v>
      </c>
      <c r="R4" s="323">
        <v>0</v>
      </c>
      <c r="S4" s="324">
        <v>7083.75</v>
      </c>
      <c r="T4" s="324">
        <v>1693.3799999999999</v>
      </c>
      <c r="U4" s="324">
        <v>5653.1900000000005</v>
      </c>
      <c r="V4" s="324">
        <v>3576.1000000000004</v>
      </c>
      <c r="W4" s="324">
        <v>10881.03</v>
      </c>
      <c r="X4" s="324">
        <v>13115.67</v>
      </c>
      <c r="Y4" s="324">
        <v>10134.620000000001</v>
      </c>
      <c r="Z4" s="324">
        <v>70432.679999999993</v>
      </c>
      <c r="AA4" s="324">
        <v>29180.179999999997</v>
      </c>
      <c r="AB4" s="324">
        <v>24104.68</v>
      </c>
      <c r="AC4" s="324">
        <v>13110.050000000001</v>
      </c>
      <c r="AD4" s="324">
        <v>41148.980000000003</v>
      </c>
      <c r="AE4" s="324">
        <v>12928.77</v>
      </c>
      <c r="AF4" s="324">
        <v>0</v>
      </c>
      <c r="AG4" s="324">
        <v>0</v>
      </c>
      <c r="AH4" s="325">
        <v>15369.619999999999</v>
      </c>
      <c r="AI4" s="325">
        <v>90337.53</v>
      </c>
      <c r="AJ4" s="325">
        <v>8009.4400000000005</v>
      </c>
      <c r="AK4" s="325">
        <v>15636.97</v>
      </c>
      <c r="AL4" s="325">
        <v>23564.01</v>
      </c>
      <c r="AM4" s="325">
        <v>22231.06</v>
      </c>
      <c r="AN4" s="325">
        <v>23722.469999999998</v>
      </c>
      <c r="AO4" s="325">
        <v>111123.65</v>
      </c>
      <c r="AP4" s="325">
        <v>77328.790000000008</v>
      </c>
      <c r="AQ4" s="325">
        <v>28252.67</v>
      </c>
      <c r="AR4" s="325">
        <v>157739.49</v>
      </c>
      <c r="AS4" s="325">
        <v>29015.920000000002</v>
      </c>
      <c r="AT4" s="325">
        <v>83005.09</v>
      </c>
      <c r="AU4" s="325">
        <v>126666.64000000001</v>
      </c>
      <c r="AV4" s="325">
        <v>58866.529999999992</v>
      </c>
      <c r="AW4" s="325">
        <v>49636.929999999993</v>
      </c>
      <c r="AX4" s="325">
        <v>38099.619999999988</v>
      </c>
      <c r="AY4" s="325">
        <v>185717.22000000003</v>
      </c>
      <c r="AZ4" s="326"/>
      <c r="BA4" s="323">
        <v>22196.51</v>
      </c>
      <c r="BB4" s="325">
        <v>11174.34</v>
      </c>
      <c r="BC4" s="325">
        <v>97353.040000000008</v>
      </c>
      <c r="BE4" s="323">
        <v>71884</v>
      </c>
      <c r="BG4" s="323">
        <v>1811755.1099999999</v>
      </c>
    </row>
    <row r="5" spans="1:61" x14ac:dyDescent="0.25">
      <c r="A5" s="323"/>
      <c r="B5" s="405" t="s">
        <v>160</v>
      </c>
      <c r="C5" s="362">
        <v>0</v>
      </c>
      <c r="D5" s="362">
        <v>731</v>
      </c>
      <c r="E5" s="362">
        <v>0</v>
      </c>
      <c r="F5" s="362">
        <v>0</v>
      </c>
      <c r="G5" s="361">
        <v>4327</v>
      </c>
      <c r="H5" s="361">
        <v>455812</v>
      </c>
      <c r="I5" s="406">
        <v>0</v>
      </c>
      <c r="J5" s="406">
        <v>3747</v>
      </c>
      <c r="K5" s="406">
        <v>-3668.6800000000003</v>
      </c>
      <c r="L5" s="406">
        <v>0</v>
      </c>
      <c r="M5" s="406">
        <v>9496.1200000000008</v>
      </c>
      <c r="N5" s="406">
        <v>16115.91</v>
      </c>
      <c r="O5" s="406">
        <v>4167.25</v>
      </c>
      <c r="P5" s="406">
        <v>23156.920000000002</v>
      </c>
      <c r="Q5" s="406">
        <v>8594.5999999999985</v>
      </c>
      <c r="R5" s="406">
        <v>537377.49</v>
      </c>
      <c r="S5" s="324">
        <v>0</v>
      </c>
      <c r="T5" s="324">
        <v>215.8</v>
      </c>
      <c r="U5" s="324">
        <v>0</v>
      </c>
      <c r="V5" s="324">
        <v>304</v>
      </c>
      <c r="W5" s="324">
        <v>0</v>
      </c>
      <c r="X5" s="324">
        <v>78.75</v>
      </c>
      <c r="Y5" s="324">
        <v>0</v>
      </c>
      <c r="Z5" s="324">
        <v>90145.56</v>
      </c>
      <c r="AA5" s="324">
        <v>189943.18</v>
      </c>
      <c r="AB5" s="324">
        <v>172907.32</v>
      </c>
      <c r="AC5" s="324">
        <v>260552.06999999998</v>
      </c>
      <c r="AD5" s="324">
        <v>35096.93</v>
      </c>
      <c r="AE5" s="324">
        <v>104934.84999999999</v>
      </c>
      <c r="AF5" s="324">
        <v>808886.62</v>
      </c>
      <c r="AG5" s="324">
        <v>878314.14</v>
      </c>
      <c r="AH5" s="325">
        <v>57095.240000000005</v>
      </c>
      <c r="AI5" s="325">
        <v>125050.76999999999</v>
      </c>
      <c r="AJ5" s="325">
        <v>22265.659999999996</v>
      </c>
      <c r="AK5" s="325">
        <v>14710.04</v>
      </c>
      <c r="AL5" s="325">
        <v>66421.089999999982</v>
      </c>
      <c r="AM5" s="325">
        <v>53345.63</v>
      </c>
      <c r="AN5" s="325">
        <v>100918.06999999999</v>
      </c>
      <c r="AO5" s="325">
        <v>163584.22</v>
      </c>
      <c r="AP5" s="325">
        <v>61019.23</v>
      </c>
      <c r="AQ5" s="325">
        <v>33327.450000000004</v>
      </c>
      <c r="AR5" s="325">
        <v>156551.76</v>
      </c>
      <c r="AS5" s="325">
        <v>131061.12</v>
      </c>
      <c r="AT5" s="325">
        <v>47558.119999999995</v>
      </c>
      <c r="AU5" s="325">
        <v>65670.12999999999</v>
      </c>
      <c r="AV5" s="325">
        <v>29869.5</v>
      </c>
      <c r="AW5" s="325">
        <v>49473.79</v>
      </c>
      <c r="AX5" s="325">
        <v>41798.14</v>
      </c>
      <c r="AY5" s="325">
        <v>203869.22999999995</v>
      </c>
      <c r="AZ5" s="326"/>
      <c r="BA5" s="323">
        <v>29520.739999999998</v>
      </c>
      <c r="BB5" s="325">
        <v>44644.26</v>
      </c>
      <c r="BC5" s="325">
        <v>116352.93000000001</v>
      </c>
      <c r="BE5" s="323">
        <v>192107.24</v>
      </c>
      <c r="BF5" s="318" t="s">
        <v>171</v>
      </c>
      <c r="BG5" s="318">
        <v>5024825.0199999996</v>
      </c>
    </row>
    <row r="6" spans="1:61" x14ac:dyDescent="0.25">
      <c r="A6" s="323"/>
      <c r="B6" s="407" t="s">
        <v>155</v>
      </c>
      <c r="C6" s="362">
        <v>721</v>
      </c>
      <c r="D6" s="361">
        <v>57863</v>
      </c>
      <c r="E6" s="361">
        <v>38297</v>
      </c>
      <c r="F6" s="362">
        <v>900</v>
      </c>
      <c r="G6" s="361">
        <v>9995</v>
      </c>
      <c r="H6" s="361">
        <v>33077</v>
      </c>
      <c r="I6" s="323">
        <v>19717.560000000001</v>
      </c>
      <c r="J6" s="323">
        <v>23295.749999999993</v>
      </c>
      <c r="K6" s="323">
        <v>54331.9</v>
      </c>
      <c r="L6" s="323">
        <v>2769.39</v>
      </c>
      <c r="M6" s="323">
        <v>38198.410000000003</v>
      </c>
      <c r="N6" s="323">
        <v>18700.28</v>
      </c>
      <c r="O6" s="323">
        <v>7261.15</v>
      </c>
      <c r="P6" s="323">
        <v>7098.6299999999992</v>
      </c>
      <c r="Q6" s="323">
        <v>17333.150000000001</v>
      </c>
      <c r="R6" s="323">
        <v>15937.6</v>
      </c>
      <c r="S6" s="324">
        <v>22387.489999999998</v>
      </c>
      <c r="T6" s="324">
        <v>23563.010000000002</v>
      </c>
      <c r="U6" s="324">
        <v>33855.159999999996</v>
      </c>
      <c r="V6" s="324">
        <v>47515.71</v>
      </c>
      <c r="W6" s="324">
        <v>13799.24</v>
      </c>
      <c r="X6" s="324">
        <v>12935.619999999999</v>
      </c>
      <c r="Y6" s="324">
        <v>33283.58</v>
      </c>
      <c r="Z6" s="324">
        <v>19675.14</v>
      </c>
      <c r="AA6" s="324">
        <v>26458.799999999999</v>
      </c>
      <c r="AB6" s="324">
        <v>22332.62</v>
      </c>
      <c r="AC6" s="324">
        <v>27348.87</v>
      </c>
      <c r="AD6" s="324">
        <v>39234.980000000003</v>
      </c>
      <c r="AE6" s="324">
        <v>4610.62</v>
      </c>
      <c r="AF6" s="324">
        <v>29193.87</v>
      </c>
      <c r="AG6" s="324">
        <v>24159.83</v>
      </c>
      <c r="AH6" s="324">
        <v>11414.810000000001</v>
      </c>
      <c r="AI6" s="324">
        <v>44130.459999999992</v>
      </c>
      <c r="AJ6" s="324">
        <v>-8283.0699999999979</v>
      </c>
      <c r="AK6" s="324">
        <v>15773.469999999996</v>
      </c>
      <c r="AL6" s="324">
        <v>31593.020000000004</v>
      </c>
      <c r="AM6" s="324">
        <v>6712.76</v>
      </c>
      <c r="AN6" s="324">
        <v>32626.149999999998</v>
      </c>
      <c r="AO6" s="324">
        <v>18241.080000000002</v>
      </c>
      <c r="AP6" s="324">
        <v>31609.319999999996</v>
      </c>
      <c r="AQ6" s="324">
        <v>11643.800000000001</v>
      </c>
      <c r="AR6" s="324">
        <v>32078.19</v>
      </c>
      <c r="AS6" s="324">
        <v>32428.37</v>
      </c>
      <c r="AT6" s="324">
        <v>41978.39</v>
      </c>
      <c r="AU6" s="324">
        <v>40554.29</v>
      </c>
      <c r="AV6" s="324">
        <v>20438.48</v>
      </c>
      <c r="AW6" s="324">
        <v>28126.98</v>
      </c>
      <c r="AX6" s="324">
        <v>31267.589999999997</v>
      </c>
      <c r="AY6" s="324">
        <v>74573.440000000002</v>
      </c>
      <c r="AZ6" s="326"/>
      <c r="BA6" s="323">
        <v>18939.43</v>
      </c>
      <c r="BB6" s="325">
        <v>22798.21</v>
      </c>
      <c r="BC6" s="325">
        <v>33708.57</v>
      </c>
      <c r="BE6" s="323">
        <v>30540.719999999998</v>
      </c>
    </row>
    <row r="7" spans="1:61" s="424" customFormat="1" x14ac:dyDescent="0.25">
      <c r="A7" s="419"/>
      <c r="B7" s="420" t="s">
        <v>172</v>
      </c>
      <c r="C7" s="361">
        <v>12524</v>
      </c>
      <c r="D7" s="361">
        <v>-2182</v>
      </c>
      <c r="E7" s="361">
        <v>23166</v>
      </c>
      <c r="F7" s="361">
        <v>2341</v>
      </c>
      <c r="G7" s="361">
        <v>16623</v>
      </c>
      <c r="H7" s="361">
        <v>84944</v>
      </c>
      <c r="I7" s="422">
        <v>7082.2700000000013</v>
      </c>
      <c r="J7" s="422">
        <v>445.68999999999988</v>
      </c>
      <c r="K7" s="422">
        <v>19020.21</v>
      </c>
      <c r="L7" s="422">
        <v>9352</v>
      </c>
      <c r="M7" s="422">
        <v>16658.060000000001</v>
      </c>
      <c r="N7" s="422">
        <v>13137</v>
      </c>
      <c r="O7" s="422">
        <v>12734.029999999999</v>
      </c>
      <c r="P7" s="422">
        <v>15505.800000000001</v>
      </c>
      <c r="Q7" s="422">
        <v>14705.609999999999</v>
      </c>
      <c r="R7" s="422">
        <v>-2737.0000000000005</v>
      </c>
      <c r="S7" s="324">
        <v>13463.96</v>
      </c>
      <c r="T7" s="324">
        <v>10590.419999999998</v>
      </c>
      <c r="U7" s="324">
        <v>16943.599999999999</v>
      </c>
      <c r="V7" s="324">
        <v>3080.5899999999997</v>
      </c>
      <c r="W7" s="324">
        <v>7866.0700000000006</v>
      </c>
      <c r="X7" s="324">
        <v>3759.42</v>
      </c>
      <c r="Y7" s="324">
        <v>1950.2100000000003</v>
      </c>
      <c r="Z7" s="324">
        <v>4424.1099999999997</v>
      </c>
      <c r="AA7" s="324">
        <v>22990.18</v>
      </c>
      <c r="AB7" s="324">
        <v>10197.300000000001</v>
      </c>
      <c r="AC7" s="324">
        <v>17351.45</v>
      </c>
      <c r="AD7" s="324">
        <v>14312.56</v>
      </c>
      <c r="AE7" s="324">
        <v>3640.5800000000004</v>
      </c>
      <c r="AF7" s="324">
        <v>9379.489999999998</v>
      </c>
      <c r="AG7" s="324">
        <v>24677.219999999998</v>
      </c>
      <c r="AH7" s="324">
        <v>21387.5</v>
      </c>
      <c r="AI7" s="324">
        <v>54199.75</v>
      </c>
      <c r="AJ7" s="324">
        <v>14841.289999999997</v>
      </c>
      <c r="AK7" s="324">
        <v>10384.18</v>
      </c>
      <c r="AL7" s="324">
        <v>14241.789999999997</v>
      </c>
      <c r="AM7" s="324">
        <v>19585.689999999999</v>
      </c>
      <c r="AN7" s="324">
        <v>16791.55</v>
      </c>
      <c r="AO7" s="324">
        <v>-1738.6100000000006</v>
      </c>
      <c r="AP7" s="324">
        <v>47958.47</v>
      </c>
      <c r="AQ7" s="324">
        <v>38450.200000000004</v>
      </c>
      <c r="AR7" s="324">
        <v>17757.019999999997</v>
      </c>
      <c r="AS7" s="324">
        <v>28076.29</v>
      </c>
      <c r="AT7" s="324">
        <v>17722.27</v>
      </c>
      <c r="AU7" s="324">
        <v>81676.89</v>
      </c>
      <c r="AV7" s="324">
        <v>-36494.5</v>
      </c>
      <c r="AW7" s="324">
        <v>25042.46</v>
      </c>
      <c r="AX7" s="324">
        <v>59552.079999999994</v>
      </c>
      <c r="AY7" s="324">
        <v>5849.49</v>
      </c>
      <c r="AZ7" s="333"/>
      <c r="BA7" s="325">
        <v>33717.56</v>
      </c>
      <c r="BB7" s="325">
        <v>30989.399999999998</v>
      </c>
      <c r="BC7" s="325">
        <v>81182.61</v>
      </c>
      <c r="BD7" s="318"/>
      <c r="BE7" s="419">
        <v>5275.83</v>
      </c>
      <c r="BF7" s="318"/>
      <c r="BG7" s="318"/>
      <c r="BH7" s="318"/>
      <c r="BI7" s="318"/>
    </row>
    <row r="8" spans="1:61" s="424" customFormat="1" x14ac:dyDescent="0.25">
      <c r="A8" s="419"/>
      <c r="B8" s="420" t="s">
        <v>173</v>
      </c>
      <c r="C8" s="361">
        <v>5076</v>
      </c>
      <c r="D8" s="361">
        <v>6004</v>
      </c>
      <c r="E8" s="361">
        <v>18566</v>
      </c>
      <c r="F8" s="361">
        <v>2575</v>
      </c>
      <c r="G8" s="361">
        <v>4328</v>
      </c>
      <c r="H8" s="361">
        <v>24062</v>
      </c>
      <c r="I8" s="422">
        <v>7248.3799999999992</v>
      </c>
      <c r="J8" s="422">
        <v>18037.36</v>
      </c>
      <c r="K8" s="422">
        <v>12834</v>
      </c>
      <c r="L8" s="422">
        <v>-4494.170000000001</v>
      </c>
      <c r="M8" s="422">
        <v>35068.840000000004</v>
      </c>
      <c r="N8" s="422">
        <v>15790.240000000002</v>
      </c>
      <c r="O8" s="422">
        <v>7772.41</v>
      </c>
      <c r="P8" s="422">
        <v>4202.1400000000003</v>
      </c>
      <c r="Q8" s="422">
        <v>10409.74</v>
      </c>
      <c r="R8" s="422">
        <v>35091.18</v>
      </c>
      <c r="S8" s="324">
        <v>17092.509999999998</v>
      </c>
      <c r="T8" s="324">
        <v>6372.81</v>
      </c>
      <c r="U8" s="324">
        <v>12099.54</v>
      </c>
      <c r="V8" s="324">
        <v>9145.119999999999</v>
      </c>
      <c r="W8" s="324">
        <v>7838.55</v>
      </c>
      <c r="X8" s="324">
        <v>5399.42</v>
      </c>
      <c r="Y8" s="324">
        <v>7418.4</v>
      </c>
      <c r="Z8" s="324">
        <v>16404.59</v>
      </c>
      <c r="AA8" s="324">
        <v>12514.900000000001</v>
      </c>
      <c r="AB8" s="324">
        <v>17539.38</v>
      </c>
      <c r="AC8" s="324">
        <v>14592.480000000001</v>
      </c>
      <c r="AD8" s="324">
        <v>7359.83</v>
      </c>
      <c r="AE8" s="324">
        <v>3917.1499999999996</v>
      </c>
      <c r="AF8" s="324">
        <v>5817.29</v>
      </c>
      <c r="AG8" s="324">
        <v>25663.98</v>
      </c>
      <c r="AH8" s="324">
        <v>20962.439999999995</v>
      </c>
      <c r="AI8" s="324">
        <v>11252.96</v>
      </c>
      <c r="AJ8" s="324">
        <v>32436.54</v>
      </c>
      <c r="AK8" s="324">
        <v>6048.92</v>
      </c>
      <c r="AL8" s="324">
        <v>15358.859999999999</v>
      </c>
      <c r="AM8" s="324">
        <v>4642.7800000000007</v>
      </c>
      <c r="AN8" s="324">
        <v>5036.55</v>
      </c>
      <c r="AO8" s="324">
        <v>10357.780000000001</v>
      </c>
      <c r="AP8" s="324">
        <v>9668.4100000000035</v>
      </c>
      <c r="AQ8" s="324">
        <v>11531.3</v>
      </c>
      <c r="AR8" s="324">
        <v>20702.270000000004</v>
      </c>
      <c r="AS8" s="324">
        <v>16299.67</v>
      </c>
      <c r="AT8" s="324">
        <v>5207.66</v>
      </c>
      <c r="AU8" s="324">
        <v>8391.73</v>
      </c>
      <c r="AV8" s="324">
        <v>19382.2</v>
      </c>
      <c r="AW8" s="324">
        <v>13309.400000000001</v>
      </c>
      <c r="AX8" s="324">
        <v>18997.039999999997</v>
      </c>
      <c r="AY8" s="324">
        <v>3565.0000000000027</v>
      </c>
      <c r="AZ8" s="333"/>
      <c r="BA8" s="325">
        <v>5106.2499999999991</v>
      </c>
      <c r="BB8" s="325">
        <v>12911.83</v>
      </c>
      <c r="BC8" s="325">
        <v>24360.269999999997</v>
      </c>
      <c r="BD8" s="318"/>
      <c r="BE8" s="323">
        <v>12455.55</v>
      </c>
      <c r="BF8" s="318"/>
      <c r="BG8" s="318"/>
      <c r="BH8" s="318"/>
      <c r="BI8" s="318"/>
    </row>
    <row r="9" spans="1:61" s="424" customFormat="1" x14ac:dyDescent="0.25">
      <c r="A9" s="419"/>
      <c r="B9" s="420" t="s">
        <v>163</v>
      </c>
      <c r="C9" s="421"/>
      <c r="D9" s="421"/>
      <c r="E9" s="421"/>
      <c r="F9" s="421"/>
      <c r="G9" s="421"/>
      <c r="H9" s="421"/>
      <c r="I9" s="422"/>
      <c r="J9" s="422"/>
      <c r="K9" s="422"/>
      <c r="L9" s="422"/>
      <c r="M9" s="422"/>
      <c r="N9" s="422"/>
      <c r="O9" s="422"/>
      <c r="P9" s="422"/>
      <c r="Q9" s="422"/>
      <c r="R9" s="422"/>
      <c r="S9" s="324"/>
      <c r="T9" s="324"/>
      <c r="U9" s="324"/>
      <c r="V9" s="324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/>
      <c r="AJ9" s="324"/>
      <c r="AK9" s="324"/>
      <c r="AL9" s="324"/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33"/>
      <c r="BA9" s="325"/>
      <c r="BB9" s="325"/>
      <c r="BC9" s="325"/>
      <c r="BD9" s="318"/>
      <c r="BF9" s="318"/>
      <c r="BG9" s="318"/>
      <c r="BH9" s="318"/>
      <c r="BI9" s="318"/>
    </row>
    <row r="10" spans="1:61" x14ac:dyDescent="0.25">
      <c r="A10" s="377" t="s">
        <v>148</v>
      </c>
      <c r="B10" s="407" t="s">
        <v>115</v>
      </c>
      <c r="C10" s="328"/>
      <c r="D10" s="328"/>
      <c r="E10" s="328"/>
      <c r="F10" s="328"/>
      <c r="G10" s="328"/>
      <c r="H10" s="328"/>
      <c r="I10" s="418">
        <v>8.6369732869931312E-2</v>
      </c>
      <c r="J10" s="418">
        <v>1.6636638180529235</v>
      </c>
      <c r="K10" s="418">
        <v>0.21428366805767526</v>
      </c>
      <c r="L10" s="418">
        <v>0</v>
      </c>
      <c r="M10" s="418">
        <v>0.89172735430109673</v>
      </c>
      <c r="N10" s="418">
        <v>1.4009482129832239E-3</v>
      </c>
      <c r="O10" s="418">
        <v>1.1758492307692308</v>
      </c>
      <c r="P10" s="418">
        <v>8.2242059037475418E-2</v>
      </c>
      <c r="Q10" s="418">
        <v>0.26866907801418438</v>
      </c>
      <c r="R10" s="418">
        <v>0.27592660455753698</v>
      </c>
      <c r="S10" s="418">
        <v>0.46596234567901229</v>
      </c>
      <c r="T10" s="418">
        <v>0.83101799999999992</v>
      </c>
      <c r="U10" s="418">
        <v>5.8142490163561281E-2</v>
      </c>
      <c r="V10" s="418">
        <v>6.7767215697732044E-2</v>
      </c>
      <c r="W10" s="418">
        <v>4.1801600000000001E-2</v>
      </c>
      <c r="X10" s="418">
        <v>0.15931376315789475</v>
      </c>
      <c r="Y10" s="418">
        <v>2.4741617647058824E-2</v>
      </c>
      <c r="Z10" s="418">
        <v>4.0552937293729378E-2</v>
      </c>
      <c r="AA10" s="418">
        <v>8.2914243525670159E-2</v>
      </c>
      <c r="AB10" s="418">
        <v>0.18228593309149535</v>
      </c>
      <c r="AC10" s="418">
        <v>0.1472235079171742</v>
      </c>
      <c r="AD10" s="418">
        <v>0.41444129589632833</v>
      </c>
      <c r="AE10" s="418">
        <v>5.9592255892255898E-2</v>
      </c>
      <c r="AF10" s="418">
        <v>0</v>
      </c>
      <c r="AG10" s="418">
        <v>0.36978140511645669</v>
      </c>
      <c r="AH10" s="418">
        <v>0.26388266439155367</v>
      </c>
      <c r="AI10" s="418">
        <v>5.8091730622046513E-2</v>
      </c>
      <c r="AJ10" s="418">
        <v>0.33127834271019618</v>
      </c>
      <c r="AK10" s="418">
        <v>4.2109635939540533E-3</v>
      </c>
      <c r="AL10" s="418">
        <v>0.17036314978420508</v>
      </c>
      <c r="AM10" s="418">
        <v>0.27556365801026861</v>
      </c>
      <c r="AN10" s="418">
        <v>2.0497225024288017E-2</v>
      </c>
      <c r="AO10" s="418">
        <v>-3.7986261975837328E-2</v>
      </c>
      <c r="AP10" s="418">
        <v>4.1891521988549979E-2</v>
      </c>
      <c r="AQ10" s="418">
        <v>0.2076732366285185</v>
      </c>
      <c r="AR10" s="418">
        <v>0.11910918228338729</v>
      </c>
      <c r="AS10" s="418">
        <v>2.2936911287510867E-2</v>
      </c>
      <c r="AT10" s="418">
        <v>0.15301976119088687</v>
      </c>
      <c r="AU10" s="418">
        <v>4.2576738449172202E-2</v>
      </c>
      <c r="AV10" s="418">
        <v>0.19198606438940688</v>
      </c>
      <c r="AW10" s="418">
        <v>0.17023042017301493</v>
      </c>
      <c r="AX10" s="418"/>
      <c r="AY10" s="418"/>
      <c r="AZ10" s="333"/>
      <c r="BA10" s="418"/>
      <c r="BB10" s="418"/>
      <c r="BC10" s="418"/>
    </row>
    <row r="11" spans="1:61" x14ac:dyDescent="0.25">
      <c r="A11" s="377" t="s">
        <v>149</v>
      </c>
      <c r="B11" s="408" t="s">
        <v>133</v>
      </c>
      <c r="C11" s="323"/>
      <c r="D11" s="323"/>
      <c r="E11" s="328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5">
        <v>5068.78</v>
      </c>
      <c r="AI11" s="325">
        <v>14002.380000000001</v>
      </c>
      <c r="AJ11" s="325">
        <v>3518.1000000000008</v>
      </c>
      <c r="AK11" s="325">
        <v>11988.32</v>
      </c>
      <c r="AL11" s="325">
        <v>7079.6100000000006</v>
      </c>
      <c r="AM11" s="325">
        <v>3490.64</v>
      </c>
      <c r="AN11" s="325">
        <v>8962.23</v>
      </c>
      <c r="AO11" s="325">
        <v>8163.5700000000006</v>
      </c>
      <c r="AP11" s="325">
        <v>7099.18</v>
      </c>
      <c r="AQ11" s="325">
        <v>10201.359999999999</v>
      </c>
      <c r="AR11" s="325">
        <v>11840.869999999999</v>
      </c>
      <c r="AS11" s="325">
        <v>9334.66</v>
      </c>
      <c r="AT11" s="325">
        <v>7459.88</v>
      </c>
      <c r="AU11" s="325">
        <v>5685.1100000000006</v>
      </c>
      <c r="AV11" s="325">
        <v>8711.3399999999983</v>
      </c>
      <c r="AW11" s="325">
        <v>8178.8600000000006</v>
      </c>
      <c r="AX11" s="325">
        <v>9099.4500000000007</v>
      </c>
      <c r="AY11" s="325">
        <v>16577.05</v>
      </c>
      <c r="AZ11" s="333"/>
      <c r="BA11" s="325">
        <v>5119.7599999999993</v>
      </c>
      <c r="BB11" s="325">
        <v>6168.9800000000005</v>
      </c>
      <c r="BC11" s="325">
        <v>9130.0099999999984</v>
      </c>
      <c r="BE11" s="323"/>
    </row>
    <row r="12" spans="1:61" x14ac:dyDescent="0.25">
      <c r="B12" s="341" t="s">
        <v>164</v>
      </c>
      <c r="C12" s="323">
        <v>17600</v>
      </c>
      <c r="D12" s="323">
        <v>3822</v>
      </c>
      <c r="E12" s="384">
        <v>41732</v>
      </c>
      <c r="F12" s="323">
        <v>4916</v>
      </c>
      <c r="G12" s="323">
        <v>20951</v>
      </c>
      <c r="H12" s="323">
        <v>109006</v>
      </c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E12" s="323"/>
    </row>
    <row r="13" spans="1:61" x14ac:dyDescent="0.25">
      <c r="B13" s="342" t="s">
        <v>227</v>
      </c>
      <c r="C13" s="320" t="s">
        <v>2</v>
      </c>
      <c r="D13" s="320" t="s">
        <v>3</v>
      </c>
      <c r="E13" s="320" t="s">
        <v>4</v>
      </c>
      <c r="F13" s="320" t="s">
        <v>5</v>
      </c>
      <c r="G13" s="320" t="s">
        <v>6</v>
      </c>
      <c r="H13" s="320" t="s">
        <v>7</v>
      </c>
      <c r="I13" s="319" t="s">
        <v>8</v>
      </c>
      <c r="J13" s="319" t="s">
        <v>9</v>
      </c>
      <c r="K13" s="319" t="s">
        <v>10</v>
      </c>
      <c r="L13" s="319" t="s">
        <v>114</v>
      </c>
      <c r="M13" s="319" t="s">
        <v>12</v>
      </c>
      <c r="N13" s="319" t="s">
        <v>13</v>
      </c>
      <c r="O13" s="319" t="s">
        <v>14</v>
      </c>
      <c r="P13" s="319" t="s">
        <v>15</v>
      </c>
      <c r="Q13" s="319" t="s">
        <v>16</v>
      </c>
      <c r="R13" s="319" t="s">
        <v>17</v>
      </c>
      <c r="S13" s="319" t="s">
        <v>18</v>
      </c>
      <c r="T13" s="319" t="s">
        <v>19</v>
      </c>
      <c r="U13" s="319" t="s">
        <v>20</v>
      </c>
      <c r="V13" s="319" t="s">
        <v>21</v>
      </c>
      <c r="W13" s="319" t="s">
        <v>22</v>
      </c>
      <c r="X13" s="319" t="s">
        <v>23</v>
      </c>
      <c r="Y13" s="319" t="s">
        <v>24</v>
      </c>
      <c r="Z13" s="319" t="s">
        <v>25</v>
      </c>
      <c r="AA13" s="319" t="s">
        <v>26</v>
      </c>
      <c r="AB13" s="319" t="s">
        <v>27</v>
      </c>
      <c r="AC13" s="319" t="s">
        <v>28</v>
      </c>
      <c r="AD13" s="319" t="s">
        <v>29</v>
      </c>
      <c r="AE13" s="319" t="s">
        <v>30</v>
      </c>
      <c r="AF13" s="319" t="s">
        <v>31</v>
      </c>
      <c r="AG13" s="319" t="s">
        <v>32</v>
      </c>
      <c r="AH13" s="319" t="s">
        <v>34</v>
      </c>
      <c r="AI13" s="319" t="s">
        <v>35</v>
      </c>
      <c r="AJ13" s="319" t="s">
        <v>36</v>
      </c>
      <c r="AK13" s="319" t="s">
        <v>37</v>
      </c>
      <c r="AL13" s="319" t="s">
        <v>38</v>
      </c>
      <c r="AM13" s="319" t="s">
        <v>39</v>
      </c>
      <c r="AN13" s="319" t="s">
        <v>33</v>
      </c>
      <c r="AO13" s="319" t="s">
        <v>40</v>
      </c>
      <c r="AP13" s="319" t="s">
        <v>41</v>
      </c>
      <c r="AQ13" s="319" t="s">
        <v>42</v>
      </c>
      <c r="AR13" s="319" t="s">
        <v>43</v>
      </c>
      <c r="AS13" s="319" t="s">
        <v>44</v>
      </c>
      <c r="AT13" s="319" t="s">
        <v>45</v>
      </c>
      <c r="AU13" s="319" t="s">
        <v>46</v>
      </c>
      <c r="AV13" s="319" t="s">
        <v>47</v>
      </c>
      <c r="AW13" s="319" t="s">
        <v>48</v>
      </c>
      <c r="AX13" s="319" t="s">
        <v>49</v>
      </c>
      <c r="AY13" s="319" t="s">
        <v>50</v>
      </c>
      <c r="AZ13" s="321" t="s">
        <v>51</v>
      </c>
      <c r="BA13" s="319" t="s">
        <v>52</v>
      </c>
      <c r="BB13" s="319" t="s">
        <v>53</v>
      </c>
      <c r="BC13" s="319" t="s">
        <v>54</v>
      </c>
      <c r="BE13" s="377" t="s">
        <v>158</v>
      </c>
    </row>
    <row r="14" spans="1:61" s="424" customFormat="1" x14ac:dyDescent="0.25">
      <c r="B14" s="425" t="s">
        <v>62</v>
      </c>
      <c r="I14" s="419">
        <v>25596.469999999998</v>
      </c>
      <c r="J14" s="419">
        <v>45664.01999999999</v>
      </c>
      <c r="K14" s="419">
        <v>79797.760000000009</v>
      </c>
      <c r="L14" s="419">
        <v>11905.970000000001</v>
      </c>
      <c r="M14" s="419">
        <v>43107.100000000013</v>
      </c>
      <c r="N14" s="419">
        <v>16781.020000000004</v>
      </c>
      <c r="O14" s="419">
        <v>7246.08</v>
      </c>
      <c r="P14" s="419">
        <v>8210.7800000000007</v>
      </c>
      <c r="Q14" s="419">
        <v>20287.620000000003</v>
      </c>
      <c r="R14" s="419">
        <v>282.10000000000002</v>
      </c>
      <c r="S14" s="400">
        <v>15511.059999999998</v>
      </c>
      <c r="T14" s="426">
        <v>16620.37</v>
      </c>
      <c r="U14" s="426">
        <v>19351.720000000005</v>
      </c>
      <c r="V14" s="426">
        <v>27698.09</v>
      </c>
      <c r="W14" s="426">
        <v>19191.300000000003</v>
      </c>
      <c r="X14" s="426">
        <v>17252.07</v>
      </c>
      <c r="Y14" s="426">
        <v>18276.740000000002</v>
      </c>
      <c r="Z14" s="426">
        <v>13422.800000000001</v>
      </c>
      <c r="AA14" s="426">
        <v>17846.59</v>
      </c>
      <c r="AB14" s="426">
        <v>15406.150000000001</v>
      </c>
      <c r="AC14" s="426">
        <v>18398.710000000003</v>
      </c>
      <c r="AD14" s="426">
        <v>22719.280000000002</v>
      </c>
      <c r="AE14" s="426">
        <v>3903.1700000000005</v>
      </c>
      <c r="AF14" s="426">
        <v>0</v>
      </c>
      <c r="AG14" s="400">
        <v>34.72</v>
      </c>
      <c r="AH14" s="325">
        <v>9775.73</v>
      </c>
      <c r="AI14" s="325">
        <v>38348.550000000003</v>
      </c>
      <c r="AJ14" s="325">
        <v>12580.31</v>
      </c>
      <c r="AK14" s="325">
        <v>8013.2</v>
      </c>
      <c r="AL14" s="325">
        <v>22493.64</v>
      </c>
      <c r="AM14" s="325">
        <v>7481.64</v>
      </c>
      <c r="AN14" s="325">
        <v>16222.289999999999</v>
      </c>
      <c r="AO14" s="325">
        <v>22440.830000000005</v>
      </c>
      <c r="AP14" s="325">
        <v>21462.91</v>
      </c>
      <c r="AQ14" s="325">
        <v>20498.23</v>
      </c>
      <c r="AR14" s="325">
        <v>21221.33</v>
      </c>
      <c r="AS14" s="325">
        <v>25775.569999999996</v>
      </c>
      <c r="AT14" s="325">
        <v>21650.69</v>
      </c>
      <c r="AU14" s="325">
        <v>21983.199999999997</v>
      </c>
      <c r="AV14" s="325">
        <v>20003.789999999997</v>
      </c>
      <c r="AW14" s="325">
        <v>19781.170000000006</v>
      </c>
      <c r="AX14" s="325">
        <v>27693.819999999996</v>
      </c>
      <c r="AY14" s="325">
        <v>27844.989999999998</v>
      </c>
      <c r="AZ14" s="338"/>
      <c r="BA14" s="325">
        <v>20197.919999999995</v>
      </c>
      <c r="BB14" s="325">
        <v>17165.660000000003</v>
      </c>
      <c r="BC14" s="325">
        <v>22979.54</v>
      </c>
      <c r="BD14" s="318"/>
      <c r="BE14" s="323">
        <v>26279.149999999998</v>
      </c>
      <c r="BF14" s="318"/>
      <c r="BG14" s="318"/>
      <c r="BI14" s="318"/>
    </row>
    <row r="15" spans="1:61" x14ac:dyDescent="0.25">
      <c r="B15" s="341" t="s">
        <v>63</v>
      </c>
      <c r="I15" s="323">
        <v>4379.1500000000005</v>
      </c>
      <c r="J15" s="323">
        <v>2251.8200000000002</v>
      </c>
      <c r="K15" s="323">
        <v>7035.4299999999994</v>
      </c>
      <c r="L15" s="323">
        <v>3404.86</v>
      </c>
      <c r="M15" s="323">
        <v>4262.4900000000007</v>
      </c>
      <c r="N15" s="323">
        <v>32502.949999999997</v>
      </c>
      <c r="O15" s="323">
        <v>4867.0200000000004</v>
      </c>
      <c r="P15" s="323">
        <v>5626.89</v>
      </c>
      <c r="Q15" s="323">
        <v>53046.99</v>
      </c>
      <c r="R15" s="323">
        <v>0</v>
      </c>
      <c r="S15" s="400">
        <v>3516.1800000000003</v>
      </c>
      <c r="T15" s="400">
        <v>6602.47</v>
      </c>
      <c r="U15" s="400">
        <v>2009.77</v>
      </c>
      <c r="V15" s="400">
        <v>2490.3900000000003</v>
      </c>
      <c r="W15" s="400">
        <v>3970.12</v>
      </c>
      <c r="X15" s="400">
        <v>3255.63</v>
      </c>
      <c r="Y15" s="400">
        <v>2474.4500000000003</v>
      </c>
      <c r="Z15" s="400">
        <v>61666.17</v>
      </c>
      <c r="AA15" s="400">
        <v>20992.98</v>
      </c>
      <c r="AB15" s="400">
        <v>23394.14</v>
      </c>
      <c r="AC15" s="400">
        <v>19746.810000000001</v>
      </c>
      <c r="AD15" s="400">
        <v>17638.89</v>
      </c>
      <c r="AE15" s="400">
        <v>6030.54</v>
      </c>
      <c r="AF15" s="400">
        <v>0</v>
      </c>
      <c r="AG15" s="400">
        <v>0</v>
      </c>
      <c r="AH15" s="325">
        <v>4298.1145200000001</v>
      </c>
      <c r="AI15" s="325">
        <v>11132.333640000003</v>
      </c>
      <c r="AJ15" s="325">
        <v>3608.9693999999995</v>
      </c>
      <c r="AK15" s="325">
        <v>6690.3944399999991</v>
      </c>
      <c r="AL15" s="325">
        <v>6424.125</v>
      </c>
      <c r="AM15" s="325">
        <v>4321.3413600000003</v>
      </c>
      <c r="AN15" s="325">
        <v>10296.510120000001</v>
      </c>
      <c r="AO15" s="325">
        <v>11603.147040000002</v>
      </c>
      <c r="AP15" s="325">
        <v>11310.179759999999</v>
      </c>
      <c r="AQ15" s="325">
        <v>10869.89136</v>
      </c>
      <c r="AR15" s="325">
        <v>10833.50388</v>
      </c>
      <c r="AS15" s="325">
        <v>12053.225759999999</v>
      </c>
      <c r="AT15" s="325">
        <v>10723.770719999999</v>
      </c>
      <c r="AU15" s="325">
        <v>12175.695599999997</v>
      </c>
      <c r="AV15" s="325">
        <v>9707.4265199999973</v>
      </c>
      <c r="AW15" s="325">
        <v>10580.13336</v>
      </c>
      <c r="AX15" s="325">
        <v>10345.436280000002</v>
      </c>
      <c r="AY15" s="325">
        <v>14281.405680000002</v>
      </c>
      <c r="AZ15" s="338"/>
      <c r="BA15" s="325">
        <v>8341.9006800000006</v>
      </c>
      <c r="BB15" s="325">
        <v>8809.8680400000012</v>
      </c>
      <c r="BC15" s="325">
        <v>10553.930039999997</v>
      </c>
      <c r="BE15" s="323">
        <v>46477.659999999996</v>
      </c>
    </row>
    <row r="16" spans="1:61" x14ac:dyDescent="0.25">
      <c r="A16" s="318" t="s">
        <v>135</v>
      </c>
      <c r="B16" s="341" t="s">
        <v>64</v>
      </c>
      <c r="D16" s="339"/>
      <c r="E16" s="339"/>
      <c r="F16" s="339"/>
      <c r="I16" s="323">
        <v>0</v>
      </c>
      <c r="J16" s="323">
        <v>1600</v>
      </c>
      <c r="K16" s="323">
        <v>2695</v>
      </c>
      <c r="L16" s="323">
        <v>1600</v>
      </c>
      <c r="M16" s="323">
        <v>1666.63</v>
      </c>
      <c r="N16" s="323">
        <v>18941</v>
      </c>
      <c r="O16" s="323">
        <v>37780.58</v>
      </c>
      <c r="P16" s="323">
        <v>35672.43</v>
      </c>
      <c r="Q16" s="323">
        <v>71451.76999999999</v>
      </c>
      <c r="R16" s="323">
        <v>504597.42000000004</v>
      </c>
      <c r="S16" s="400">
        <v>0</v>
      </c>
      <c r="T16" s="400">
        <v>0</v>
      </c>
      <c r="U16" s="400">
        <v>0</v>
      </c>
      <c r="V16" s="400">
        <v>0</v>
      </c>
      <c r="W16" s="400">
        <v>0</v>
      </c>
      <c r="X16" s="400">
        <v>6000</v>
      </c>
      <c r="Y16" s="400">
        <v>0</v>
      </c>
      <c r="Z16" s="400">
        <v>110563.26</v>
      </c>
      <c r="AA16" s="400">
        <v>152857.82</v>
      </c>
      <c r="AB16" s="400">
        <v>181435.4</v>
      </c>
      <c r="AC16" s="400">
        <v>219314.71000000002</v>
      </c>
      <c r="AD16" s="400">
        <v>38986.58</v>
      </c>
      <c r="AE16" s="400">
        <v>72153.25</v>
      </c>
      <c r="AF16" s="400">
        <v>839573.67</v>
      </c>
      <c r="AG16" s="400">
        <v>912978.58999999973</v>
      </c>
      <c r="AH16" s="325">
        <v>12461.02</v>
      </c>
      <c r="AI16" s="325">
        <v>43539.8</v>
      </c>
      <c r="AJ16" s="325">
        <v>8883.99</v>
      </c>
      <c r="AK16" s="325">
        <v>18169.61</v>
      </c>
      <c r="AL16" s="325">
        <v>14045.02</v>
      </c>
      <c r="AM16" s="325">
        <v>11145.07</v>
      </c>
      <c r="AN16" s="325">
        <v>29896.050000000003</v>
      </c>
      <c r="AO16" s="325">
        <v>31524.39</v>
      </c>
      <c r="AP16" s="325">
        <v>25987.329999999998</v>
      </c>
      <c r="AQ16" s="325">
        <v>25654.67</v>
      </c>
      <c r="AR16" s="325">
        <v>35121.42</v>
      </c>
      <c r="AS16" s="325">
        <v>25493.13</v>
      </c>
      <c r="AT16" s="325">
        <v>36604.979999999996</v>
      </c>
      <c r="AU16" s="325">
        <v>26122.260000000002</v>
      </c>
      <c r="AV16" s="325">
        <v>24239.02</v>
      </c>
      <c r="AW16" s="325">
        <v>27436.959999999999</v>
      </c>
      <c r="AX16" s="325">
        <v>28315.43</v>
      </c>
      <c r="AY16" s="325">
        <v>32634.899999999998</v>
      </c>
      <c r="AZ16" s="338"/>
      <c r="BA16" s="325">
        <v>17938.77</v>
      </c>
      <c r="BB16" s="325">
        <v>18254.849999999999</v>
      </c>
      <c r="BC16" s="325">
        <v>21748.78</v>
      </c>
      <c r="BE16" s="323">
        <v>184976.27</v>
      </c>
    </row>
    <row r="17" spans="1:58" x14ac:dyDescent="0.25">
      <c r="B17" s="347" t="s">
        <v>154</v>
      </c>
      <c r="C17" s="319"/>
      <c r="D17" s="319"/>
      <c r="E17" s="319"/>
      <c r="F17" s="319"/>
      <c r="G17" s="319"/>
      <c r="H17" s="319"/>
      <c r="I17" s="323">
        <v>24303.77</v>
      </c>
      <c r="J17" s="323">
        <v>23904.799999999999</v>
      </c>
      <c r="K17" s="323">
        <v>63706.62</v>
      </c>
      <c r="L17" s="323">
        <v>4153.26</v>
      </c>
      <c r="M17" s="323">
        <v>37271.090000000004</v>
      </c>
      <c r="N17" s="323">
        <v>15544.04</v>
      </c>
      <c r="O17" s="323">
        <v>9643.76</v>
      </c>
      <c r="P17" s="323">
        <v>6842.53</v>
      </c>
      <c r="Q17" s="323">
        <v>18186.46</v>
      </c>
      <c r="R17" s="323">
        <v>16898.57</v>
      </c>
      <c r="S17" s="400">
        <v>32677.519999999997</v>
      </c>
      <c r="T17" s="400">
        <v>24356.239999999998</v>
      </c>
      <c r="U17" s="400">
        <v>33533.47</v>
      </c>
      <c r="V17" s="400">
        <v>39379.78</v>
      </c>
      <c r="W17" s="400">
        <v>20118.62</v>
      </c>
      <c r="X17" s="400">
        <v>19504.48</v>
      </c>
      <c r="Y17" s="400">
        <v>26359.589999999997</v>
      </c>
      <c r="Z17" s="400">
        <v>20418.400000000001</v>
      </c>
      <c r="AA17" s="400">
        <v>23802.639999999999</v>
      </c>
      <c r="AB17" s="400">
        <v>20953.82</v>
      </c>
      <c r="AC17" s="400">
        <v>28797.03</v>
      </c>
      <c r="AD17" s="400">
        <v>29196.89</v>
      </c>
      <c r="AE17" s="400">
        <v>6901.0599999999995</v>
      </c>
      <c r="AF17" s="400">
        <v>19675.05</v>
      </c>
      <c r="AG17" s="400">
        <v>25554.530000000002</v>
      </c>
      <c r="AH17" s="325">
        <v>10492.509999999982</v>
      </c>
      <c r="AI17" s="325">
        <v>82231.179999999949</v>
      </c>
      <c r="AJ17" s="325">
        <v>51653.460000000014</v>
      </c>
      <c r="AK17" s="325">
        <v>18780.060000000001</v>
      </c>
      <c r="AL17" s="325">
        <v>17047.259999999977</v>
      </c>
      <c r="AM17" s="325">
        <v>15136.809999999965</v>
      </c>
      <c r="AN17" s="325">
        <v>27559.129999999994</v>
      </c>
      <c r="AO17" s="325">
        <v>84981.459999999977</v>
      </c>
      <c r="AP17" s="325">
        <v>34365.150000000038</v>
      </c>
      <c r="AQ17" s="325">
        <v>27926.859999999921</v>
      </c>
      <c r="AR17" s="325">
        <v>35656.299999999945</v>
      </c>
      <c r="AS17" s="325">
        <v>49208.590000000011</v>
      </c>
      <c r="AT17" s="325">
        <v>22958.820000000047</v>
      </c>
      <c r="AU17" s="325">
        <v>60269.260000000024</v>
      </c>
      <c r="AV17" s="325">
        <v>25269.259999999955</v>
      </c>
      <c r="AW17" s="325">
        <v>25171.570000000047</v>
      </c>
      <c r="AX17" s="325">
        <v>27144.380000000005</v>
      </c>
      <c r="AY17" s="325">
        <v>31490.070000000025</v>
      </c>
      <c r="AZ17" s="338"/>
      <c r="BA17" s="325">
        <v>30269.959999999988</v>
      </c>
      <c r="BB17" s="325">
        <v>33493.460000000036</v>
      </c>
      <c r="BC17" s="325">
        <v>28142.620000000079</v>
      </c>
      <c r="BE17" s="323">
        <v>34771</v>
      </c>
    </row>
    <row r="18" spans="1:58" x14ac:dyDescent="0.25">
      <c r="B18" s="341" t="s">
        <v>174</v>
      </c>
      <c r="C18" s="310">
        <v>9145</v>
      </c>
      <c r="D18" s="310">
        <v>28085.9</v>
      </c>
      <c r="E18" s="310">
        <v>46925.61</v>
      </c>
      <c r="F18" s="310">
        <v>9000</v>
      </c>
      <c r="G18" s="310">
        <v>9729</v>
      </c>
      <c r="H18" s="310">
        <v>26340.65</v>
      </c>
      <c r="I18" s="323">
        <v>9680</v>
      </c>
      <c r="J18" s="323">
        <v>18895</v>
      </c>
      <c r="K18" s="323">
        <v>33200</v>
      </c>
      <c r="L18" s="323">
        <v>5400</v>
      </c>
      <c r="M18" s="323">
        <v>24300</v>
      </c>
      <c r="N18" s="323">
        <v>9285.6</v>
      </c>
      <c r="O18" s="323">
        <v>4719</v>
      </c>
      <c r="P18" s="323">
        <v>6035</v>
      </c>
      <c r="Q18" s="323">
        <v>11875</v>
      </c>
      <c r="R18" s="323">
        <v>150</v>
      </c>
      <c r="S18" s="400">
        <v>11760</v>
      </c>
      <c r="T18" s="400">
        <v>7211</v>
      </c>
      <c r="U18" s="400">
        <v>17492.46</v>
      </c>
      <c r="V18" s="400">
        <v>5585</v>
      </c>
      <c r="W18" s="400">
        <v>7435</v>
      </c>
      <c r="X18" s="400">
        <v>6827.33</v>
      </c>
      <c r="Y18" s="400">
        <v>7833</v>
      </c>
      <c r="Z18" s="400">
        <v>7025</v>
      </c>
      <c r="AA18" s="400">
        <v>8683.25</v>
      </c>
      <c r="AB18" s="400">
        <v>7365</v>
      </c>
      <c r="AC18" s="400">
        <v>11000</v>
      </c>
      <c r="AD18" s="400">
        <v>16837</v>
      </c>
      <c r="AE18" s="400">
        <v>5689</v>
      </c>
      <c r="AF18" s="400">
        <v>8525</v>
      </c>
      <c r="AG18" s="400">
        <v>8799</v>
      </c>
      <c r="AH18" s="325">
        <v>6328.54</v>
      </c>
      <c r="AI18" s="325">
        <v>38549.379999999997</v>
      </c>
      <c r="AJ18" s="325">
        <v>9560.85</v>
      </c>
      <c r="AK18" s="325">
        <v>12240.22</v>
      </c>
      <c r="AL18" s="325">
        <v>11859.33</v>
      </c>
      <c r="AM18" s="325">
        <v>6551.92</v>
      </c>
      <c r="AN18" s="325">
        <v>15191.490000000002</v>
      </c>
      <c r="AO18" s="325">
        <v>23573.14</v>
      </c>
      <c r="AP18" s="325">
        <v>17747.38</v>
      </c>
      <c r="AQ18" s="325">
        <v>19186.41</v>
      </c>
      <c r="AR18" s="325">
        <v>19064.63</v>
      </c>
      <c r="AS18" s="325">
        <v>15887.220000000001</v>
      </c>
      <c r="AT18" s="325">
        <v>19733.099999999999</v>
      </c>
      <c r="AU18" s="325">
        <v>20609.830000000002</v>
      </c>
      <c r="AV18" s="325">
        <v>12804.8</v>
      </c>
      <c r="AW18" s="325">
        <v>20004.21</v>
      </c>
      <c r="AX18" s="325">
        <v>29681.439999999999</v>
      </c>
      <c r="AY18" s="325">
        <v>15525.17</v>
      </c>
      <c r="AZ18" s="340"/>
      <c r="BA18" s="325">
        <v>15603.640000000001</v>
      </c>
      <c r="BB18" s="325">
        <v>15246.84</v>
      </c>
      <c r="BC18" s="325">
        <v>22490.969999999998</v>
      </c>
      <c r="BE18" s="323">
        <v>9569</v>
      </c>
      <c r="BF18" s="323"/>
    </row>
    <row r="19" spans="1:58" x14ac:dyDescent="0.25">
      <c r="B19" s="341" t="s">
        <v>175</v>
      </c>
      <c r="C19" s="379"/>
      <c r="D19" s="379"/>
      <c r="E19" s="379"/>
      <c r="F19" s="379"/>
      <c r="G19" s="379"/>
      <c r="H19" s="379"/>
      <c r="I19" s="323">
        <v>7050</v>
      </c>
      <c r="J19" s="323">
        <v>28716</v>
      </c>
      <c r="K19" s="323">
        <v>19165</v>
      </c>
      <c r="L19" s="323">
        <v>4100</v>
      </c>
      <c r="M19" s="323">
        <v>51520.83</v>
      </c>
      <c r="N19" s="323">
        <v>16766.88</v>
      </c>
      <c r="O19" s="323">
        <v>12775</v>
      </c>
      <c r="P19" s="323">
        <v>6564</v>
      </c>
      <c r="Q19" s="323">
        <v>10326.66</v>
      </c>
      <c r="R19" s="323">
        <v>33868</v>
      </c>
      <c r="S19" s="400">
        <v>14125</v>
      </c>
      <c r="T19" s="400">
        <v>11881.34</v>
      </c>
      <c r="U19" s="400">
        <v>11063.6</v>
      </c>
      <c r="V19" s="400">
        <v>15720</v>
      </c>
      <c r="W19" s="400">
        <v>10555.75</v>
      </c>
      <c r="X19" s="400">
        <v>7488</v>
      </c>
      <c r="Y19" s="400">
        <v>12738</v>
      </c>
      <c r="Z19" s="400">
        <v>13360</v>
      </c>
      <c r="AA19" s="400">
        <v>14800</v>
      </c>
      <c r="AB19" s="400">
        <v>10817</v>
      </c>
      <c r="AC19" s="400">
        <v>14042.85</v>
      </c>
      <c r="AD19" s="400">
        <v>20555</v>
      </c>
      <c r="AE19" s="400">
        <v>5417</v>
      </c>
      <c r="AF19" s="400">
        <v>11150</v>
      </c>
      <c r="AG19" s="400">
        <v>21791</v>
      </c>
      <c r="AH19" s="325">
        <v>8743.3199999999979</v>
      </c>
      <c r="AI19" s="325">
        <v>11487.81</v>
      </c>
      <c r="AJ19" s="325">
        <v>15677.299999999996</v>
      </c>
      <c r="AK19" s="325">
        <v>7872.16</v>
      </c>
      <c r="AL19" s="325">
        <v>8727.14</v>
      </c>
      <c r="AM19" s="325">
        <v>4186.16</v>
      </c>
      <c r="AN19" s="325">
        <v>9196.9699999999993</v>
      </c>
      <c r="AO19" s="325">
        <v>14351.900000000001</v>
      </c>
      <c r="AP19" s="325">
        <v>13511.27</v>
      </c>
      <c r="AQ19" s="325">
        <v>9972.630000000001</v>
      </c>
      <c r="AR19" s="325">
        <v>14505.7</v>
      </c>
      <c r="AS19" s="325">
        <v>8032.84</v>
      </c>
      <c r="AT19" s="325">
        <v>10965.759999999998</v>
      </c>
      <c r="AU19" s="325">
        <v>11093.86</v>
      </c>
      <c r="AV19" s="325">
        <v>11025.12</v>
      </c>
      <c r="AW19" s="325">
        <v>14416.97</v>
      </c>
      <c r="AX19" s="325">
        <v>13057.97</v>
      </c>
      <c r="AY19" s="325">
        <v>14914.93</v>
      </c>
      <c r="AZ19" s="340"/>
      <c r="BA19" s="325">
        <v>10247.41</v>
      </c>
      <c r="BB19" s="325">
        <v>9970.9</v>
      </c>
      <c r="BC19" s="325">
        <v>14662.169999999998</v>
      </c>
      <c r="BE19" s="323">
        <v>14777</v>
      </c>
      <c r="BF19" s="376"/>
    </row>
    <row r="20" spans="1:58" x14ac:dyDescent="0.25">
      <c r="B20" s="341" t="s">
        <v>163</v>
      </c>
      <c r="C20" s="379"/>
      <c r="D20" s="379"/>
      <c r="E20" s="379"/>
      <c r="F20" s="379"/>
      <c r="G20" s="379"/>
      <c r="H20" s="379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5"/>
      <c r="AI20" s="325"/>
      <c r="AJ20" s="399"/>
      <c r="AK20" s="325"/>
      <c r="AL20" s="325"/>
      <c r="AM20" s="325"/>
      <c r="AN20" s="325"/>
      <c r="AO20" s="325"/>
      <c r="AP20" s="325"/>
      <c r="AQ20" s="325"/>
      <c r="AR20" s="325"/>
      <c r="AS20" s="325"/>
      <c r="AT20" s="325"/>
      <c r="AU20" s="325"/>
      <c r="AV20" s="325"/>
      <c r="AW20" s="325"/>
      <c r="AX20" s="325"/>
      <c r="AY20" s="325"/>
      <c r="AZ20" s="340"/>
      <c r="BA20" s="325"/>
      <c r="BB20" s="325"/>
      <c r="BC20" s="325"/>
      <c r="BE20" s="323"/>
      <c r="BF20" s="376"/>
    </row>
    <row r="21" spans="1:58" x14ac:dyDescent="0.25">
      <c r="A21" s="318" t="s">
        <v>149</v>
      </c>
      <c r="B21" s="341" t="s">
        <v>136</v>
      </c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25">
        <v>4655.79</v>
      </c>
      <c r="AI21" s="325">
        <v>14533.35</v>
      </c>
      <c r="AJ21" s="325">
        <v>10927.039999999999</v>
      </c>
      <c r="AK21" s="325">
        <v>5966.119999999999</v>
      </c>
      <c r="AL21" s="325">
        <v>6753.54</v>
      </c>
      <c r="AM21" s="325">
        <v>3821.92</v>
      </c>
      <c r="AN21" s="325">
        <v>9822.3700000000008</v>
      </c>
      <c r="AO21" s="325">
        <v>12596.93</v>
      </c>
      <c r="AP21" s="325">
        <v>11465.749999999998</v>
      </c>
      <c r="AQ21" s="325">
        <v>9955.9399999999987</v>
      </c>
      <c r="AR21" s="325">
        <v>12446.69</v>
      </c>
      <c r="AS21" s="325">
        <v>12388.510000000002</v>
      </c>
      <c r="AT21" s="325">
        <v>10871.23</v>
      </c>
      <c r="AU21" s="325">
        <v>12060.27</v>
      </c>
      <c r="AV21" s="325">
        <v>10191.790000000001</v>
      </c>
      <c r="AW21" s="325">
        <v>8917.8100000000013</v>
      </c>
      <c r="AX21" s="325">
        <v>14705.16</v>
      </c>
      <c r="AY21" s="325">
        <v>16241.52</v>
      </c>
      <c r="AZ21" s="340"/>
      <c r="BA21" s="325">
        <v>10124.640000000001</v>
      </c>
      <c r="BB21" s="325">
        <v>10124.640000000001</v>
      </c>
      <c r="BC21" s="325">
        <v>11962.22</v>
      </c>
      <c r="BE21" s="323"/>
      <c r="BF21" s="376"/>
    </row>
    <row r="22" spans="1:58" x14ac:dyDescent="0.25">
      <c r="I22" s="339"/>
      <c r="J22" s="339"/>
      <c r="K22" s="339"/>
      <c r="L22" s="339"/>
      <c r="M22" s="339"/>
      <c r="N22" s="339"/>
      <c r="O22" s="339"/>
      <c r="P22" s="339"/>
      <c r="Q22" s="339"/>
      <c r="S22" s="339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39"/>
      <c r="AR22" s="339"/>
      <c r="AS22" s="339"/>
      <c r="AT22" s="339"/>
      <c r="AU22" s="339"/>
      <c r="AV22" s="339"/>
      <c r="AW22" s="339"/>
      <c r="AX22" s="339"/>
      <c r="AY22" s="339"/>
      <c r="AZ22" s="339"/>
      <c r="BA22" s="339"/>
      <c r="BB22" s="339"/>
      <c r="BC22" s="339"/>
      <c r="BE22" s="323"/>
    </row>
    <row r="23" spans="1:58" x14ac:dyDescent="0.25">
      <c r="B23" s="342" t="s">
        <v>67</v>
      </c>
      <c r="C23" s="319"/>
      <c r="D23" s="319"/>
      <c r="E23" s="319"/>
      <c r="F23" s="319"/>
      <c r="G23" s="319"/>
      <c r="H23" s="319"/>
      <c r="I23" s="319" t="s">
        <v>8</v>
      </c>
      <c r="J23" s="319" t="s">
        <v>9</v>
      </c>
      <c r="K23" s="319" t="s">
        <v>10</v>
      </c>
      <c r="L23" s="319" t="s">
        <v>114</v>
      </c>
      <c r="M23" s="319" t="s">
        <v>12</v>
      </c>
      <c r="N23" s="319" t="s">
        <v>13</v>
      </c>
      <c r="O23" s="319" t="s">
        <v>14</v>
      </c>
      <c r="P23" s="319" t="s">
        <v>15</v>
      </c>
      <c r="Q23" s="319" t="s">
        <v>16</v>
      </c>
      <c r="R23" s="319" t="s">
        <v>17</v>
      </c>
      <c r="S23" s="319" t="s">
        <v>18</v>
      </c>
      <c r="T23" s="319" t="s">
        <v>19</v>
      </c>
      <c r="U23" s="319" t="s">
        <v>20</v>
      </c>
      <c r="V23" s="319" t="s">
        <v>21</v>
      </c>
      <c r="W23" s="319" t="s">
        <v>22</v>
      </c>
      <c r="X23" s="319" t="s">
        <v>23</v>
      </c>
      <c r="Y23" s="319" t="s">
        <v>24</v>
      </c>
      <c r="Z23" s="319" t="s">
        <v>25</v>
      </c>
      <c r="AA23" s="319" t="s">
        <v>26</v>
      </c>
      <c r="AB23" s="319" t="s">
        <v>27</v>
      </c>
      <c r="AC23" s="319" t="s">
        <v>28</v>
      </c>
      <c r="AD23" s="319" t="s">
        <v>29</v>
      </c>
      <c r="AE23" s="319" t="s">
        <v>30</v>
      </c>
      <c r="AF23" s="319" t="s">
        <v>31</v>
      </c>
      <c r="AG23" s="319" t="s">
        <v>32</v>
      </c>
      <c r="AH23" s="319" t="s">
        <v>34</v>
      </c>
      <c r="AI23" s="319" t="s">
        <v>35</v>
      </c>
      <c r="AJ23" s="319" t="s">
        <v>36</v>
      </c>
      <c r="AK23" s="319" t="s">
        <v>37</v>
      </c>
      <c r="AL23" s="319" t="s">
        <v>38</v>
      </c>
      <c r="AM23" s="319" t="s">
        <v>39</v>
      </c>
      <c r="AN23" s="319" t="s">
        <v>33</v>
      </c>
      <c r="AO23" s="319" t="s">
        <v>40</v>
      </c>
      <c r="AP23" s="319" t="s">
        <v>41</v>
      </c>
      <c r="AQ23" s="319" t="s">
        <v>42</v>
      </c>
      <c r="AR23" s="319" t="s">
        <v>43</v>
      </c>
      <c r="AS23" s="319" t="s">
        <v>44</v>
      </c>
      <c r="AT23" s="319" t="s">
        <v>45</v>
      </c>
      <c r="AU23" s="319" t="s">
        <v>46</v>
      </c>
      <c r="AV23" s="319" t="s">
        <v>47</v>
      </c>
      <c r="AW23" s="319" t="s">
        <v>48</v>
      </c>
      <c r="AX23" s="319" t="s">
        <v>49</v>
      </c>
      <c r="AY23" s="319" t="s">
        <v>50</v>
      </c>
      <c r="AZ23" s="321" t="s">
        <v>51</v>
      </c>
      <c r="BA23" s="319" t="s">
        <v>52</v>
      </c>
      <c r="BB23" s="319" t="s">
        <v>53</v>
      </c>
      <c r="BC23" s="319" t="s">
        <v>54</v>
      </c>
      <c r="BE23" s="377" t="s">
        <v>158</v>
      </c>
    </row>
    <row r="24" spans="1:58" x14ac:dyDescent="0.25">
      <c r="B24" s="341" t="s">
        <v>62</v>
      </c>
      <c r="C24" s="323"/>
      <c r="D24" s="323"/>
      <c r="E24" s="323"/>
      <c r="F24" s="323"/>
      <c r="G24" s="323"/>
      <c r="H24" s="323"/>
      <c r="I24" s="323">
        <v>-3643.2400000000089</v>
      </c>
      <c r="J24" s="323">
        <v>-15752.880000000012</v>
      </c>
      <c r="K24" s="323">
        <v>-21407.580000000016</v>
      </c>
      <c r="L24" s="323">
        <v>6186.14</v>
      </c>
      <c r="M24" s="323">
        <v>-13408.05999999999</v>
      </c>
      <c r="N24" s="323">
        <v>-2880.6299999999937</v>
      </c>
      <c r="O24" s="323">
        <v>-4236.2400000000016</v>
      </c>
      <c r="P24" s="323">
        <v>2796.3500000000004</v>
      </c>
      <c r="Q24" s="323">
        <v>-7260.1499999999905</v>
      </c>
      <c r="R24" s="323">
        <v>-1027.2299999999996</v>
      </c>
      <c r="S24" s="323">
        <v>-3100.7100000000064</v>
      </c>
      <c r="T24" s="323">
        <v>-3779.9800000000032</v>
      </c>
      <c r="U24" s="323">
        <v>-110.10999999999331</v>
      </c>
      <c r="V24" s="323">
        <v>-5057.0200000000004</v>
      </c>
      <c r="W24" s="323">
        <v>8210.9500000000025</v>
      </c>
      <c r="X24" s="323">
        <v>-5069.2300000000032</v>
      </c>
      <c r="Y24" s="323">
        <v>-22449.760000000006</v>
      </c>
      <c r="Z24" s="323">
        <v>-15197.249999999995</v>
      </c>
      <c r="AA24" s="323">
        <v>-7507.6899999999987</v>
      </c>
      <c r="AB24" s="323">
        <v>-9321.9599999999991</v>
      </c>
      <c r="AC24" s="323">
        <v>-6721.4099999999926</v>
      </c>
      <c r="AD24" s="323">
        <v>-23302.669999999995</v>
      </c>
      <c r="AE24" s="323">
        <v>1330.8000000000011</v>
      </c>
      <c r="AF24" s="323">
        <v>-795.64</v>
      </c>
      <c r="AG24" s="323">
        <v>-1285.08</v>
      </c>
      <c r="AH24" s="323">
        <v>-1864.5300000000007</v>
      </c>
      <c r="AI24" s="323">
        <v>22787.53</v>
      </c>
      <c r="AJ24" s="323">
        <v>7436.3399999999992</v>
      </c>
      <c r="AK24" s="323">
        <v>-272.28000000000156</v>
      </c>
      <c r="AL24" s="323">
        <v>3083.9600000000028</v>
      </c>
      <c r="AM24" s="323">
        <v>5503.6</v>
      </c>
      <c r="AN24" s="323">
        <v>-694.22000000000298</v>
      </c>
      <c r="AO24" s="323">
        <v>-2596.5999999999985</v>
      </c>
      <c r="AP24" s="323">
        <v>-24257.489999999994</v>
      </c>
      <c r="AQ24" s="323">
        <v>-7949.2799999999988</v>
      </c>
      <c r="AR24" s="323">
        <v>-6479.5299999999952</v>
      </c>
      <c r="AS24" s="323">
        <v>-6915.0800000000017</v>
      </c>
      <c r="AT24" s="323">
        <v>-5798.8499999999985</v>
      </c>
      <c r="AU24" s="323">
        <v>-106.05999999999403</v>
      </c>
      <c r="AV24" s="323">
        <v>-2267.5500000000065</v>
      </c>
      <c r="AW24" s="323">
        <v>-11959.48</v>
      </c>
      <c r="AX24" s="323">
        <v>-4507.4200000000019</v>
      </c>
      <c r="AY24" s="323">
        <v>-9372.4700000000084</v>
      </c>
      <c r="AZ24" s="326">
        <v>0</v>
      </c>
      <c r="BA24" s="323">
        <v>-4092.8600000000115</v>
      </c>
      <c r="BB24" s="323">
        <v>-1578.239999999998</v>
      </c>
      <c r="BC24" s="323">
        <v>3986.2700000000004</v>
      </c>
      <c r="BD24" s="323"/>
      <c r="BE24" s="323">
        <v>-939.79000000000451</v>
      </c>
    </row>
    <row r="25" spans="1:58" x14ac:dyDescent="0.25">
      <c r="B25" s="341" t="s">
        <v>63</v>
      </c>
      <c r="C25" s="323"/>
      <c r="D25" s="323"/>
      <c r="E25" s="323"/>
      <c r="F25" s="323"/>
      <c r="G25" s="323"/>
      <c r="H25" s="323"/>
      <c r="I25" s="323">
        <v>-5956.29</v>
      </c>
      <c r="J25" s="323">
        <v>1105.3600000000001</v>
      </c>
      <c r="K25" s="323">
        <v>1650.37</v>
      </c>
      <c r="L25" s="323">
        <v>-12718.43</v>
      </c>
      <c r="M25" s="323">
        <v>-3766.9599999999991</v>
      </c>
      <c r="N25" s="323">
        <v>-17507</v>
      </c>
      <c r="O25" s="323">
        <v>-18545.38</v>
      </c>
      <c r="P25" s="323">
        <v>-6816.6599999999989</v>
      </c>
      <c r="Q25" s="323">
        <v>-6839.9000000000087</v>
      </c>
      <c r="R25" s="323">
        <v>0</v>
      </c>
      <c r="S25" s="323">
        <v>-3567.5699999999997</v>
      </c>
      <c r="T25" s="323">
        <v>4909.09</v>
      </c>
      <c r="U25" s="323">
        <v>-3643.4200000000005</v>
      </c>
      <c r="V25" s="323">
        <v>-1085.71</v>
      </c>
      <c r="W25" s="323">
        <v>-6910.9100000000008</v>
      </c>
      <c r="X25" s="323">
        <v>-9860.0400000000009</v>
      </c>
      <c r="Y25" s="323">
        <v>-7660.17</v>
      </c>
      <c r="Z25" s="323">
        <v>-8766.5099999999948</v>
      </c>
      <c r="AA25" s="323">
        <v>-8187.1999999999971</v>
      </c>
      <c r="AB25" s="323">
        <v>-710.54000000000087</v>
      </c>
      <c r="AC25" s="323">
        <v>6636.76</v>
      </c>
      <c r="AD25" s="323">
        <v>-23510.090000000004</v>
      </c>
      <c r="AE25" s="323">
        <v>-6898.2300000000005</v>
      </c>
      <c r="AF25" s="323">
        <v>0</v>
      </c>
      <c r="AG25" s="323">
        <v>0</v>
      </c>
      <c r="AH25" s="323">
        <v>-11071.50548</v>
      </c>
      <c r="AI25" s="323">
        <v>-79205.196360000002</v>
      </c>
      <c r="AJ25" s="323">
        <v>-4400.4706000000006</v>
      </c>
      <c r="AK25" s="323">
        <v>-8946.5755600000011</v>
      </c>
      <c r="AL25" s="323">
        <v>-17139.884999999998</v>
      </c>
      <c r="AM25" s="323">
        <v>-17909.718639999999</v>
      </c>
      <c r="AN25" s="323">
        <v>-13425.959879999997</v>
      </c>
      <c r="AO25" s="323">
        <v>-99520.502959999998</v>
      </c>
      <c r="AP25" s="323">
        <v>-66018.610240000009</v>
      </c>
      <c r="AQ25" s="323">
        <v>-17382.778639999997</v>
      </c>
      <c r="AR25" s="323">
        <v>-146905.98611999999</v>
      </c>
      <c r="AS25" s="323">
        <v>-16962.694240000004</v>
      </c>
      <c r="AT25" s="323">
        <v>-72281.319279999996</v>
      </c>
      <c r="AU25" s="323">
        <v>-114490.94440000002</v>
      </c>
      <c r="AV25" s="323">
        <v>-49159.103479999991</v>
      </c>
      <c r="AW25" s="323">
        <v>-39056.796639999993</v>
      </c>
      <c r="AX25" s="323">
        <v>-27754.183719999986</v>
      </c>
      <c r="AY25" s="323">
        <v>-171435.81432000003</v>
      </c>
      <c r="AZ25" s="326">
        <v>0</v>
      </c>
      <c r="BA25" s="323">
        <v>-13854.609319999998</v>
      </c>
      <c r="BB25" s="323">
        <v>-2364.4719599999989</v>
      </c>
      <c r="BC25" s="323">
        <v>-86799.109960000016</v>
      </c>
      <c r="BD25" s="323"/>
      <c r="BE25" s="323">
        <v>-25406.340000000004</v>
      </c>
    </row>
    <row r="26" spans="1:58" x14ac:dyDescent="0.25">
      <c r="B26" s="341" t="s">
        <v>64</v>
      </c>
      <c r="C26" s="323"/>
      <c r="D26" s="323"/>
      <c r="E26" s="323"/>
      <c r="F26" s="323"/>
      <c r="G26" s="323"/>
      <c r="H26" s="323"/>
      <c r="I26" s="323">
        <v>0</v>
      </c>
      <c r="J26" s="323">
        <v>-2147</v>
      </c>
      <c r="K26" s="323">
        <v>6363.68</v>
      </c>
      <c r="L26" s="323">
        <v>1600</v>
      </c>
      <c r="M26" s="323">
        <v>-7829.4900000000007</v>
      </c>
      <c r="N26" s="323">
        <v>2825.09</v>
      </c>
      <c r="O26" s="323">
        <v>33613.33</v>
      </c>
      <c r="P26" s="323">
        <v>12515.509999999998</v>
      </c>
      <c r="Q26" s="323">
        <v>62857.169999999991</v>
      </c>
      <c r="R26" s="323">
        <v>-32780.069999999949</v>
      </c>
      <c r="S26" s="323">
        <v>0</v>
      </c>
      <c r="T26" s="323">
        <v>-215.8</v>
      </c>
      <c r="U26" s="323">
        <v>0</v>
      </c>
      <c r="V26" s="323">
        <v>-304</v>
      </c>
      <c r="W26" s="323">
        <v>0</v>
      </c>
      <c r="X26" s="323">
        <v>5921.25</v>
      </c>
      <c r="Y26" s="323">
        <v>0</v>
      </c>
      <c r="Z26" s="323">
        <v>20417.699999999997</v>
      </c>
      <c r="AA26" s="323">
        <v>-37085.359999999986</v>
      </c>
      <c r="AB26" s="323">
        <v>8528.0799999999872</v>
      </c>
      <c r="AC26" s="323">
        <v>-41237.359999999957</v>
      </c>
      <c r="AD26" s="323">
        <v>3889.6500000000015</v>
      </c>
      <c r="AE26" s="323">
        <v>-32781.599999999991</v>
      </c>
      <c r="AF26" s="323">
        <v>30687.050000000047</v>
      </c>
      <c r="AG26" s="323">
        <v>34664.449999999721</v>
      </c>
      <c r="AH26" s="323">
        <v>-44634.22</v>
      </c>
      <c r="AI26" s="323">
        <v>-81510.969999999987</v>
      </c>
      <c r="AJ26" s="323">
        <v>-13381.669999999996</v>
      </c>
      <c r="AK26" s="323">
        <v>3459.5699999999997</v>
      </c>
      <c r="AL26" s="323">
        <v>-52376.069999999978</v>
      </c>
      <c r="AM26" s="323">
        <v>-42200.56</v>
      </c>
      <c r="AN26" s="323">
        <v>-71022.01999999999</v>
      </c>
      <c r="AO26" s="323">
        <v>-132059.83000000002</v>
      </c>
      <c r="AP26" s="323">
        <v>-35031.900000000009</v>
      </c>
      <c r="AQ26" s="323">
        <v>-7672.7800000000061</v>
      </c>
      <c r="AR26" s="323">
        <v>-121430.34000000001</v>
      </c>
      <c r="AS26" s="323">
        <v>-105567.98999999999</v>
      </c>
      <c r="AT26" s="323">
        <v>-10953.14</v>
      </c>
      <c r="AU26" s="323">
        <v>-39547.869999999988</v>
      </c>
      <c r="AV26" s="323">
        <v>-5630.48</v>
      </c>
      <c r="AW26" s="323">
        <v>-22036.83</v>
      </c>
      <c r="AX26" s="323">
        <v>-13482.71</v>
      </c>
      <c r="AY26" s="323">
        <v>-171234.32999999996</v>
      </c>
      <c r="AZ26" s="326">
        <v>0</v>
      </c>
      <c r="BA26" s="323">
        <v>-11581.969999999998</v>
      </c>
      <c r="BB26" s="323">
        <v>-26389.410000000003</v>
      </c>
      <c r="BC26" s="323">
        <v>-94604.150000000009</v>
      </c>
      <c r="BD26" s="323"/>
      <c r="BE26" s="323">
        <v>-7130.9700000000012</v>
      </c>
    </row>
    <row r="27" spans="1:58" x14ac:dyDescent="0.25">
      <c r="B27" s="347" t="s">
        <v>154</v>
      </c>
      <c r="C27" s="377"/>
      <c r="D27" s="377"/>
      <c r="E27" s="377"/>
      <c r="F27" s="377"/>
      <c r="G27" s="377"/>
      <c r="H27" s="377"/>
      <c r="I27" s="323">
        <v>4586.2099999999991</v>
      </c>
      <c r="J27" s="323">
        <v>609.05000000000655</v>
      </c>
      <c r="K27" s="323">
        <v>9374.7200000000012</v>
      </c>
      <c r="L27" s="323">
        <v>1383.8700000000003</v>
      </c>
      <c r="M27" s="323">
        <v>-927.31999999999971</v>
      </c>
      <c r="N27" s="323">
        <v>-3156.239999999998</v>
      </c>
      <c r="O27" s="323">
        <v>2382.6100000000006</v>
      </c>
      <c r="P27" s="323">
        <v>-256.09999999999945</v>
      </c>
      <c r="Q27" s="323">
        <v>853.30999999999767</v>
      </c>
      <c r="R27" s="323">
        <v>960.96999999999935</v>
      </c>
      <c r="S27" s="323">
        <v>10290.029999999999</v>
      </c>
      <c r="T27" s="323">
        <v>793.22999999999593</v>
      </c>
      <c r="U27" s="323">
        <v>-321.68999999999505</v>
      </c>
      <c r="V27" s="323">
        <v>-8135.93</v>
      </c>
      <c r="W27" s="323">
        <v>6319.3799999999992</v>
      </c>
      <c r="X27" s="323">
        <v>6568.8600000000006</v>
      </c>
      <c r="Y27" s="323">
        <v>-6923.9900000000052</v>
      </c>
      <c r="Z27" s="323">
        <v>743.26000000000204</v>
      </c>
      <c r="AA27" s="323">
        <v>-2656.16</v>
      </c>
      <c r="AB27" s="323">
        <v>-1378.7999999999993</v>
      </c>
      <c r="AC27" s="323">
        <v>1448.1599999999999</v>
      </c>
      <c r="AD27" s="323">
        <v>-10038.090000000004</v>
      </c>
      <c r="AE27" s="323">
        <v>2290.4399999999996</v>
      </c>
      <c r="AF27" s="323">
        <v>-9518.82</v>
      </c>
      <c r="AG27" s="323">
        <v>1394.7000000000007</v>
      </c>
      <c r="AH27" s="323">
        <v>-922.30000000001928</v>
      </c>
      <c r="AI27" s="323">
        <v>38100.719999999958</v>
      </c>
      <c r="AJ27" s="323">
        <v>59936.530000000013</v>
      </c>
      <c r="AK27" s="323">
        <v>3006.5900000000056</v>
      </c>
      <c r="AL27" s="323">
        <v>-14545.760000000028</v>
      </c>
      <c r="AM27" s="323">
        <v>8424.0499999999647</v>
      </c>
      <c r="AN27" s="323">
        <v>-5067.0200000000041</v>
      </c>
      <c r="AO27" s="323">
        <v>66740.379999999976</v>
      </c>
      <c r="AP27" s="323">
        <v>2755.8300000000418</v>
      </c>
      <c r="AQ27" s="323">
        <v>16283.059999999919</v>
      </c>
      <c r="AR27" s="323">
        <v>3578.109999999946</v>
      </c>
      <c r="AS27" s="323">
        <v>16780.220000000012</v>
      </c>
      <c r="AT27" s="323">
        <v>-19019.569999999952</v>
      </c>
      <c r="AU27" s="323">
        <v>19714.970000000023</v>
      </c>
      <c r="AV27" s="323">
        <v>4830.7799999999552</v>
      </c>
      <c r="AW27" s="323">
        <v>-2955.4099999999526</v>
      </c>
      <c r="AX27" s="323">
        <v>-4123.2099999999919</v>
      </c>
      <c r="AY27" s="323">
        <v>-43083.369999999981</v>
      </c>
      <c r="AZ27" s="326">
        <v>0</v>
      </c>
      <c r="BA27" s="323">
        <v>11330.529999999988</v>
      </c>
      <c r="BB27" s="323">
        <v>10695.250000000036</v>
      </c>
      <c r="BC27" s="323">
        <v>-5565.9499999999207</v>
      </c>
      <c r="BD27" s="323"/>
      <c r="BE27" s="323">
        <v>4230.2800000000025</v>
      </c>
    </row>
    <row r="28" spans="1:58" x14ac:dyDescent="0.25">
      <c r="B28" s="341" t="s">
        <v>176</v>
      </c>
      <c r="C28" s="323">
        <v>-8455</v>
      </c>
      <c r="D28" s="323">
        <v>24263.9</v>
      </c>
      <c r="E28" s="323">
        <v>5193.6100000000006</v>
      </c>
      <c r="F28" s="323">
        <v>4084</v>
      </c>
      <c r="G28" s="323">
        <v>-11222</v>
      </c>
      <c r="H28" s="323">
        <v>-82665.350000000006</v>
      </c>
      <c r="I28" s="323">
        <v>2597.7299999999987</v>
      </c>
      <c r="J28" s="323">
        <v>18449.310000000001</v>
      </c>
      <c r="K28" s="323">
        <v>14179.79</v>
      </c>
      <c r="L28" s="323">
        <v>-3952</v>
      </c>
      <c r="M28" s="323">
        <v>7641.9399999999987</v>
      </c>
      <c r="N28" s="323">
        <v>-3851.3999999999996</v>
      </c>
      <c r="O28" s="323">
        <v>-8015.0299999999988</v>
      </c>
      <c r="P28" s="323">
        <v>-9470.8000000000011</v>
      </c>
      <c r="Q28" s="323">
        <v>-2830.6099999999988</v>
      </c>
      <c r="R28" s="323">
        <v>2887.0000000000005</v>
      </c>
      <c r="S28" s="323">
        <v>-1703.9599999999991</v>
      </c>
      <c r="T28" s="323">
        <v>-3379.4199999999983</v>
      </c>
      <c r="U28" s="323">
        <v>548.86000000000058</v>
      </c>
      <c r="V28" s="323">
        <v>2504.4100000000003</v>
      </c>
      <c r="W28" s="323">
        <v>-431.07000000000062</v>
      </c>
      <c r="X28" s="323">
        <v>3067.91</v>
      </c>
      <c r="Y28" s="323">
        <v>5882.79</v>
      </c>
      <c r="Z28" s="323">
        <v>2600.8900000000003</v>
      </c>
      <c r="AA28" s="323">
        <v>-14306.93</v>
      </c>
      <c r="AB28" s="323">
        <v>-2832.3000000000011</v>
      </c>
      <c r="AC28" s="323">
        <v>-6351.4500000000007</v>
      </c>
      <c r="AD28" s="323">
        <v>2524.4400000000005</v>
      </c>
      <c r="AE28" s="323">
        <v>2048.4199999999996</v>
      </c>
      <c r="AF28" s="323">
        <v>-854.48999999999796</v>
      </c>
      <c r="AG28" s="323">
        <v>-15878.219999999998</v>
      </c>
      <c r="AH28" s="323">
        <v>-15058.96</v>
      </c>
      <c r="AI28" s="323">
        <v>-15650.370000000003</v>
      </c>
      <c r="AJ28" s="323">
        <v>-5280.4399999999969</v>
      </c>
      <c r="AK28" s="323">
        <v>1856.0399999999991</v>
      </c>
      <c r="AL28" s="323">
        <v>-2382.4599999999973</v>
      </c>
      <c r="AM28" s="323">
        <v>-13033.769999999999</v>
      </c>
      <c r="AN28" s="323">
        <v>-1600.0599999999977</v>
      </c>
      <c r="AO28" s="323">
        <v>25311.75</v>
      </c>
      <c r="AP28" s="323">
        <v>-30211.09</v>
      </c>
      <c r="AQ28" s="323">
        <v>-19263.790000000005</v>
      </c>
      <c r="AR28" s="323">
        <v>1307.6100000000042</v>
      </c>
      <c r="AS28" s="323">
        <v>-12189.07</v>
      </c>
      <c r="AT28" s="323">
        <v>2010.8299999999981</v>
      </c>
      <c r="AU28" s="323">
        <v>-61067.06</v>
      </c>
      <c r="AV28" s="323">
        <v>49299.3</v>
      </c>
      <c r="AW28" s="323">
        <v>-5038.25</v>
      </c>
      <c r="AX28" s="323">
        <v>-29870.639999999996</v>
      </c>
      <c r="AY28" s="323">
        <v>9675.68</v>
      </c>
      <c r="AZ28" s="326">
        <v>0</v>
      </c>
      <c r="BA28" s="323">
        <v>-18113.919999999998</v>
      </c>
      <c r="BB28" s="323">
        <v>-15742.559999999998</v>
      </c>
      <c r="BC28" s="323">
        <v>-58691.64</v>
      </c>
      <c r="BD28" s="323"/>
      <c r="BE28" s="323">
        <v>4293.17</v>
      </c>
    </row>
    <row r="29" spans="1:58" x14ac:dyDescent="0.25">
      <c r="B29" s="341" t="s">
        <v>173</v>
      </c>
      <c r="C29" s="323"/>
      <c r="D29" s="323"/>
      <c r="E29" s="323"/>
      <c r="F29" s="323"/>
      <c r="G29" s="323"/>
      <c r="H29" s="323"/>
      <c r="I29" s="323">
        <v>-198.3799999999992</v>
      </c>
      <c r="J29" s="323">
        <v>10678.64</v>
      </c>
      <c r="K29" s="323">
        <v>6331</v>
      </c>
      <c r="L29" s="323">
        <v>8594.1700000000019</v>
      </c>
      <c r="M29" s="323">
        <v>16451.989999999998</v>
      </c>
      <c r="N29" s="323">
        <v>976.63999999999942</v>
      </c>
      <c r="O29" s="323">
        <v>5002.59</v>
      </c>
      <c r="P29" s="323">
        <v>2361.8599999999997</v>
      </c>
      <c r="Q29" s="323">
        <v>-83.079999999999927</v>
      </c>
      <c r="R29" s="323">
        <v>-1223.1800000000003</v>
      </c>
      <c r="S29" s="323">
        <v>-2967.5099999999984</v>
      </c>
      <c r="T29" s="323">
        <v>5508.53</v>
      </c>
      <c r="U29" s="323">
        <v>-1035.9400000000005</v>
      </c>
      <c r="V29" s="323">
        <v>6574.880000000001</v>
      </c>
      <c r="W29" s="323">
        <v>2717.2</v>
      </c>
      <c r="X29" s="323">
        <v>2088.58</v>
      </c>
      <c r="Y29" s="323">
        <v>5319.6</v>
      </c>
      <c r="Z29" s="323">
        <v>-3044.59</v>
      </c>
      <c r="AA29" s="323">
        <v>2285.0999999999985</v>
      </c>
      <c r="AB29" s="323">
        <v>-6722.380000000001</v>
      </c>
      <c r="AC29" s="323">
        <v>-549.63000000000102</v>
      </c>
      <c r="AD29" s="323">
        <v>13195.17</v>
      </c>
      <c r="AE29" s="323">
        <v>1499.8500000000004</v>
      </c>
      <c r="AF29" s="323">
        <v>5332.71</v>
      </c>
      <c r="AG29" s="323">
        <v>-3872.9799999999996</v>
      </c>
      <c r="AH29" s="323">
        <v>-12219.119999999997</v>
      </c>
      <c r="AI29" s="323">
        <v>234.85000000000036</v>
      </c>
      <c r="AJ29" s="323">
        <v>-16759.240000000005</v>
      </c>
      <c r="AK29" s="323">
        <v>1823.2399999999998</v>
      </c>
      <c r="AL29" s="323">
        <v>-6631.7199999999993</v>
      </c>
      <c r="AM29" s="323">
        <v>-456.6200000000008</v>
      </c>
      <c r="AN29" s="323">
        <v>4160.4199999999992</v>
      </c>
      <c r="AO29" s="323">
        <v>3994.1200000000008</v>
      </c>
      <c r="AP29" s="323">
        <v>3842.8599999999969</v>
      </c>
      <c r="AQ29" s="323">
        <v>-1558.6699999999983</v>
      </c>
      <c r="AR29" s="323">
        <v>-6196.5700000000033</v>
      </c>
      <c r="AS29" s="323">
        <v>-8266.83</v>
      </c>
      <c r="AT29" s="323">
        <v>5758.0999999999985</v>
      </c>
      <c r="AU29" s="323">
        <v>2702.130000000001</v>
      </c>
      <c r="AV29" s="323">
        <v>-8357.08</v>
      </c>
      <c r="AW29" s="323">
        <v>1107.5699999999979</v>
      </c>
      <c r="AX29" s="323">
        <v>-5939.0699999999979</v>
      </c>
      <c r="AY29" s="323">
        <v>11349.929999999997</v>
      </c>
      <c r="AZ29" s="323">
        <v>0</v>
      </c>
      <c r="BA29" s="323">
        <v>5141.1600000000008</v>
      </c>
      <c r="BB29" s="323">
        <v>-2940.9300000000003</v>
      </c>
      <c r="BC29" s="323">
        <v>-9698.0999999999985</v>
      </c>
      <c r="BD29" s="323"/>
      <c r="BE29" s="323">
        <v>2321.4500000000007</v>
      </c>
    </row>
    <row r="30" spans="1:58" x14ac:dyDescent="0.25">
      <c r="B30" s="341" t="s">
        <v>167</v>
      </c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>
        <v>0</v>
      </c>
      <c r="AI30" s="323">
        <v>0</v>
      </c>
      <c r="AJ30" s="323">
        <v>0</v>
      </c>
      <c r="AK30" s="323">
        <v>0</v>
      </c>
      <c r="AL30" s="323">
        <v>0</v>
      </c>
      <c r="AM30" s="323">
        <v>0</v>
      </c>
      <c r="AN30" s="323">
        <v>0</v>
      </c>
      <c r="AO30" s="323">
        <v>0</v>
      </c>
      <c r="AP30" s="323">
        <v>0</v>
      </c>
      <c r="AQ30" s="323">
        <v>0</v>
      </c>
      <c r="AR30" s="323">
        <v>0</v>
      </c>
      <c r="AS30" s="323">
        <v>0</v>
      </c>
      <c r="AT30" s="323">
        <v>0</v>
      </c>
      <c r="AU30" s="323">
        <v>0</v>
      </c>
      <c r="AV30" s="323">
        <v>0</v>
      </c>
      <c r="AW30" s="323">
        <v>0</v>
      </c>
      <c r="AX30" s="323">
        <v>0</v>
      </c>
      <c r="AY30" s="323">
        <v>0</v>
      </c>
      <c r="AZ30" s="323">
        <v>0</v>
      </c>
      <c r="BA30" s="323">
        <v>0</v>
      </c>
      <c r="BB30" s="323">
        <v>0</v>
      </c>
      <c r="BC30" s="323">
        <v>0</v>
      </c>
      <c r="BD30" s="323"/>
      <c r="BE30" s="323"/>
    </row>
    <row r="31" spans="1:58" x14ac:dyDescent="0.25">
      <c r="B31" s="341" t="s">
        <v>136</v>
      </c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>
        <v>-412.98999999999978</v>
      </c>
      <c r="AI31" s="323">
        <v>530.96999999999935</v>
      </c>
      <c r="AJ31" s="323">
        <v>7408.9399999999987</v>
      </c>
      <c r="AK31" s="323">
        <v>-6022.2000000000007</v>
      </c>
      <c r="AL31" s="323">
        <v>-326.07000000000062</v>
      </c>
      <c r="AM31" s="323">
        <v>331.2800000000002</v>
      </c>
      <c r="AN31" s="323">
        <v>860.14000000000124</v>
      </c>
      <c r="AO31" s="323">
        <v>4433.3599999999997</v>
      </c>
      <c r="AP31" s="323">
        <v>4366.5699999999979</v>
      </c>
      <c r="AQ31" s="323">
        <v>-245.42000000000007</v>
      </c>
      <c r="AR31" s="323">
        <v>605.82000000000153</v>
      </c>
      <c r="AS31" s="323">
        <v>3053.8500000000022</v>
      </c>
      <c r="AT31" s="323">
        <v>3411.3499999999995</v>
      </c>
      <c r="AU31" s="323">
        <v>6375.16</v>
      </c>
      <c r="AV31" s="323">
        <v>1480.4500000000025</v>
      </c>
      <c r="AW31" s="323">
        <v>738.95000000000073</v>
      </c>
      <c r="AX31" s="323">
        <v>5605.7099999999991</v>
      </c>
      <c r="AY31" s="323">
        <v>-335.52999999999884</v>
      </c>
      <c r="AZ31" s="326">
        <v>0</v>
      </c>
      <c r="BA31" s="323">
        <v>5004.8800000000019</v>
      </c>
      <c r="BB31" s="323">
        <v>3955.6600000000008</v>
      </c>
      <c r="BC31" s="323">
        <v>2832.2100000000009</v>
      </c>
      <c r="BD31" s="384"/>
      <c r="BE31" s="323"/>
    </row>
    <row r="32" spans="1:58" x14ac:dyDescent="0.25">
      <c r="I32" s="343"/>
      <c r="AH32" s="343"/>
      <c r="AI32" s="343"/>
      <c r="AJ32" s="343"/>
      <c r="AK32" s="343"/>
      <c r="AL32" s="343"/>
      <c r="AM32" s="343"/>
      <c r="AN32" s="343"/>
      <c r="AO32" s="343"/>
      <c r="AP32" s="343"/>
      <c r="AQ32" s="343"/>
      <c r="AR32" s="343"/>
      <c r="AS32" s="343"/>
      <c r="AT32" s="343"/>
      <c r="AU32" s="343"/>
      <c r="AV32" s="343"/>
      <c r="AW32" s="343"/>
      <c r="AX32" s="343"/>
      <c r="AY32" s="343"/>
      <c r="AZ32" s="343"/>
      <c r="BA32" s="343"/>
      <c r="BB32" s="343"/>
      <c r="BC32" s="343"/>
    </row>
    <row r="33" spans="2:57" x14ac:dyDescent="0.25">
      <c r="B33" s="342" t="s">
        <v>127</v>
      </c>
      <c r="C33" s="320" t="s">
        <v>2</v>
      </c>
      <c r="D33" s="320" t="s">
        <v>3</v>
      </c>
      <c r="E33" s="320" t="s">
        <v>4</v>
      </c>
      <c r="F33" s="320" t="s">
        <v>5</v>
      </c>
      <c r="G33" s="320" t="s">
        <v>6</v>
      </c>
      <c r="H33" s="320" t="s">
        <v>7</v>
      </c>
      <c r="I33" s="319" t="s">
        <v>8</v>
      </c>
      <c r="J33" s="319" t="s">
        <v>9</v>
      </c>
      <c r="K33" s="319" t="s">
        <v>10</v>
      </c>
      <c r="L33" s="319" t="s">
        <v>114</v>
      </c>
      <c r="M33" s="319" t="s">
        <v>12</v>
      </c>
      <c r="N33" s="319" t="s">
        <v>13</v>
      </c>
      <c r="O33" s="319" t="s">
        <v>14</v>
      </c>
      <c r="P33" s="319" t="s">
        <v>15</v>
      </c>
      <c r="Q33" s="319" t="s">
        <v>16</v>
      </c>
      <c r="R33" s="319" t="s">
        <v>17</v>
      </c>
      <c r="S33" s="319" t="s">
        <v>18</v>
      </c>
      <c r="T33" s="319" t="s">
        <v>19</v>
      </c>
      <c r="U33" s="319" t="s">
        <v>20</v>
      </c>
      <c r="V33" s="319" t="s">
        <v>21</v>
      </c>
      <c r="W33" s="319" t="s">
        <v>22</v>
      </c>
      <c r="X33" s="319" t="s">
        <v>23</v>
      </c>
      <c r="Y33" s="319" t="s">
        <v>24</v>
      </c>
      <c r="Z33" s="319" t="s">
        <v>25</v>
      </c>
      <c r="AA33" s="319" t="s">
        <v>26</v>
      </c>
      <c r="AB33" s="319" t="s">
        <v>27</v>
      </c>
      <c r="AC33" s="319" t="s">
        <v>28</v>
      </c>
      <c r="AD33" s="319" t="s">
        <v>29</v>
      </c>
      <c r="AE33" s="319" t="s">
        <v>30</v>
      </c>
      <c r="AF33" s="319" t="s">
        <v>31</v>
      </c>
      <c r="AG33" s="319" t="s">
        <v>32</v>
      </c>
      <c r="AH33" s="319" t="s">
        <v>34</v>
      </c>
      <c r="AI33" s="319" t="s">
        <v>35</v>
      </c>
      <c r="AJ33" s="319" t="s">
        <v>36</v>
      </c>
      <c r="AK33" s="319" t="s">
        <v>37</v>
      </c>
      <c r="AL33" s="319" t="s">
        <v>38</v>
      </c>
      <c r="AM33" s="319" t="s">
        <v>39</v>
      </c>
      <c r="AN33" s="319" t="s">
        <v>33</v>
      </c>
      <c r="AO33" s="319" t="s">
        <v>40</v>
      </c>
      <c r="AP33" s="319" t="s">
        <v>41</v>
      </c>
      <c r="AQ33" s="319" t="s">
        <v>42</v>
      </c>
      <c r="AR33" s="319" t="s">
        <v>43</v>
      </c>
      <c r="AS33" s="319" t="s">
        <v>44</v>
      </c>
      <c r="AT33" s="319" t="s">
        <v>45</v>
      </c>
      <c r="AU33" s="319" t="s">
        <v>46</v>
      </c>
      <c r="AV33" s="319" t="s">
        <v>47</v>
      </c>
      <c r="AW33" s="319" t="s">
        <v>48</v>
      </c>
      <c r="AX33" s="319" t="s">
        <v>49</v>
      </c>
      <c r="AY33" s="319" t="s">
        <v>50</v>
      </c>
      <c r="AZ33" s="319" t="s">
        <v>51</v>
      </c>
      <c r="BA33" s="319" t="s">
        <v>52</v>
      </c>
      <c r="BB33" s="319" t="s">
        <v>53</v>
      </c>
      <c r="BC33" s="319" t="s">
        <v>54</v>
      </c>
    </row>
    <row r="34" spans="2:57" x14ac:dyDescent="0.25">
      <c r="B34" s="347" t="s">
        <v>62</v>
      </c>
      <c r="C34" s="339">
        <v>-62.329999999999927</v>
      </c>
      <c r="D34" s="339">
        <v>-7631.0300000000061</v>
      </c>
      <c r="E34" s="339">
        <v>19845.730000000003</v>
      </c>
      <c r="F34" s="339">
        <v>-1737.7899999999995</v>
      </c>
      <c r="G34" s="339">
        <v>-4109.6900000000005</v>
      </c>
      <c r="H34" s="339">
        <v>-5734.66</v>
      </c>
      <c r="I34" s="339">
        <v>-11274.970000000005</v>
      </c>
      <c r="J34" s="339">
        <v>-30024</v>
      </c>
      <c r="K34" s="339">
        <v>-38533.29000000003</v>
      </c>
      <c r="L34" s="339">
        <v>1928.8999999999996</v>
      </c>
      <c r="M34" s="339">
        <v>-12341.660000000003</v>
      </c>
      <c r="N34" s="339">
        <v>-8030.7699999999986</v>
      </c>
      <c r="O34" s="339">
        <v>-7984.2200000000012</v>
      </c>
      <c r="P34" s="339">
        <v>2419.0699999999997</v>
      </c>
      <c r="Q34" s="339">
        <v>-11608.609999999988</v>
      </c>
      <c r="R34" s="339">
        <v>456.83000000000038</v>
      </c>
      <c r="S34" s="339">
        <v>2612.2299999999959</v>
      </c>
      <c r="T34" s="339">
        <v>5255.6499999999978</v>
      </c>
      <c r="U34" s="339">
        <v>2165.1700000000019</v>
      </c>
      <c r="V34" s="339">
        <v>1286.8899999999994</v>
      </c>
      <c r="W34" s="339">
        <v>6295.65</v>
      </c>
      <c r="X34" s="339">
        <v>60.69999999999709</v>
      </c>
      <c r="Y34" s="339">
        <v>-6363.5000000000073</v>
      </c>
      <c r="Z34" s="339">
        <v>-5603.0499999999956</v>
      </c>
      <c r="AA34" s="339">
        <v>-3842.2799999999988</v>
      </c>
      <c r="AB34" s="339">
        <v>-4228.1100000000006</v>
      </c>
      <c r="AC34" s="339">
        <v>5771.8800000000047</v>
      </c>
      <c r="AD34" s="339">
        <v>-1268.9499999999971</v>
      </c>
      <c r="AE34" s="339">
        <v>4069.6300000000006</v>
      </c>
      <c r="AF34" s="339">
        <v>-423.64</v>
      </c>
      <c r="AG34" s="339">
        <v>-1339.8</v>
      </c>
      <c r="AH34" s="339">
        <v>1523.7399999999998</v>
      </c>
      <c r="AI34" s="339">
        <v>13671.979999999998</v>
      </c>
      <c r="AJ34" s="339">
        <v>1471.0299999999997</v>
      </c>
      <c r="AK34" s="339">
        <v>246.51999999999862</v>
      </c>
      <c r="AL34" s="339">
        <v>-4128.6799999999967</v>
      </c>
      <c r="AM34" s="339">
        <v>2163.96</v>
      </c>
      <c r="AN34" s="339">
        <v>3151.489999999998</v>
      </c>
      <c r="AO34" s="339">
        <v>-3716.4300000000039</v>
      </c>
      <c r="AP34" s="339">
        <v>-23246.399999999994</v>
      </c>
      <c r="AQ34" s="339">
        <v>-9315.5099999999984</v>
      </c>
      <c r="AR34" s="339">
        <v>-10727.859999999997</v>
      </c>
      <c r="AS34" s="339">
        <v>-1604.6499999999978</v>
      </c>
      <c r="AT34" s="339">
        <v>-15983.539999999997</v>
      </c>
      <c r="AU34" s="339">
        <v>-8791.2599999999911</v>
      </c>
      <c r="AV34" s="339">
        <v>2606.6599999999962</v>
      </c>
      <c r="AW34" s="339">
        <v>11268.349999999995</v>
      </c>
      <c r="AX34" s="339">
        <v>-22044.239999999998</v>
      </c>
      <c r="AY34" s="339">
        <v>-822.4600000000064</v>
      </c>
      <c r="AZ34" s="339">
        <v>0</v>
      </c>
      <c r="BA34" s="339">
        <v>-6904.7800000000061</v>
      </c>
      <c r="BB34" s="339">
        <v>-2954.9000000000015</v>
      </c>
      <c r="BC34" s="339">
        <v>1182.7299999999996</v>
      </c>
      <c r="BD34" s="339"/>
      <c r="BE34" s="339">
        <v>-1214.9400000000023</v>
      </c>
    </row>
    <row r="35" spans="2:57" x14ac:dyDescent="0.25">
      <c r="B35" s="347" t="s">
        <v>63</v>
      </c>
      <c r="C35" s="339">
        <v>-1735.19</v>
      </c>
      <c r="D35" s="339">
        <v>129.05999999999949</v>
      </c>
      <c r="E35" s="339">
        <v>21928.079999999994</v>
      </c>
      <c r="F35" s="339">
        <v>-2794.13</v>
      </c>
      <c r="G35" s="339">
        <v>-3950.4400000000005</v>
      </c>
      <c r="H35" s="339">
        <v>-343.34</v>
      </c>
      <c r="I35" s="339">
        <v>-3507.9100000000008</v>
      </c>
      <c r="J35" s="339">
        <v>691.27</v>
      </c>
      <c r="K35" s="339">
        <v>3195.9400000000023</v>
      </c>
      <c r="L35" s="339">
        <v>-6319.5600000000013</v>
      </c>
      <c r="M35" s="339">
        <v>-3349.3900000000003</v>
      </c>
      <c r="N35" s="339">
        <v>-14990.519999999997</v>
      </c>
      <c r="O35" s="339">
        <v>4915.5400000000009</v>
      </c>
      <c r="P35" s="339">
        <v>-1462.1000000000004</v>
      </c>
      <c r="Q35" s="339">
        <v>-17601.780000000006</v>
      </c>
      <c r="R35" s="339">
        <v>0</v>
      </c>
      <c r="S35" s="339">
        <v>-461.75</v>
      </c>
      <c r="T35" s="339">
        <v>-345.37999999999988</v>
      </c>
      <c r="U35" s="339">
        <v>2925.8099999999995</v>
      </c>
      <c r="V35" s="339">
        <v>3076.8999999999996</v>
      </c>
      <c r="W35" s="339">
        <v>-4223.0300000000007</v>
      </c>
      <c r="X35" s="339">
        <v>-823.67000000000007</v>
      </c>
      <c r="Y35" s="339">
        <v>-3899.6200000000008</v>
      </c>
      <c r="Z35" s="339">
        <v>7711.320000000007</v>
      </c>
      <c r="AA35" s="339">
        <v>-11659.179999999997</v>
      </c>
      <c r="AB35" s="339">
        <v>1648.3199999999997</v>
      </c>
      <c r="AC35" s="339">
        <v>-2425.0500000000011</v>
      </c>
      <c r="AD35" s="339">
        <v>-25099.980000000003</v>
      </c>
      <c r="AE35" s="339">
        <v>-6011.77</v>
      </c>
      <c r="AF35" s="339">
        <v>0</v>
      </c>
      <c r="AG35" s="339">
        <v>0</v>
      </c>
      <c r="AH35" s="339">
        <v>3108.380000000001</v>
      </c>
      <c r="AI35" s="339">
        <v>21199.47</v>
      </c>
      <c r="AJ35" s="339">
        <v>242.55999999999949</v>
      </c>
      <c r="AK35" s="339">
        <v>3522.0300000000007</v>
      </c>
      <c r="AL35" s="339">
        <v>13.990000000001601</v>
      </c>
      <c r="AM35" s="339">
        <v>-3068.0600000000013</v>
      </c>
      <c r="AN35" s="339">
        <v>-2108.4699999999975</v>
      </c>
      <c r="AO35" s="339">
        <v>-15200.649999999994</v>
      </c>
      <c r="AP35" s="339">
        <v>-14425.790000000008</v>
      </c>
      <c r="AQ35" s="339">
        <v>-1984.6699999999983</v>
      </c>
      <c r="AR35" s="339">
        <v>-41402.489999999991</v>
      </c>
      <c r="AS35" s="339">
        <v>21821.079999999998</v>
      </c>
      <c r="AT35" s="339">
        <v>-13319.089999999997</v>
      </c>
      <c r="AU35" s="339">
        <v>-14868.640000000014</v>
      </c>
      <c r="AV35" s="339">
        <v>9696.4700000000084</v>
      </c>
      <c r="AW35" s="339">
        <v>-28814.929999999993</v>
      </c>
      <c r="AX35" s="339">
        <v>-5325.6199999999881</v>
      </c>
      <c r="AY35" s="339">
        <v>8889.7799999999697</v>
      </c>
      <c r="AZ35" s="339">
        <v>0</v>
      </c>
      <c r="BA35" s="339">
        <v>-15337.509999999998</v>
      </c>
      <c r="BB35" s="339">
        <v>1340.6599999999999</v>
      </c>
      <c r="BC35" s="339">
        <v>-39.040000000008149</v>
      </c>
      <c r="BD35" s="339"/>
      <c r="BE35" s="339">
        <v>-19969</v>
      </c>
    </row>
    <row r="36" spans="2:57" x14ac:dyDescent="0.25">
      <c r="B36" s="347" t="s">
        <v>64</v>
      </c>
      <c r="C36" s="339">
        <v>0</v>
      </c>
      <c r="D36" s="339">
        <v>-164</v>
      </c>
      <c r="E36" s="339">
        <v>35706.6</v>
      </c>
      <c r="F36" s="339">
        <v>0</v>
      </c>
      <c r="G36" s="339">
        <v>398.17000000000007</v>
      </c>
      <c r="H36" s="339">
        <v>-56186.999999999942</v>
      </c>
      <c r="I36" s="339">
        <v>0</v>
      </c>
      <c r="J36" s="339">
        <v>-333.24999999999955</v>
      </c>
      <c r="K36" s="339">
        <v>10339.119999999999</v>
      </c>
      <c r="L36" s="339">
        <v>0</v>
      </c>
      <c r="M36" s="339">
        <v>-5781.5600000000013</v>
      </c>
      <c r="N36" s="339">
        <v>11379.579999999998</v>
      </c>
      <c r="O36" s="339">
        <v>21599.11</v>
      </c>
      <c r="P36" s="339">
        <v>-870.15000000000146</v>
      </c>
      <c r="Q36" s="339">
        <v>97005.91</v>
      </c>
      <c r="R36" s="339">
        <v>-92112.489999999991</v>
      </c>
      <c r="S36" s="339">
        <v>0</v>
      </c>
      <c r="T36" s="339">
        <v>2343.1999999999998</v>
      </c>
      <c r="U36" s="339">
        <v>0</v>
      </c>
      <c r="V36" s="339">
        <v>6196</v>
      </c>
      <c r="W36" s="339">
        <v>0</v>
      </c>
      <c r="X36" s="339">
        <v>-78.75</v>
      </c>
      <c r="Y36" s="339">
        <v>352</v>
      </c>
      <c r="Z36" s="339">
        <v>12158.440000000002</v>
      </c>
      <c r="AA36" s="339">
        <v>-47736.179999999993</v>
      </c>
      <c r="AB36" s="339">
        <v>-22003.320000000007</v>
      </c>
      <c r="AC36" s="339">
        <v>-90699.069999999978</v>
      </c>
      <c r="AD36" s="339">
        <v>13764.07</v>
      </c>
      <c r="AE36" s="339">
        <v>-56355.849999999991</v>
      </c>
      <c r="AF36" s="339">
        <v>-95160.62</v>
      </c>
      <c r="AG36" s="339">
        <v>-80836.140000000014</v>
      </c>
      <c r="AH36" s="339">
        <v>-24143.240000000005</v>
      </c>
      <c r="AI36" s="339">
        <v>2539.2300000000105</v>
      </c>
      <c r="AJ36" s="339">
        <v>-12376.659999999996</v>
      </c>
      <c r="AK36" s="339">
        <v>24517.96</v>
      </c>
      <c r="AL36" s="339">
        <v>-4950.089999999982</v>
      </c>
      <c r="AM36" s="339">
        <v>-1311.6299999999974</v>
      </c>
      <c r="AN36" s="339">
        <v>-20597.069999999992</v>
      </c>
      <c r="AO36" s="339">
        <v>-9103.2200000000012</v>
      </c>
      <c r="AP36" s="339">
        <v>21485.769999999997</v>
      </c>
      <c r="AQ36" s="339">
        <v>29189.549999999996</v>
      </c>
      <c r="AR36" s="339">
        <v>151423.24</v>
      </c>
      <c r="AS36" s="339">
        <v>-82601.119999999995</v>
      </c>
      <c r="AT36" s="339">
        <v>-7233.1199999999953</v>
      </c>
      <c r="AU36" s="339">
        <v>925.8700000000099</v>
      </c>
      <c r="AV36" s="339">
        <v>157051.5</v>
      </c>
      <c r="AW36" s="339">
        <v>-15697.79</v>
      </c>
      <c r="AX36" s="339">
        <v>-244.13999999999942</v>
      </c>
      <c r="AY36" s="339">
        <v>-7513.2299999999523</v>
      </c>
      <c r="AZ36" s="339">
        <v>0</v>
      </c>
      <c r="BA36" s="339">
        <v>-12865.739999999998</v>
      </c>
      <c r="BB36" s="339">
        <v>-2163.260000000002</v>
      </c>
      <c r="BC36" s="339">
        <v>306665.07</v>
      </c>
      <c r="BD36" s="339"/>
      <c r="BE36" s="339">
        <v>-19624.239999999991</v>
      </c>
    </row>
    <row r="37" spans="2:57" x14ac:dyDescent="0.25">
      <c r="B37" s="347" t="s">
        <v>58</v>
      </c>
      <c r="C37" s="339">
        <v>-288.39</v>
      </c>
      <c r="D37" s="339">
        <v>-6866.1500000000015</v>
      </c>
      <c r="E37" s="339">
        <v>37887.53</v>
      </c>
      <c r="F37" s="339">
        <v>-107</v>
      </c>
      <c r="G37" s="339">
        <v>-2805.3899999999994</v>
      </c>
      <c r="H37" s="339">
        <v>-25205.53</v>
      </c>
      <c r="I37" s="339">
        <v>-372.18999999999869</v>
      </c>
      <c r="J37" s="339">
        <v>-961.22999999999229</v>
      </c>
      <c r="K37" s="339">
        <v>11963.450000000004</v>
      </c>
      <c r="L37" s="339">
        <v>47.340000000000146</v>
      </c>
      <c r="M37" s="339">
        <v>2354.2299999999959</v>
      </c>
      <c r="N37" s="339">
        <v>-8362.5199999999986</v>
      </c>
      <c r="O37" s="339">
        <v>3224.8600000000006</v>
      </c>
      <c r="P37" s="339">
        <v>441.72000000000116</v>
      </c>
      <c r="Q37" s="339">
        <v>-1427.7500000000018</v>
      </c>
      <c r="R37" s="339">
        <v>-1225.6200000000008</v>
      </c>
      <c r="S37" s="339">
        <v>4001.510000000002</v>
      </c>
      <c r="T37" s="339">
        <v>-4542.010000000002</v>
      </c>
      <c r="U37" s="339">
        <v>-2021.1599999999962</v>
      </c>
      <c r="V37" s="339">
        <v>-5054.7099999999991</v>
      </c>
      <c r="W37" s="339">
        <v>18.760000000000218</v>
      </c>
      <c r="X37" s="339">
        <v>694.38000000000102</v>
      </c>
      <c r="Y37" s="339">
        <v>-5815.5800000000017</v>
      </c>
      <c r="Z37" s="339">
        <v>-3130.1399999999994</v>
      </c>
      <c r="AA37" s="339">
        <v>-6033.7999999999993</v>
      </c>
      <c r="AB37" s="339">
        <v>-1774.619999999999</v>
      </c>
      <c r="AC37" s="339">
        <v>-936.86999999999898</v>
      </c>
      <c r="AD37" s="339">
        <v>-25620.980000000003</v>
      </c>
      <c r="AE37" s="339">
        <v>-943.61999999999989</v>
      </c>
      <c r="AF37" s="339">
        <v>-20156.87</v>
      </c>
      <c r="AG37" s="339">
        <v>-26922.83</v>
      </c>
      <c r="AH37" s="339">
        <v>2985.1899999999987</v>
      </c>
      <c r="AI37" s="339">
        <v>-48460.459999999992</v>
      </c>
      <c r="AJ37" s="339">
        <v>3159.0699999999979</v>
      </c>
      <c r="AK37" s="339">
        <v>-8063.4699999999957</v>
      </c>
      <c r="AL37" s="339">
        <v>-10230.020000000004</v>
      </c>
      <c r="AM37" s="339">
        <v>4038.24</v>
      </c>
      <c r="AN37" s="339">
        <v>-11070.149999999998</v>
      </c>
      <c r="AO37" s="339">
        <v>30120.92</v>
      </c>
      <c r="AP37" s="339">
        <v>-41616.319999999992</v>
      </c>
      <c r="AQ37" s="339">
        <v>10760.199999999999</v>
      </c>
      <c r="AR37" s="339">
        <v>4192.8100000000013</v>
      </c>
      <c r="AS37" s="339">
        <v>553.63000000000102</v>
      </c>
      <c r="AT37" s="339">
        <v>-25451.39</v>
      </c>
      <c r="AU37" s="339">
        <v>-45319.29</v>
      </c>
      <c r="AV37" s="339">
        <v>-6095.48</v>
      </c>
      <c r="AW37" s="339">
        <v>-2079.9799999999996</v>
      </c>
      <c r="AX37" s="339">
        <v>-2810.5899999999965</v>
      </c>
      <c r="AY37" s="339">
        <v>-23615.440000000002</v>
      </c>
      <c r="AZ37" s="339">
        <v>0</v>
      </c>
      <c r="BA37" s="339">
        <v>-3945.4300000000003</v>
      </c>
      <c r="BB37" s="339">
        <v>-4349.2099999999991</v>
      </c>
      <c r="BC37" s="339">
        <v>-2453.5699999999997</v>
      </c>
      <c r="BD37" s="339"/>
      <c r="BE37" s="339">
        <v>20804.280000000002</v>
      </c>
    </row>
    <row r="38" spans="2:57" x14ac:dyDescent="0.25">
      <c r="B38" s="341" t="s">
        <v>177</v>
      </c>
      <c r="C38" s="339">
        <v>2862.26</v>
      </c>
      <c r="D38" s="339">
        <v>13328.560000000001</v>
      </c>
      <c r="E38" s="339">
        <v>1679.4799999999996</v>
      </c>
      <c r="F38" s="339">
        <v>473.94000000000005</v>
      </c>
      <c r="G38" s="339">
        <v>636.14999999999782</v>
      </c>
      <c r="H38" s="339">
        <v>-63100.990000000005</v>
      </c>
      <c r="I38" s="339">
        <v>-2683.5500000000011</v>
      </c>
      <c r="J38" s="339">
        <v>8149.7100000000019</v>
      </c>
      <c r="K38" s="339">
        <v>7549.4000000000015</v>
      </c>
      <c r="L38" s="339">
        <v>-7470.52</v>
      </c>
      <c r="M38" s="339">
        <v>7960.5800000000017</v>
      </c>
      <c r="N38" s="339">
        <v>-8766.91</v>
      </c>
      <c r="O38" s="339">
        <v>-11301.73</v>
      </c>
      <c r="P38" s="339">
        <v>-14107.27</v>
      </c>
      <c r="Q38" s="339">
        <v>-13761.829999999998</v>
      </c>
      <c r="R38" s="339">
        <v>8162.32</v>
      </c>
      <c r="S38" s="339">
        <v>-9133.9599999999991</v>
      </c>
      <c r="T38" s="339">
        <v>-9532.4199999999983</v>
      </c>
      <c r="U38" s="339">
        <v>5537.4000000000015</v>
      </c>
      <c r="V38" s="339">
        <v>-773.58999999999969</v>
      </c>
      <c r="W38" s="339">
        <v>4962.9299999999994</v>
      </c>
      <c r="X38" s="339">
        <v>-3759.42</v>
      </c>
      <c r="Y38" s="339">
        <v>4035.79</v>
      </c>
      <c r="Z38" s="339">
        <v>-1065.1099999999997</v>
      </c>
      <c r="AA38" s="339">
        <v>-11136.18</v>
      </c>
      <c r="AB38" s="339">
        <v>-4154.3000000000011</v>
      </c>
      <c r="AC38" s="339">
        <v>-11803.45</v>
      </c>
      <c r="AD38" s="339">
        <v>5386.4400000000005</v>
      </c>
      <c r="AE38" s="339">
        <v>-925.58000000000038</v>
      </c>
      <c r="AF38" s="339">
        <v>-2978.489999999998</v>
      </c>
      <c r="AG38" s="339">
        <v>-20122.219999999998</v>
      </c>
      <c r="AH38" s="339">
        <v>-18215.5</v>
      </c>
      <c r="AI38" s="339">
        <v>-46659.75</v>
      </c>
      <c r="AJ38" s="339">
        <v>-6128.2899999999972</v>
      </c>
      <c r="AK38" s="339">
        <v>-456.18000000000029</v>
      </c>
      <c r="AL38" s="339">
        <v>-4905.7899999999972</v>
      </c>
      <c r="AM38" s="339">
        <v>-17300.689999999999</v>
      </c>
      <c r="AN38" s="339">
        <v>2959.4500000000007</v>
      </c>
      <c r="AO38" s="339">
        <v>12960.61</v>
      </c>
      <c r="AP38" s="339">
        <v>-45304.47</v>
      </c>
      <c r="AQ38" s="339">
        <v>-31936.200000000004</v>
      </c>
      <c r="AR38" s="339">
        <v>-14437.019999999997</v>
      </c>
      <c r="AS38" s="339">
        <v>-8759.2900000000009</v>
      </c>
      <c r="AT38" s="339">
        <v>-7614.27</v>
      </c>
      <c r="AU38" s="339">
        <v>-78033.89</v>
      </c>
      <c r="AV38" s="339">
        <v>57244.5</v>
      </c>
      <c r="AW38" s="339">
        <v>-22061.46</v>
      </c>
      <c r="AX38" s="339">
        <v>-53414.079999999994</v>
      </c>
      <c r="AY38" s="339">
        <v>-479.48999999999978</v>
      </c>
      <c r="AZ38" s="339">
        <v>0</v>
      </c>
      <c r="BA38" s="339">
        <v>-25670.559999999998</v>
      </c>
      <c r="BB38" s="339">
        <v>-21115.399999999998</v>
      </c>
      <c r="BC38" s="339">
        <v>-71524.61</v>
      </c>
      <c r="BD38" s="339">
        <v>0</v>
      </c>
      <c r="BE38" s="339">
        <v>2472.17</v>
      </c>
    </row>
    <row r="39" spans="2:57" x14ac:dyDescent="0.25">
      <c r="B39" s="341" t="s">
        <v>178</v>
      </c>
      <c r="C39" s="339">
        <v>2397.3199999999988</v>
      </c>
      <c r="D39" s="339">
        <v>490.3100000000004</v>
      </c>
      <c r="E39" s="339">
        <v>-8691.2899999999991</v>
      </c>
      <c r="F39" s="339">
        <v>-1610.95</v>
      </c>
      <c r="G39" s="339">
        <v>-2023.0700000000002</v>
      </c>
      <c r="H39" s="339">
        <v>-8198.64</v>
      </c>
      <c r="I39" s="339">
        <v>1606.6800000000003</v>
      </c>
      <c r="J39" s="339">
        <v>6173.4699999999975</v>
      </c>
      <c r="K39" s="339">
        <v>16342.48</v>
      </c>
      <c r="L39" s="339">
        <v>7215.9000000000005</v>
      </c>
      <c r="M39" s="339">
        <v>-27399.870000000003</v>
      </c>
      <c r="N39" s="339">
        <v>-8964.9300000000021</v>
      </c>
      <c r="O39" s="339">
        <v>3660.9300000000003</v>
      </c>
      <c r="P39" s="339">
        <v>4262.47</v>
      </c>
      <c r="Q39" s="339">
        <v>-5984.16</v>
      </c>
      <c r="R39" s="339">
        <v>-2386.4000000000015</v>
      </c>
      <c r="S39" s="339">
        <v>-8904.5099999999984</v>
      </c>
      <c r="T39" s="339">
        <v>6915.19</v>
      </c>
      <c r="U39" s="339">
        <v>1937.4599999999991</v>
      </c>
      <c r="V39" s="339">
        <v>7727.880000000001</v>
      </c>
      <c r="W39" s="339">
        <v>-1004.5500000000002</v>
      </c>
      <c r="X39" s="339">
        <v>-1614.42</v>
      </c>
      <c r="Y39" s="339">
        <v>2970.6000000000004</v>
      </c>
      <c r="Z39" s="339">
        <v>-7319.59</v>
      </c>
      <c r="AA39" s="339">
        <v>614.09999999999854</v>
      </c>
      <c r="AB39" s="339">
        <v>-9484.380000000001</v>
      </c>
      <c r="AC39" s="339">
        <v>-4344.4800000000014</v>
      </c>
      <c r="AD39" s="339">
        <v>785.17000000000007</v>
      </c>
      <c r="AE39" s="339">
        <v>-1574.1499999999996</v>
      </c>
      <c r="AF39" s="339">
        <v>2007.71</v>
      </c>
      <c r="AG39" s="339">
        <v>-12602.98</v>
      </c>
      <c r="AH39" s="339">
        <v>-15860.439999999995</v>
      </c>
      <c r="AI39" s="339">
        <v>-4392.9599999999991</v>
      </c>
      <c r="AJ39" s="339">
        <v>-18096.54</v>
      </c>
      <c r="AK39" s="339">
        <v>9054.08</v>
      </c>
      <c r="AL39" s="339">
        <v>-5616.8599999999988</v>
      </c>
      <c r="AM39" s="339">
        <v>15501.22</v>
      </c>
      <c r="AN39" s="339">
        <v>-96.550000000000182</v>
      </c>
      <c r="AO39" s="339">
        <v>-2382.7800000000007</v>
      </c>
      <c r="AP39" s="339">
        <v>285.58999999999651</v>
      </c>
      <c r="AQ39" s="339">
        <v>-4159.2999999999993</v>
      </c>
      <c r="AR39" s="339">
        <v>-16028.270000000004</v>
      </c>
      <c r="AS39" s="339">
        <v>451.32999999999993</v>
      </c>
      <c r="AT39" s="339">
        <v>10386.34</v>
      </c>
      <c r="AU39" s="339">
        <v>112.27000000000044</v>
      </c>
      <c r="AV39" s="339">
        <v>-11012.2</v>
      </c>
      <c r="AW39" s="339">
        <v>-4101.4000000000015</v>
      </c>
      <c r="AX39" s="339">
        <v>-5386.0399999999972</v>
      </c>
      <c r="AY39" s="339">
        <v>5903.9999999999973</v>
      </c>
      <c r="AZ39" s="339">
        <v>0</v>
      </c>
      <c r="BA39" s="339">
        <v>-675.24999999999909</v>
      </c>
      <c r="BB39" s="339">
        <v>-5868.83</v>
      </c>
      <c r="BC39" s="339">
        <v>-16687.269999999997</v>
      </c>
      <c r="BD39" s="339">
        <v>0</v>
      </c>
      <c r="BE39" s="339">
        <v>3770.4500000000007</v>
      </c>
    </row>
    <row r="40" spans="2:57" x14ac:dyDescent="0.25">
      <c r="B40" s="341" t="s">
        <v>168</v>
      </c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39"/>
      <c r="AY40" s="339"/>
      <c r="AZ40" s="339"/>
      <c r="BA40" s="339"/>
      <c r="BB40" s="339"/>
      <c r="BC40" s="339"/>
      <c r="BD40" s="339"/>
      <c r="BE40" s="339"/>
    </row>
    <row r="41" spans="2:57" x14ac:dyDescent="0.25">
      <c r="D41" s="397"/>
    </row>
    <row r="42" spans="2:57" x14ac:dyDescent="0.25">
      <c r="D42" s="319" t="s">
        <v>137</v>
      </c>
      <c r="E42" s="319" t="s">
        <v>138</v>
      </c>
      <c r="K42" s="318" t="s">
        <v>139</v>
      </c>
      <c r="M42" s="318" t="s">
        <v>140</v>
      </c>
    </row>
    <row r="43" spans="2:57" x14ac:dyDescent="0.25">
      <c r="B43" s="342" t="s">
        <v>1</v>
      </c>
      <c r="D43" s="377">
        <v>510771.91</v>
      </c>
      <c r="E43" s="377">
        <v>3783643</v>
      </c>
      <c r="F43" s="380">
        <v>0.13499474184007318</v>
      </c>
      <c r="J43" s="318" t="s">
        <v>119</v>
      </c>
    </row>
    <row r="44" spans="2:57" x14ac:dyDescent="0.25">
      <c r="B44" s="341" t="s">
        <v>81</v>
      </c>
      <c r="C44" s="318" t="s">
        <v>18</v>
      </c>
      <c r="D44" s="323">
        <v>37742.949999999997</v>
      </c>
      <c r="E44" s="323">
        <v>81000</v>
      </c>
      <c r="F44" s="380">
        <v>0.46596234567901229</v>
      </c>
      <c r="J44" s="318" t="s">
        <v>141</v>
      </c>
      <c r="K44" s="381">
        <v>504436.11</v>
      </c>
      <c r="L44" s="381">
        <v>1191816.1000000001</v>
      </c>
      <c r="M44" s="343">
        <v>687379.99000000011</v>
      </c>
    </row>
    <row r="45" spans="2:57" x14ac:dyDescent="0.25">
      <c r="B45" s="341" t="s">
        <v>82</v>
      </c>
      <c r="C45" s="318" t="s">
        <v>19</v>
      </c>
      <c r="D45" s="323">
        <v>45705.99</v>
      </c>
      <c r="E45" s="323">
        <v>55000</v>
      </c>
      <c r="F45" s="380">
        <v>0.83101799999999992</v>
      </c>
      <c r="J45" s="318" t="s">
        <v>142</v>
      </c>
      <c r="K45" s="381">
        <v>68586.009999999995</v>
      </c>
      <c r="L45" s="381">
        <v>853000</v>
      </c>
      <c r="M45" s="343">
        <v>784413.99</v>
      </c>
    </row>
    <row r="46" spans="2:57" x14ac:dyDescent="0.25">
      <c r="B46" s="341" t="s">
        <v>83</v>
      </c>
      <c r="C46" s="318" t="s">
        <v>20</v>
      </c>
      <c r="D46" s="323">
        <v>35761.120000000003</v>
      </c>
      <c r="E46" s="323">
        <v>615060</v>
      </c>
      <c r="F46" s="380">
        <v>5.8142490163561281E-2</v>
      </c>
      <c r="J46" s="318" t="s">
        <v>143</v>
      </c>
      <c r="K46" s="381">
        <v>224578.91</v>
      </c>
      <c r="L46" s="381">
        <v>1874073</v>
      </c>
      <c r="M46" s="343">
        <v>1649494.09</v>
      </c>
    </row>
    <row r="47" spans="2:57" x14ac:dyDescent="0.25">
      <c r="B47" s="341" t="s">
        <v>84</v>
      </c>
      <c r="C47" s="318" t="s">
        <v>21</v>
      </c>
      <c r="D47" s="323">
        <v>38967.03</v>
      </c>
      <c r="E47" s="323">
        <v>575013</v>
      </c>
      <c r="F47" s="380">
        <v>6.7767215697732044E-2</v>
      </c>
      <c r="J47" s="318" t="s">
        <v>144</v>
      </c>
      <c r="K47" s="381">
        <v>286193</v>
      </c>
      <c r="L47" s="381">
        <v>1909570</v>
      </c>
      <c r="M47" s="343">
        <v>1623377</v>
      </c>
    </row>
    <row r="48" spans="2:57" x14ac:dyDescent="0.25">
      <c r="B48" s="341" t="s">
        <v>85</v>
      </c>
      <c r="C48" s="318" t="s">
        <v>22</v>
      </c>
      <c r="D48" s="323">
        <v>4180.16</v>
      </c>
      <c r="E48" s="323">
        <v>100000</v>
      </c>
      <c r="F48" s="380">
        <v>4.1801600000000001E-2</v>
      </c>
      <c r="J48" s="318" t="s">
        <v>145</v>
      </c>
      <c r="K48" s="381">
        <v>99268.63</v>
      </c>
      <c r="L48" s="381">
        <v>1336868.9999999998</v>
      </c>
      <c r="M48" s="343">
        <v>1237600.3699999996</v>
      </c>
    </row>
    <row r="49" spans="2:13" x14ac:dyDescent="0.25">
      <c r="B49" s="341" t="s">
        <v>86</v>
      </c>
      <c r="C49" s="318" t="s">
        <v>23</v>
      </c>
      <c r="D49" s="323">
        <v>60539.23</v>
      </c>
      <c r="E49" s="323">
        <v>380000</v>
      </c>
      <c r="F49" s="380">
        <v>0.15931376315789475</v>
      </c>
      <c r="J49" s="318" t="s">
        <v>146</v>
      </c>
      <c r="K49" s="381">
        <v>413382.54</v>
      </c>
      <c r="L49" s="381">
        <v>3992730.0000000005</v>
      </c>
      <c r="M49" s="343">
        <v>3579347.4600000004</v>
      </c>
    </row>
    <row r="50" spans="2:13" x14ac:dyDescent="0.25">
      <c r="B50" s="341" t="s">
        <v>87</v>
      </c>
      <c r="C50" s="318" t="s">
        <v>24</v>
      </c>
      <c r="D50" s="323">
        <v>1682.43</v>
      </c>
      <c r="E50" s="323">
        <v>68000</v>
      </c>
      <c r="F50" s="380">
        <v>2.4741617647058824E-2</v>
      </c>
      <c r="J50" s="318" t="s">
        <v>147</v>
      </c>
      <c r="K50" s="318">
        <v>0</v>
      </c>
    </row>
    <row r="51" spans="2:13" x14ac:dyDescent="0.25">
      <c r="B51" s="341" t="s">
        <v>88</v>
      </c>
      <c r="C51" s="318" t="s">
        <v>31</v>
      </c>
      <c r="D51" s="323">
        <v>0</v>
      </c>
      <c r="E51" s="323">
        <v>86210</v>
      </c>
      <c r="F51" s="380">
        <v>0</v>
      </c>
    </row>
    <row r="52" spans="2:13" x14ac:dyDescent="0.25">
      <c r="B52" s="341" t="s">
        <v>89</v>
      </c>
      <c r="C52" s="318" t="s">
        <v>25</v>
      </c>
      <c r="D52" s="323">
        <v>12287.54</v>
      </c>
      <c r="E52" s="323">
        <v>303000</v>
      </c>
      <c r="F52" s="382">
        <v>4.0552937293729378E-2</v>
      </c>
    </row>
    <row r="53" spans="2:13" x14ac:dyDescent="0.25">
      <c r="B53" s="341" t="s">
        <v>90</v>
      </c>
      <c r="C53" s="318" t="s">
        <v>26</v>
      </c>
      <c r="D53" s="323">
        <v>14599.54</v>
      </c>
      <c r="E53" s="323">
        <v>176080</v>
      </c>
      <c r="F53" s="382">
        <v>8.2914243525670159E-2</v>
      </c>
    </row>
    <row r="54" spans="2:13" x14ac:dyDescent="0.25">
      <c r="B54" s="341" t="s">
        <v>91</v>
      </c>
      <c r="C54" s="318" t="s">
        <v>27</v>
      </c>
      <c r="D54" s="323">
        <v>45225.14</v>
      </c>
      <c r="E54" s="323">
        <v>248100</v>
      </c>
      <c r="F54" s="382">
        <v>0.18228593309149535</v>
      </c>
    </row>
    <row r="55" spans="2:13" x14ac:dyDescent="0.25">
      <c r="B55" s="341" t="s">
        <v>92</v>
      </c>
      <c r="C55" s="318" t="s">
        <v>28</v>
      </c>
      <c r="D55" s="323">
        <v>84609.35</v>
      </c>
      <c r="E55" s="323">
        <v>574700</v>
      </c>
      <c r="F55" s="382">
        <v>0.1472235079171742</v>
      </c>
    </row>
    <row r="56" spans="2:13" x14ac:dyDescent="0.25">
      <c r="B56" s="341" t="s">
        <v>93</v>
      </c>
      <c r="C56" s="318" t="s">
        <v>32</v>
      </c>
      <c r="D56" s="323">
        <v>19369.150000000001</v>
      </c>
      <c r="E56" s="323">
        <v>52380</v>
      </c>
      <c r="F56" s="382">
        <v>0.36978140511645669</v>
      </c>
    </row>
    <row r="57" spans="2:13" x14ac:dyDescent="0.25">
      <c r="B57" s="341" t="s">
        <v>94</v>
      </c>
      <c r="C57" s="318" t="s">
        <v>29</v>
      </c>
      <c r="D57" s="323">
        <v>95943.16</v>
      </c>
      <c r="E57" s="323">
        <v>231500</v>
      </c>
      <c r="F57" s="382">
        <v>0.41444129589632833</v>
      </c>
    </row>
    <row r="58" spans="2:13" x14ac:dyDescent="0.25">
      <c r="B58" s="341" t="s">
        <v>95</v>
      </c>
      <c r="C58" s="318" t="s">
        <v>30</v>
      </c>
      <c r="D58" s="323">
        <v>14159.12</v>
      </c>
      <c r="E58" s="323">
        <v>237600</v>
      </c>
      <c r="F58" s="382">
        <v>5.9592255892255898E-2</v>
      </c>
    </row>
    <row r="59" spans="2:13" x14ac:dyDescent="0.25">
      <c r="B59" s="342" t="s">
        <v>0</v>
      </c>
      <c r="C59" s="319"/>
      <c r="D59" s="383">
        <v>573022.12</v>
      </c>
      <c r="E59" s="377">
        <v>2044816.1</v>
      </c>
      <c r="F59" s="380">
        <v>0.28023161593846996</v>
      </c>
    </row>
    <row r="60" spans="2:13" x14ac:dyDescent="0.25">
      <c r="B60" s="341" t="s">
        <v>71</v>
      </c>
      <c r="C60" s="318" t="s">
        <v>13</v>
      </c>
      <c r="D60" s="384">
        <v>768.28</v>
      </c>
      <c r="E60" s="323">
        <v>548400</v>
      </c>
      <c r="F60" s="380">
        <v>1.4009482129832239E-3</v>
      </c>
    </row>
    <row r="61" spans="2:13" x14ac:dyDescent="0.25">
      <c r="B61" s="341" t="s">
        <v>72</v>
      </c>
      <c r="C61" s="318" t="s">
        <v>14</v>
      </c>
      <c r="D61" s="384">
        <v>7643.02</v>
      </c>
      <c r="E61" s="323">
        <v>6500</v>
      </c>
      <c r="F61" s="380">
        <v>1.1758492307692308</v>
      </c>
    </row>
    <row r="62" spans="2:13" x14ac:dyDescent="0.25">
      <c r="B62" s="341" t="s">
        <v>73</v>
      </c>
      <c r="C62" s="318" t="s">
        <v>15</v>
      </c>
      <c r="D62" s="384">
        <v>9157.9</v>
      </c>
      <c r="E62" s="323">
        <v>111353</v>
      </c>
      <c r="F62" s="380">
        <v>8.2242059037475418E-2</v>
      </c>
    </row>
    <row r="63" spans="2:13" x14ac:dyDescent="0.25">
      <c r="B63" s="341" t="s">
        <v>74</v>
      </c>
      <c r="C63" s="318" t="s">
        <v>16</v>
      </c>
      <c r="D63" s="384">
        <v>18941.169999999998</v>
      </c>
      <c r="E63" s="323">
        <v>70500</v>
      </c>
      <c r="F63" s="380">
        <v>0.26866907801418438</v>
      </c>
    </row>
    <row r="64" spans="2:13" x14ac:dyDescent="0.25">
      <c r="B64" s="341" t="s">
        <v>75</v>
      </c>
      <c r="C64" s="318" t="s">
        <v>17</v>
      </c>
      <c r="D64" s="384">
        <v>32075.64</v>
      </c>
      <c r="E64" s="323">
        <v>116247</v>
      </c>
      <c r="F64" s="380">
        <v>0.27592660455753698</v>
      </c>
    </row>
    <row r="65" spans="2:17" x14ac:dyDescent="0.25">
      <c r="B65" s="341" t="s">
        <v>76</v>
      </c>
      <c r="C65" s="318" t="s">
        <v>8</v>
      </c>
      <c r="D65" s="384">
        <v>16968.95</v>
      </c>
      <c r="E65" s="323">
        <v>196468.71</v>
      </c>
      <c r="F65" s="380">
        <v>8.6369732869931312E-2</v>
      </c>
    </row>
    <row r="66" spans="2:17" x14ac:dyDescent="0.25">
      <c r="B66" s="341" t="s">
        <v>77</v>
      </c>
      <c r="C66" s="318" t="s">
        <v>9</v>
      </c>
      <c r="D66" s="384">
        <v>297709.08</v>
      </c>
      <c r="E66" s="323">
        <v>178947.86</v>
      </c>
      <c r="F66" s="380">
        <v>1.6636638180529235</v>
      </c>
    </row>
    <row r="67" spans="2:17" x14ac:dyDescent="0.25">
      <c r="B67" s="341" t="s">
        <v>78</v>
      </c>
      <c r="C67" s="318" t="s">
        <v>10</v>
      </c>
      <c r="D67" s="384">
        <v>33735.22</v>
      </c>
      <c r="E67" s="323">
        <v>157432.53</v>
      </c>
      <c r="F67" s="380">
        <v>0.21428366805767526</v>
      </c>
    </row>
    <row r="68" spans="2:17" x14ac:dyDescent="0.25">
      <c r="B68" s="341" t="s">
        <v>79</v>
      </c>
      <c r="C68" s="318" t="s">
        <v>114</v>
      </c>
      <c r="D68" s="384">
        <v>0</v>
      </c>
      <c r="E68" s="323">
        <v>484000</v>
      </c>
      <c r="F68" s="380">
        <v>0</v>
      </c>
    </row>
    <row r="69" spans="2:17" x14ac:dyDescent="0.25">
      <c r="B69" s="341" t="s">
        <v>80</v>
      </c>
      <c r="C69" s="318" t="s">
        <v>12</v>
      </c>
      <c r="D69" s="384">
        <v>156022.85999999999</v>
      </c>
      <c r="E69" s="323">
        <v>174967</v>
      </c>
      <c r="F69" s="380">
        <v>0.89172735430109673</v>
      </c>
      <c r="N69" s="385"/>
    </row>
    <row r="70" spans="2:17" x14ac:dyDescent="0.25">
      <c r="B70" s="342" t="s">
        <v>120</v>
      </c>
      <c r="D70" s="377">
        <v>99268.63</v>
      </c>
      <c r="E70" s="377">
        <v>1336868.9999999998</v>
      </c>
      <c r="F70" s="380">
        <v>7.425456794944009E-2</v>
      </c>
    </row>
    <row r="71" spans="2:17" x14ac:dyDescent="0.25">
      <c r="B71" s="396" t="s">
        <v>97</v>
      </c>
      <c r="C71" s="318" t="s">
        <v>35</v>
      </c>
      <c r="D71" s="323">
        <v>8273.25</v>
      </c>
      <c r="E71" s="323">
        <v>142417.00000000003</v>
      </c>
      <c r="F71" s="380">
        <v>5.8091730622046513E-2</v>
      </c>
      <c r="H71" s="386"/>
      <c r="I71" s="387"/>
      <c r="J71" s="380"/>
      <c r="K71" s="380"/>
      <c r="L71" s="380"/>
      <c r="M71" s="380"/>
      <c r="N71" s="380"/>
      <c r="O71" s="380"/>
      <c r="P71" s="380"/>
      <c r="Q71" s="380"/>
    </row>
    <row r="72" spans="2:17" x14ac:dyDescent="0.25">
      <c r="B72" s="396" t="s">
        <v>98</v>
      </c>
      <c r="C72" s="318" t="s">
        <v>34</v>
      </c>
      <c r="D72" s="323">
        <v>21032.239999999998</v>
      </c>
      <c r="E72" s="323">
        <v>79702.999999999985</v>
      </c>
      <c r="F72" s="380">
        <v>0.26388266439155367</v>
      </c>
      <c r="H72" s="386"/>
      <c r="I72" s="388"/>
      <c r="J72" s="389"/>
      <c r="K72" s="389"/>
      <c r="L72" s="390"/>
      <c r="M72" s="390"/>
      <c r="N72" s="390"/>
      <c r="O72" s="390"/>
      <c r="P72" s="390"/>
      <c r="Q72" s="390"/>
    </row>
    <row r="73" spans="2:17" x14ac:dyDescent="0.25">
      <c r="B73" s="396" t="s">
        <v>99</v>
      </c>
      <c r="C73" s="318" t="s">
        <v>36</v>
      </c>
      <c r="D73" s="323">
        <v>25378.239999999998</v>
      </c>
      <c r="E73" s="323">
        <v>76607</v>
      </c>
      <c r="F73" s="380">
        <v>0.33127834271019618</v>
      </c>
      <c r="H73" s="386"/>
      <c r="I73" s="388"/>
      <c r="J73" s="391"/>
      <c r="K73" s="389"/>
    </row>
    <row r="74" spans="2:17" x14ac:dyDescent="0.25">
      <c r="B74" s="396" t="s">
        <v>100</v>
      </c>
      <c r="C74" s="318" t="s">
        <v>37</v>
      </c>
      <c r="D74" s="323">
        <v>1763.8000000000002</v>
      </c>
      <c r="E74" s="323">
        <v>418858.99999999988</v>
      </c>
      <c r="F74" s="380">
        <v>4.2109635939540533E-3</v>
      </c>
      <c r="H74" s="386"/>
      <c r="I74" s="388"/>
      <c r="J74" s="391"/>
      <c r="K74" s="389"/>
    </row>
    <row r="75" spans="2:17" x14ac:dyDescent="0.25">
      <c r="B75" s="396" t="s">
        <v>101</v>
      </c>
      <c r="C75" s="318" t="s">
        <v>39</v>
      </c>
      <c r="D75" s="323">
        <v>11109.9</v>
      </c>
      <c r="E75" s="323">
        <v>40317</v>
      </c>
      <c r="F75" s="380">
        <v>0.27556365801026861</v>
      </c>
      <c r="H75" s="386"/>
      <c r="I75" s="388"/>
      <c r="J75" s="391"/>
      <c r="K75" s="389"/>
    </row>
    <row r="76" spans="2:17" x14ac:dyDescent="0.25">
      <c r="B76" s="396" t="s">
        <v>102</v>
      </c>
      <c r="C76" s="318" t="s">
        <v>38</v>
      </c>
      <c r="D76" s="323">
        <v>31065.55</v>
      </c>
      <c r="E76" s="323">
        <v>182348.99999999991</v>
      </c>
      <c r="F76" s="380">
        <v>0.17036314978420508</v>
      </c>
      <c r="H76" s="386"/>
      <c r="I76" s="388"/>
      <c r="J76" s="391"/>
      <c r="K76" s="389"/>
    </row>
    <row r="77" spans="2:17" x14ac:dyDescent="0.25">
      <c r="B77" s="396" t="s">
        <v>103</v>
      </c>
      <c r="C77" s="318" t="s">
        <v>33</v>
      </c>
      <c r="D77" s="323">
        <v>5506.6</v>
      </c>
      <c r="E77" s="323">
        <v>268651</v>
      </c>
      <c r="F77" s="380">
        <v>2.0497225024288017E-2</v>
      </c>
      <c r="H77" s="386"/>
      <c r="I77" s="388"/>
      <c r="J77" s="391"/>
      <c r="K77" s="389"/>
    </row>
    <row r="78" spans="2:17" x14ac:dyDescent="0.25">
      <c r="B78" s="396" t="s">
        <v>104</v>
      </c>
      <c r="C78" s="318" t="s">
        <v>40</v>
      </c>
      <c r="D78" s="323">
        <v>-4860.9500000000007</v>
      </c>
      <c r="E78" s="323">
        <v>127966.00000000004</v>
      </c>
      <c r="F78" s="380">
        <v>-3.7986261975837328E-2</v>
      </c>
      <c r="H78" s="386"/>
      <c r="I78" s="388"/>
      <c r="J78" s="391"/>
      <c r="K78" s="389"/>
    </row>
    <row r="79" spans="2:17" x14ac:dyDescent="0.25">
      <c r="B79" s="342" t="s">
        <v>121</v>
      </c>
      <c r="D79" s="377">
        <v>413382.54</v>
      </c>
      <c r="E79" s="377">
        <v>3992730.0000000005</v>
      </c>
      <c r="F79" s="380">
        <v>0.10353380769548653</v>
      </c>
      <c r="H79" s="392"/>
      <c r="I79" s="393"/>
      <c r="J79" s="394"/>
      <c r="K79" s="389"/>
    </row>
    <row r="80" spans="2:17" x14ac:dyDescent="0.25">
      <c r="B80" s="396" t="s">
        <v>106</v>
      </c>
      <c r="C80" s="318" t="s">
        <v>41</v>
      </c>
      <c r="D80" s="323">
        <v>21578.699999999997</v>
      </c>
      <c r="E80" s="323">
        <v>515109.00000000012</v>
      </c>
      <c r="F80" s="380">
        <v>4.1891521988549979E-2</v>
      </c>
      <c r="H80" s="386"/>
      <c r="I80" s="387"/>
      <c r="J80" s="391"/>
      <c r="K80" s="389"/>
    </row>
    <row r="81" spans="2:11" x14ac:dyDescent="0.25">
      <c r="B81" s="396" t="s">
        <v>107</v>
      </c>
      <c r="C81" s="318" t="s">
        <v>42</v>
      </c>
      <c r="D81" s="323">
        <v>52914.31</v>
      </c>
      <c r="E81" s="323">
        <v>254796</v>
      </c>
      <c r="F81" s="380">
        <v>0.2076732366285185</v>
      </c>
      <c r="H81" s="386"/>
      <c r="I81" s="387"/>
      <c r="J81" s="391"/>
      <c r="K81" s="389"/>
    </row>
    <row r="82" spans="2:11" x14ac:dyDescent="0.25">
      <c r="B82" s="396" t="s">
        <v>108</v>
      </c>
      <c r="C82" s="318" t="s">
        <v>47</v>
      </c>
      <c r="D82" s="323">
        <v>68029.11</v>
      </c>
      <c r="E82" s="323">
        <v>354344.00000000006</v>
      </c>
      <c r="F82" s="380">
        <v>0.19198606438940688</v>
      </c>
      <c r="H82" s="386"/>
      <c r="I82" s="387"/>
      <c r="J82" s="391"/>
      <c r="K82" s="389"/>
    </row>
    <row r="83" spans="2:11" x14ac:dyDescent="0.25">
      <c r="B83" s="396" t="s">
        <v>109</v>
      </c>
      <c r="C83" s="318" t="s">
        <v>44</v>
      </c>
      <c r="D83" s="323">
        <v>15854.75</v>
      </c>
      <c r="E83" s="323">
        <v>691233</v>
      </c>
      <c r="F83" s="380">
        <v>2.2936911287510867E-2</v>
      </c>
      <c r="H83" s="386"/>
      <c r="I83" s="387"/>
      <c r="J83" s="391"/>
      <c r="K83" s="389"/>
    </row>
    <row r="84" spans="2:11" x14ac:dyDescent="0.25">
      <c r="B84" s="396" t="s">
        <v>110</v>
      </c>
      <c r="C84" s="318" t="s">
        <v>48</v>
      </c>
      <c r="D84" s="323">
        <v>40477.9</v>
      </c>
      <c r="E84" s="323">
        <v>237782.99999999994</v>
      </c>
      <c r="F84" s="380">
        <v>0.17023042017301493</v>
      </c>
      <c r="H84" s="386"/>
      <c r="I84" s="387"/>
      <c r="J84" s="391"/>
      <c r="K84" s="389"/>
    </row>
    <row r="85" spans="2:11" x14ac:dyDescent="0.25">
      <c r="B85" s="396" t="s">
        <v>111</v>
      </c>
      <c r="C85" s="318" t="s">
        <v>45</v>
      </c>
      <c r="D85" s="323">
        <v>124987</v>
      </c>
      <c r="E85" s="323">
        <v>816803.00000000023</v>
      </c>
      <c r="F85" s="380">
        <v>0.15301976119088687</v>
      </c>
      <c r="H85" s="386"/>
      <c r="I85" s="387"/>
      <c r="J85" s="391"/>
      <c r="K85" s="389"/>
    </row>
    <row r="86" spans="2:11" x14ac:dyDescent="0.25">
      <c r="B86" s="396" t="s">
        <v>112</v>
      </c>
      <c r="C86" s="318" t="s">
        <v>46</v>
      </c>
      <c r="D86" s="323">
        <v>24577.550000000003</v>
      </c>
      <c r="E86" s="323">
        <v>577253</v>
      </c>
      <c r="F86" s="380">
        <v>4.2576738449172202E-2</v>
      </c>
      <c r="H86" s="386"/>
      <c r="I86" s="387"/>
      <c r="J86" s="391"/>
      <c r="K86" s="389"/>
    </row>
    <row r="87" spans="2:11" x14ac:dyDescent="0.25">
      <c r="B87" s="396" t="s">
        <v>113</v>
      </c>
      <c r="C87" s="318" t="s">
        <v>43</v>
      </c>
      <c r="D87" s="323">
        <v>64963.219999999994</v>
      </c>
      <c r="E87" s="323">
        <v>545409.00000000012</v>
      </c>
      <c r="F87" s="380">
        <v>0.11910918228338729</v>
      </c>
      <c r="H87" s="386"/>
      <c r="I87" s="387"/>
      <c r="J87" s="391"/>
      <c r="K87" s="389"/>
    </row>
    <row r="88" spans="2:11" x14ac:dyDescent="0.25">
      <c r="E88" s="395"/>
    </row>
  </sheetData>
  <conditionalFormatting sqref="C24:BE31">
    <cfRule type="colorScale" priority="1">
      <colorScale>
        <cfvo type="num" val="-30000"/>
        <cfvo type="num" val="0"/>
        <cfvo type="num" val="30000"/>
        <color rgb="FFF54E4E"/>
        <color theme="0"/>
        <color rgb="FF34DB64"/>
      </colorScale>
    </cfRule>
  </conditionalFormatting>
  <conditionalFormatting sqref="C34:BE39 AH40:BE40">
    <cfRule type="cellIs" dxfId="12" priority="2" operator="greaterThanOrEqual">
      <formula>0</formula>
    </cfRule>
    <cfRule type="cellIs" dxfId="11" priority="3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ECEC-10C1-426B-9B13-94C477CA9A51}">
  <dimension ref="A1:BI88"/>
  <sheetViews>
    <sheetView workbookViewId="0">
      <pane xSplit="2" topLeftCell="C1" activePane="topRight" state="frozen"/>
      <selection pane="topRight" activeCell="Q23" sqref="Q23"/>
    </sheetView>
  </sheetViews>
  <sheetFormatPr defaultColWidth="9.140625" defaultRowHeight="15" x14ac:dyDescent="0.25"/>
  <cols>
    <col min="1" max="1" width="9.140625" style="318"/>
    <col min="2" max="2" width="29.140625" style="341" customWidth="1"/>
    <col min="3" max="3" width="11.140625" style="318" customWidth="1"/>
    <col min="4" max="4" width="10.42578125" style="318" customWidth="1"/>
    <col min="5" max="5" width="11.28515625" style="318" customWidth="1"/>
    <col min="6" max="6" width="9.140625" style="318" customWidth="1"/>
    <col min="7" max="7" width="10.42578125" style="318" bestFit="1" customWidth="1"/>
    <col min="8" max="8" width="11.42578125" style="318" bestFit="1" customWidth="1"/>
    <col min="9" max="10" width="9.140625" style="318" customWidth="1"/>
    <col min="11" max="12" width="10.5703125" style="318" customWidth="1"/>
    <col min="13" max="13" width="11" style="318" customWidth="1"/>
    <col min="14" max="34" width="9.140625" style="318" customWidth="1"/>
    <col min="35" max="35" width="10.42578125" style="318" customWidth="1"/>
    <col min="36" max="36" width="9.140625" style="318" customWidth="1"/>
    <col min="37" max="38" width="11.42578125" style="318" bestFit="1" customWidth="1"/>
    <col min="39" max="39" width="10.140625" style="318" customWidth="1"/>
    <col min="40" max="40" width="9.140625" style="318" customWidth="1"/>
    <col min="41" max="41" width="12.42578125" style="318" bestFit="1" customWidth="1"/>
    <col min="42" max="42" width="11.42578125" style="318" bestFit="1" customWidth="1"/>
    <col min="43" max="43" width="9.140625" style="318" customWidth="1"/>
    <col min="44" max="44" width="12.42578125" style="318" bestFit="1" customWidth="1"/>
    <col min="45" max="46" width="11.42578125" style="318" bestFit="1" customWidth="1"/>
    <col min="47" max="48" width="12.42578125" style="318" bestFit="1" customWidth="1"/>
    <col min="49" max="50" width="11.42578125" style="318" bestFit="1" customWidth="1"/>
    <col min="51" max="51" width="12.42578125" style="318" bestFit="1" customWidth="1"/>
    <col min="52" max="52" width="9.5703125" style="318" bestFit="1" customWidth="1"/>
    <col min="53" max="53" width="10.85546875" style="318" bestFit="1" customWidth="1"/>
    <col min="54" max="54" width="11.42578125" style="318" bestFit="1" customWidth="1"/>
    <col min="55" max="55" width="12.42578125" style="318" bestFit="1" customWidth="1"/>
    <col min="56" max="56" width="9.5703125" style="318" bestFit="1" customWidth="1"/>
    <col min="57" max="57" width="11.42578125" style="318" bestFit="1" customWidth="1"/>
    <col min="58" max="16384" width="9.140625" style="318"/>
  </cols>
  <sheetData>
    <row r="1" spans="1:61" x14ac:dyDescent="0.25">
      <c r="A1" s="318" t="s">
        <v>170</v>
      </c>
      <c r="BE1" s="318" t="s">
        <v>157</v>
      </c>
      <c r="BG1" s="318" t="s">
        <v>220</v>
      </c>
    </row>
    <row r="2" spans="1:61" x14ac:dyDescent="0.25">
      <c r="A2" s="323"/>
      <c r="B2" s="402" t="s">
        <v>124</v>
      </c>
      <c r="C2" s="403" t="s">
        <v>2</v>
      </c>
      <c r="D2" s="403" t="s">
        <v>3</v>
      </c>
      <c r="E2" s="403" t="s">
        <v>4</v>
      </c>
      <c r="F2" s="403" t="s">
        <v>5</v>
      </c>
      <c r="G2" s="403" t="s">
        <v>6</v>
      </c>
      <c r="H2" s="403" t="s">
        <v>7</v>
      </c>
      <c r="I2" s="377" t="s">
        <v>8</v>
      </c>
      <c r="J2" s="377" t="s">
        <v>9</v>
      </c>
      <c r="K2" s="377" t="s">
        <v>10</v>
      </c>
      <c r="L2" s="377" t="s">
        <v>114</v>
      </c>
      <c r="M2" s="377" t="s">
        <v>12</v>
      </c>
      <c r="N2" s="377" t="s">
        <v>13</v>
      </c>
      <c r="O2" s="377" t="s">
        <v>14</v>
      </c>
      <c r="P2" s="377" t="s">
        <v>15</v>
      </c>
      <c r="Q2" s="377" t="s">
        <v>16</v>
      </c>
      <c r="R2" s="377" t="s">
        <v>17</v>
      </c>
      <c r="S2" s="377" t="s">
        <v>18</v>
      </c>
      <c r="T2" s="377" t="s">
        <v>19</v>
      </c>
      <c r="U2" s="377" t="s">
        <v>20</v>
      </c>
      <c r="V2" s="377" t="s">
        <v>21</v>
      </c>
      <c r="W2" s="377" t="s">
        <v>22</v>
      </c>
      <c r="X2" s="377" t="s">
        <v>23</v>
      </c>
      <c r="Y2" s="377" t="s">
        <v>24</v>
      </c>
      <c r="Z2" s="377" t="s">
        <v>25</v>
      </c>
      <c r="AA2" s="377" t="s">
        <v>26</v>
      </c>
      <c r="AB2" s="377" t="s">
        <v>27</v>
      </c>
      <c r="AC2" s="377" t="s">
        <v>28</v>
      </c>
      <c r="AD2" s="377" t="s">
        <v>29</v>
      </c>
      <c r="AE2" s="377" t="s">
        <v>30</v>
      </c>
      <c r="AF2" s="377" t="s">
        <v>31</v>
      </c>
      <c r="AG2" s="377" t="s">
        <v>32</v>
      </c>
      <c r="AH2" s="377" t="s">
        <v>34</v>
      </c>
      <c r="AI2" s="377" t="s">
        <v>35</v>
      </c>
      <c r="AJ2" s="377" t="s">
        <v>36</v>
      </c>
      <c r="AK2" s="377" t="s">
        <v>37</v>
      </c>
      <c r="AL2" s="377" t="s">
        <v>38</v>
      </c>
      <c r="AM2" s="377" t="s">
        <v>39</v>
      </c>
      <c r="AN2" s="377" t="s">
        <v>33</v>
      </c>
      <c r="AO2" s="377" t="s">
        <v>40</v>
      </c>
      <c r="AP2" s="377" t="s">
        <v>41</v>
      </c>
      <c r="AQ2" s="377" t="s">
        <v>42</v>
      </c>
      <c r="AR2" s="377" t="s">
        <v>43</v>
      </c>
      <c r="AS2" s="377" t="s">
        <v>44</v>
      </c>
      <c r="AT2" s="377" t="s">
        <v>45</v>
      </c>
      <c r="AU2" s="377" t="s">
        <v>46</v>
      </c>
      <c r="AV2" s="377" t="s">
        <v>47</v>
      </c>
      <c r="AW2" s="377" t="s">
        <v>48</v>
      </c>
      <c r="AX2" s="377" t="s">
        <v>49</v>
      </c>
      <c r="AY2" s="377" t="s">
        <v>50</v>
      </c>
      <c r="AZ2" s="404" t="s">
        <v>51</v>
      </c>
      <c r="BA2" s="377" t="s">
        <v>52</v>
      </c>
      <c r="BB2" s="377" t="s">
        <v>53</v>
      </c>
      <c r="BC2" s="377" t="s">
        <v>54</v>
      </c>
      <c r="BE2" s="319" t="s">
        <v>158</v>
      </c>
      <c r="BF2" s="319"/>
      <c r="BG2" s="319" t="s">
        <v>241</v>
      </c>
      <c r="BH2" s="319" t="s">
        <v>242</v>
      </c>
    </row>
    <row r="3" spans="1:61" x14ac:dyDescent="0.25">
      <c r="A3" s="323"/>
      <c r="B3" s="405" t="s">
        <v>62</v>
      </c>
      <c r="C3" s="323">
        <v>5277.51</v>
      </c>
      <c r="D3" s="323">
        <v>1587.3299999999995</v>
      </c>
      <c r="E3" s="323">
        <v>46080.4</v>
      </c>
      <c r="F3" s="323">
        <v>7483.2300000000005</v>
      </c>
      <c r="G3" s="323">
        <v>11149.25</v>
      </c>
      <c r="H3" s="323">
        <v>2499.8300000000004</v>
      </c>
      <c r="I3" s="323">
        <v>33757.069999999992</v>
      </c>
      <c r="J3" s="323">
        <v>33806.979999999996</v>
      </c>
      <c r="K3" s="323">
        <v>49977.430000000008</v>
      </c>
      <c r="L3" s="323">
        <v>7829.880000000001</v>
      </c>
      <c r="M3" s="323">
        <v>49847.8</v>
      </c>
      <c r="N3" s="323">
        <v>5161.99</v>
      </c>
      <c r="O3" s="323">
        <v>4084.48</v>
      </c>
      <c r="P3" s="323">
        <v>10284.379999999999</v>
      </c>
      <c r="Q3" s="323">
        <v>18269.779999999995</v>
      </c>
      <c r="R3" s="323">
        <v>310.12999999999994</v>
      </c>
      <c r="S3" s="324">
        <v>18566.96</v>
      </c>
      <c r="T3" s="324">
        <v>21303.61</v>
      </c>
      <c r="U3" s="324">
        <v>18071.27</v>
      </c>
      <c r="V3" s="324">
        <v>39337.979999999996</v>
      </c>
      <c r="W3" s="324">
        <v>19771.809999999998</v>
      </c>
      <c r="X3" s="324">
        <v>12712.179999999998</v>
      </c>
      <c r="Y3" s="324">
        <v>30469.070000000003</v>
      </c>
      <c r="Z3" s="324">
        <v>28715.990000000005</v>
      </c>
      <c r="AA3" s="324">
        <v>15936.9</v>
      </c>
      <c r="AB3" s="324">
        <v>25031.85</v>
      </c>
      <c r="AC3" s="324">
        <v>24203.75</v>
      </c>
      <c r="AD3" s="324">
        <v>43310.05000000001</v>
      </c>
      <c r="AE3" s="324">
        <v>9217.7800000000007</v>
      </c>
      <c r="AF3" s="324">
        <v>66.400000000000006</v>
      </c>
      <c r="AG3" s="324">
        <v>1604.5700000000002</v>
      </c>
      <c r="AH3" s="325">
        <v>6366.2200000000012</v>
      </c>
      <c r="AI3" s="325">
        <v>26837.279999999992</v>
      </c>
      <c r="AJ3" s="325">
        <v>7446.8999999999987</v>
      </c>
      <c r="AK3" s="325">
        <v>12391.94</v>
      </c>
      <c r="AL3" s="325">
        <v>19830.130000000005</v>
      </c>
      <c r="AM3" s="325">
        <v>1368.1100000000004</v>
      </c>
      <c r="AN3" s="325">
        <v>19749.990000000009</v>
      </c>
      <c r="AO3" s="325">
        <v>23863.510000000002</v>
      </c>
      <c r="AP3" s="325">
        <v>14882.580000000002</v>
      </c>
      <c r="AQ3" s="325">
        <v>27531.45</v>
      </c>
      <c r="AR3" s="325">
        <v>15699.820000000003</v>
      </c>
      <c r="AS3" s="325">
        <v>33301.57</v>
      </c>
      <c r="AT3" s="325">
        <v>19010.320000000007</v>
      </c>
      <c r="AU3" s="325">
        <v>12499.66</v>
      </c>
      <c r="AV3" s="325">
        <v>20705.810000000005</v>
      </c>
      <c r="AW3" s="325">
        <v>40971.770000000004</v>
      </c>
      <c r="AX3" s="325">
        <v>24178.2</v>
      </c>
      <c r="AY3" s="325">
        <v>34115.119999999995</v>
      </c>
      <c r="AZ3" s="434"/>
      <c r="BA3" s="323">
        <v>29031.610000000004</v>
      </c>
      <c r="BB3" s="323">
        <v>21755.860000000008</v>
      </c>
      <c r="BC3" s="325">
        <v>15046.560000000001</v>
      </c>
      <c r="BE3" s="323">
        <v>26970.03</v>
      </c>
      <c r="BG3" s="323">
        <v>27854.83</v>
      </c>
      <c r="BH3" s="323">
        <v>0</v>
      </c>
    </row>
    <row r="4" spans="1:61" x14ac:dyDescent="0.25">
      <c r="A4" s="323"/>
      <c r="B4" s="405" t="s">
        <v>63</v>
      </c>
      <c r="C4" s="323">
        <v>2868.76</v>
      </c>
      <c r="D4" s="323">
        <v>1659.2700000000002</v>
      </c>
      <c r="E4" s="323">
        <v>18771.870000000003</v>
      </c>
      <c r="F4" s="323">
        <v>3467.69</v>
      </c>
      <c r="G4" s="323">
        <v>2731.8100000000004</v>
      </c>
      <c r="H4" s="323">
        <v>-9.99</v>
      </c>
      <c r="I4" s="323">
        <v>15203.94</v>
      </c>
      <c r="J4" s="323">
        <v>1871.7600000000002</v>
      </c>
      <c r="K4" s="323">
        <v>11285.22</v>
      </c>
      <c r="L4" s="323">
        <v>10386.51</v>
      </c>
      <c r="M4" s="323">
        <v>9277.74</v>
      </c>
      <c r="N4" s="323">
        <v>24712</v>
      </c>
      <c r="O4" s="323">
        <v>13303.94</v>
      </c>
      <c r="P4" s="323">
        <v>16131.56</v>
      </c>
      <c r="Q4" s="323">
        <v>71277.000000000015</v>
      </c>
      <c r="R4" s="323">
        <v>0</v>
      </c>
      <c r="S4" s="324">
        <v>6071.21</v>
      </c>
      <c r="T4" s="324">
        <v>2045.2800000000002</v>
      </c>
      <c r="U4" s="324">
        <v>2485.35</v>
      </c>
      <c r="V4" s="324">
        <v>3865.1600000000003</v>
      </c>
      <c r="W4" s="324">
        <v>4345.2</v>
      </c>
      <c r="X4" s="324">
        <v>11681.68</v>
      </c>
      <c r="Y4" s="324">
        <v>6377.34</v>
      </c>
      <c r="Z4" s="324">
        <v>64748.840000000004</v>
      </c>
      <c r="AA4" s="324">
        <v>17265.27</v>
      </c>
      <c r="AB4" s="324">
        <v>23345.57</v>
      </c>
      <c r="AC4" s="324">
        <v>8811.59</v>
      </c>
      <c r="AD4" s="324">
        <v>15442.060000000001</v>
      </c>
      <c r="AE4" s="324">
        <v>9767.9800000000014</v>
      </c>
      <c r="AF4" s="324">
        <v>0</v>
      </c>
      <c r="AG4" s="324">
        <v>0</v>
      </c>
      <c r="AH4" s="325">
        <v>23084.38</v>
      </c>
      <c r="AI4" s="325">
        <v>147440.23000000001</v>
      </c>
      <c r="AJ4" s="325">
        <v>5992.4900000000016</v>
      </c>
      <c r="AK4" s="325">
        <v>26354.73</v>
      </c>
      <c r="AL4" s="325">
        <v>25707.429999999997</v>
      </c>
      <c r="AM4" s="325">
        <v>26989.359999999993</v>
      </c>
      <c r="AN4" s="325">
        <v>24929.319999999996</v>
      </c>
      <c r="AO4" s="325">
        <v>107804.65</v>
      </c>
      <c r="AP4" s="325">
        <v>46996.17</v>
      </c>
      <c r="AQ4" s="325">
        <v>37421.979999999996</v>
      </c>
      <c r="AR4" s="325">
        <v>72993.819999999992</v>
      </c>
      <c r="AS4" s="325">
        <v>28594.479999999996</v>
      </c>
      <c r="AT4" s="325">
        <v>59271.81</v>
      </c>
      <c r="AU4" s="325">
        <v>87373.540000000008</v>
      </c>
      <c r="AV4" s="325">
        <v>50097.23</v>
      </c>
      <c r="AW4" s="325">
        <v>32025.649999999998</v>
      </c>
      <c r="AX4" s="325">
        <v>20259.41</v>
      </c>
      <c r="AY4" s="325">
        <v>120167.78</v>
      </c>
      <c r="AZ4" s="434"/>
      <c r="BA4" s="323">
        <v>18558.200000000004</v>
      </c>
      <c r="BB4" s="323">
        <v>14308.070000000002</v>
      </c>
      <c r="BC4" s="325">
        <v>80486.849999999991</v>
      </c>
      <c r="BE4" s="323">
        <v>19984.36</v>
      </c>
      <c r="BG4" s="323">
        <v>2816.25</v>
      </c>
      <c r="BH4" s="323">
        <v>52773.95</v>
      </c>
    </row>
    <row r="5" spans="1:61" x14ac:dyDescent="0.25">
      <c r="A5" s="323"/>
      <c r="B5" s="405" t="s">
        <v>160</v>
      </c>
      <c r="C5" s="378">
        <v>52.5</v>
      </c>
      <c r="D5" s="378">
        <v>52.5</v>
      </c>
      <c r="E5" s="378">
        <v>52.5</v>
      </c>
      <c r="F5" s="378">
        <v>52.5</v>
      </c>
      <c r="G5" s="378">
        <v>7572.38</v>
      </c>
      <c r="H5" s="330">
        <v>512383.45000000007</v>
      </c>
      <c r="I5" s="323">
        <v>52.5</v>
      </c>
      <c r="J5" s="406">
        <v>3134.5299999999993</v>
      </c>
      <c r="K5" s="406">
        <v>6061.2800000000025</v>
      </c>
      <c r="L5" s="406">
        <v>0</v>
      </c>
      <c r="M5" s="406">
        <v>14935.5</v>
      </c>
      <c r="N5" s="406">
        <v>29935.260000000002</v>
      </c>
      <c r="O5" s="406">
        <v>30200.31</v>
      </c>
      <c r="P5" s="406">
        <v>40291.020000000004</v>
      </c>
      <c r="Q5" s="406">
        <v>23054.02</v>
      </c>
      <c r="R5" s="406">
        <v>541962</v>
      </c>
      <c r="S5" s="324">
        <v>1051.26</v>
      </c>
      <c r="T5" s="324">
        <v>3747.97</v>
      </c>
      <c r="U5" s="324">
        <v>42</v>
      </c>
      <c r="V5" s="324">
        <v>552.5</v>
      </c>
      <c r="W5" s="324">
        <v>52.5</v>
      </c>
      <c r="X5" s="324">
        <v>52.5</v>
      </c>
      <c r="Y5" s="324">
        <v>42</v>
      </c>
      <c r="Z5" s="324">
        <v>55945.2</v>
      </c>
      <c r="AA5" s="324">
        <v>113787.87</v>
      </c>
      <c r="AB5" s="324">
        <v>133847.22</v>
      </c>
      <c r="AC5" s="324">
        <v>184504.84</v>
      </c>
      <c r="AD5" s="324">
        <v>34431.589999999997</v>
      </c>
      <c r="AE5" s="324">
        <v>50451.38</v>
      </c>
      <c r="AF5" s="324">
        <v>798640.55999999982</v>
      </c>
      <c r="AG5" s="324">
        <v>850205.49</v>
      </c>
      <c r="AH5" s="325">
        <v>44149.250000000007</v>
      </c>
      <c r="AI5" s="325">
        <v>130734.82</v>
      </c>
      <c r="AJ5" s="325">
        <v>25001.980000000003</v>
      </c>
      <c r="AK5" s="325">
        <v>18219.88</v>
      </c>
      <c r="AL5" s="325">
        <v>67185.490000000005</v>
      </c>
      <c r="AM5" s="325">
        <v>30811.02</v>
      </c>
      <c r="AN5" s="325">
        <v>122799.65999999999</v>
      </c>
      <c r="AO5" s="325">
        <v>236318.35000000003</v>
      </c>
      <c r="AP5" s="325">
        <v>146153.75</v>
      </c>
      <c r="AQ5" s="325">
        <v>135127.43</v>
      </c>
      <c r="AR5" s="325">
        <v>74640.39</v>
      </c>
      <c r="AS5" s="325">
        <v>50799.909999999996</v>
      </c>
      <c r="AT5" s="325">
        <v>117485.69999999998</v>
      </c>
      <c r="AU5" s="325">
        <v>63491.560000000012</v>
      </c>
      <c r="AV5" s="325">
        <v>43189.460000000006</v>
      </c>
      <c r="AW5" s="325">
        <v>110945.54000000001</v>
      </c>
      <c r="AX5" s="325">
        <v>140939.91999999998</v>
      </c>
      <c r="AY5" s="325">
        <v>76707.19</v>
      </c>
      <c r="AZ5" s="434"/>
      <c r="BA5" s="323">
        <v>54784.270000000004</v>
      </c>
      <c r="BB5" s="323">
        <v>60598.71</v>
      </c>
      <c r="BC5" s="325">
        <v>81049.070000000007</v>
      </c>
      <c r="BE5" s="323">
        <v>184711.7</v>
      </c>
      <c r="BG5" s="323">
        <v>0</v>
      </c>
      <c r="BH5" s="323">
        <v>0</v>
      </c>
    </row>
    <row r="6" spans="1:61" x14ac:dyDescent="0.25">
      <c r="A6" s="323"/>
      <c r="B6" s="407" t="s">
        <v>155</v>
      </c>
      <c r="C6" s="323">
        <v>316.05</v>
      </c>
      <c r="D6" s="323">
        <v>12773.77</v>
      </c>
      <c r="E6" s="323">
        <v>-1435.96</v>
      </c>
      <c r="F6" s="323">
        <v>1074.4100000000001</v>
      </c>
      <c r="G6" s="323">
        <v>8462.44</v>
      </c>
      <c r="H6" s="323">
        <v>19419.739999999998</v>
      </c>
      <c r="I6" s="323">
        <v>20911.869999999995</v>
      </c>
      <c r="J6" s="323">
        <v>25183.289999999994</v>
      </c>
      <c r="K6" s="323">
        <v>69973.999999999985</v>
      </c>
      <c r="L6" s="323">
        <v>3362.01</v>
      </c>
      <c r="M6" s="323">
        <v>47372.840000000004</v>
      </c>
      <c r="N6" s="323">
        <v>14977.3</v>
      </c>
      <c r="O6" s="323">
        <v>9585.0300000000007</v>
      </c>
      <c r="P6" s="323">
        <v>9830.7199999999993</v>
      </c>
      <c r="Q6" s="323">
        <v>12063.34</v>
      </c>
      <c r="R6" s="323">
        <v>13850.539999999999</v>
      </c>
      <c r="S6" s="324">
        <v>31163.68</v>
      </c>
      <c r="T6" s="324">
        <v>24614.46</v>
      </c>
      <c r="U6" s="324">
        <v>35533.990000000005</v>
      </c>
      <c r="V6" s="324">
        <v>37584.46</v>
      </c>
      <c r="W6" s="324">
        <v>9044.99</v>
      </c>
      <c r="X6" s="324">
        <v>12973.470000000001</v>
      </c>
      <c r="Y6" s="324">
        <v>29390.93</v>
      </c>
      <c r="Z6" s="324">
        <v>6107.0300000000007</v>
      </c>
      <c r="AA6" s="324">
        <v>31922.2</v>
      </c>
      <c r="AB6" s="324">
        <v>14693.2</v>
      </c>
      <c r="AC6" s="324">
        <v>28490.67</v>
      </c>
      <c r="AD6" s="324">
        <v>21489.399999999998</v>
      </c>
      <c r="AE6" s="324">
        <v>2956.63</v>
      </c>
      <c r="AF6" s="324">
        <v>20617.46</v>
      </c>
      <c r="AG6" s="324">
        <v>19221.59</v>
      </c>
      <c r="AH6" s="324">
        <v>19753.259999999998</v>
      </c>
      <c r="AI6" s="324">
        <v>34386.1</v>
      </c>
      <c r="AJ6" s="324">
        <v>7683.17</v>
      </c>
      <c r="AK6" s="324">
        <v>10731.009999999998</v>
      </c>
      <c r="AL6" s="324">
        <v>9406.9300000000039</v>
      </c>
      <c r="AM6" s="324">
        <v>14768.46</v>
      </c>
      <c r="AN6" s="324">
        <v>27828.369999999995</v>
      </c>
      <c r="AO6" s="324">
        <v>23689.389999999996</v>
      </c>
      <c r="AP6" s="324">
        <v>34548.92</v>
      </c>
      <c r="AQ6" s="324">
        <v>37914.25</v>
      </c>
      <c r="AR6" s="324">
        <v>37254.22</v>
      </c>
      <c r="AS6" s="324">
        <v>30297.370000000003</v>
      </c>
      <c r="AT6" s="324">
        <v>27416.55</v>
      </c>
      <c r="AU6" s="324">
        <v>46814.539999999994</v>
      </c>
      <c r="AV6" s="324">
        <v>15355.819999999998</v>
      </c>
      <c r="AW6" s="324">
        <v>24243.840000000004</v>
      </c>
      <c r="AX6" s="324">
        <v>32749.940000000002</v>
      </c>
      <c r="AY6" s="324">
        <v>58559.990000000005</v>
      </c>
      <c r="AZ6" s="434"/>
      <c r="BA6" s="323">
        <v>32529.860000000004</v>
      </c>
      <c r="BB6" s="323">
        <v>30129.3</v>
      </c>
      <c r="BC6" s="325">
        <v>31040.11</v>
      </c>
      <c r="BE6" s="323">
        <v>31054.179999999997</v>
      </c>
      <c r="BG6" s="323">
        <v>19585.05</v>
      </c>
      <c r="BH6" s="323">
        <v>9475.15</v>
      </c>
    </row>
    <row r="7" spans="1:61" s="424" customFormat="1" x14ac:dyDescent="0.25">
      <c r="A7" s="419"/>
      <c r="B7" s="420" t="s">
        <v>172</v>
      </c>
      <c r="C7" s="378">
        <v>10302.990000000002</v>
      </c>
      <c r="D7" s="378">
        <v>114.11</v>
      </c>
      <c r="E7" s="378">
        <v>6399.42</v>
      </c>
      <c r="F7" s="378">
        <v>951.56</v>
      </c>
      <c r="G7" s="378">
        <v>2175.9700000000003</v>
      </c>
      <c r="H7" s="323">
        <v>33365.270000000004</v>
      </c>
      <c r="I7" s="419">
        <v>9271.130000000001</v>
      </c>
      <c r="J7" s="422">
        <v>19937.009999999998</v>
      </c>
      <c r="K7" s="422">
        <v>26202.879999999997</v>
      </c>
      <c r="L7" s="422">
        <v>5202.87</v>
      </c>
      <c r="M7" s="422">
        <v>57398.01999999999</v>
      </c>
      <c r="N7" s="422">
        <v>18150.34</v>
      </c>
      <c r="O7" s="422">
        <v>18226.62</v>
      </c>
      <c r="P7" s="422">
        <v>1394.6299999999999</v>
      </c>
      <c r="Q7" s="422">
        <v>8686.59</v>
      </c>
      <c r="R7" s="422">
        <v>1514.4399999999998</v>
      </c>
      <c r="S7" s="324">
        <v>9280.31</v>
      </c>
      <c r="T7" s="324">
        <v>4932.08</v>
      </c>
      <c r="U7" s="324">
        <v>17707.490000000002</v>
      </c>
      <c r="V7" s="324">
        <v>8575.7800000000007</v>
      </c>
      <c r="W7" s="324">
        <v>10045.979999999998</v>
      </c>
      <c r="X7" s="324">
        <v>328.12</v>
      </c>
      <c r="Y7" s="324">
        <v>9583.8900000000012</v>
      </c>
      <c r="Z7" s="324">
        <v>16412.52</v>
      </c>
      <c r="AA7" s="324">
        <v>6954.2300000000005</v>
      </c>
      <c r="AB7" s="324">
        <v>4659.42</v>
      </c>
      <c r="AC7" s="324">
        <v>4478.5200000000004</v>
      </c>
      <c r="AD7" s="324">
        <v>7769.0599999999986</v>
      </c>
      <c r="AE7" s="324">
        <v>14297.24</v>
      </c>
      <c r="AF7" s="324">
        <v>13769.3</v>
      </c>
      <c r="AG7" s="324">
        <v>5067.2100000000009</v>
      </c>
      <c r="AH7" s="324">
        <v>24940.57</v>
      </c>
      <c r="AI7" s="324">
        <v>-42236.669999999984</v>
      </c>
      <c r="AJ7" s="324">
        <v>38805.68</v>
      </c>
      <c r="AK7" s="324">
        <v>23657.35</v>
      </c>
      <c r="AL7" s="324">
        <v>19342.57</v>
      </c>
      <c r="AM7" s="324">
        <v>-3191.41</v>
      </c>
      <c r="AN7" s="324">
        <v>15203.48</v>
      </c>
      <c r="AO7" s="324">
        <v>58237.08</v>
      </c>
      <c r="AP7" s="324">
        <v>40088.410000000003</v>
      </c>
      <c r="AQ7" s="324">
        <v>27631.589999999997</v>
      </c>
      <c r="AR7" s="324">
        <v>47177.4</v>
      </c>
      <c r="AS7" s="324">
        <v>28950.97</v>
      </c>
      <c r="AT7" s="324">
        <v>19210.589999999997</v>
      </c>
      <c r="AU7" s="324">
        <v>21146.130000000005</v>
      </c>
      <c r="AV7" s="324">
        <v>34205.980000000003</v>
      </c>
      <c r="AW7" s="324">
        <v>13852.64</v>
      </c>
      <c r="AX7" s="324">
        <v>35745.870000000003</v>
      </c>
      <c r="AY7" s="324">
        <v>5359.8</v>
      </c>
      <c r="AZ7" s="434"/>
      <c r="BA7" s="332">
        <v>33399.83</v>
      </c>
      <c r="BB7" s="325">
        <v>15102.369999999999</v>
      </c>
      <c r="BC7" s="325">
        <v>22519.289999999997</v>
      </c>
      <c r="BD7" s="318"/>
      <c r="BE7" s="323">
        <v>8824.08</v>
      </c>
      <c r="BF7" s="318"/>
      <c r="BG7" s="323">
        <v>0</v>
      </c>
      <c r="BH7" s="419">
        <v>2419.87</v>
      </c>
      <c r="BI7" s="318"/>
    </row>
    <row r="8" spans="1:61" s="424" customFormat="1" x14ac:dyDescent="0.25">
      <c r="A8" s="419"/>
      <c r="B8" s="420" t="s">
        <v>173</v>
      </c>
      <c r="C8" s="378">
        <v>6281.08</v>
      </c>
      <c r="D8" s="378">
        <v>5132.57</v>
      </c>
      <c r="E8" s="378">
        <v>14542.34</v>
      </c>
      <c r="F8" s="378">
        <v>8514.99</v>
      </c>
      <c r="G8" s="378">
        <v>5366.24</v>
      </c>
      <c r="H8" s="422">
        <v>4762.37</v>
      </c>
      <c r="I8" s="419">
        <v>2890.25</v>
      </c>
      <c r="J8" s="422">
        <v>18097.090000000004</v>
      </c>
      <c r="K8" s="422">
        <v>41662.239999999998</v>
      </c>
      <c r="L8" s="422">
        <v>2728.4700000000003</v>
      </c>
      <c r="M8" s="422">
        <v>22271.73</v>
      </c>
      <c r="N8" s="422">
        <v>19489</v>
      </c>
      <c r="O8" s="422">
        <v>7882.27</v>
      </c>
      <c r="P8" s="422">
        <v>6899</v>
      </c>
      <c r="Q8" s="422">
        <v>5110.46</v>
      </c>
      <c r="R8" s="422">
        <v>33526.36</v>
      </c>
      <c r="S8" s="324">
        <v>20716.61</v>
      </c>
      <c r="T8" s="324">
        <v>7791.48</v>
      </c>
      <c r="U8" s="324">
        <v>16800.170000000002</v>
      </c>
      <c r="V8" s="324">
        <v>10621.39</v>
      </c>
      <c r="W8" s="324">
        <v>8869.8700000000008</v>
      </c>
      <c r="X8" s="324">
        <v>11280.949999999999</v>
      </c>
      <c r="Y8" s="324">
        <v>7420.6500000000005</v>
      </c>
      <c r="Z8" s="324">
        <v>7668.22</v>
      </c>
      <c r="AA8" s="324">
        <v>19848.689999999999</v>
      </c>
      <c r="AB8" s="324">
        <v>9846.7199999999993</v>
      </c>
      <c r="AC8" s="324">
        <v>18689.34</v>
      </c>
      <c r="AD8" s="324">
        <v>13029.4</v>
      </c>
      <c r="AE8" s="324">
        <v>6374.42</v>
      </c>
      <c r="AF8" s="324">
        <v>15645.419999999998</v>
      </c>
      <c r="AG8" s="324">
        <v>5597.33</v>
      </c>
      <c r="AH8" s="324">
        <v>5267.67</v>
      </c>
      <c r="AI8" s="324">
        <v>6439.829999999999</v>
      </c>
      <c r="AJ8" s="324">
        <v>13342.26</v>
      </c>
      <c r="AK8" s="324">
        <v>9643.4</v>
      </c>
      <c r="AL8" s="324">
        <v>4019.58</v>
      </c>
      <c r="AM8" s="324">
        <v>3047.7000000000012</v>
      </c>
      <c r="AN8" s="324">
        <v>7001.8900000000012</v>
      </c>
      <c r="AO8" s="324">
        <v>7710.84</v>
      </c>
      <c r="AP8" s="324">
        <v>3070.63</v>
      </c>
      <c r="AQ8" s="324">
        <v>13397.380000000001</v>
      </c>
      <c r="AR8" s="324">
        <v>15140.559999999998</v>
      </c>
      <c r="AS8" s="324">
        <v>10222.75</v>
      </c>
      <c r="AT8" s="324">
        <v>-684.08999999999946</v>
      </c>
      <c r="AU8" s="324">
        <v>2977.4600000000009</v>
      </c>
      <c r="AV8" s="324">
        <v>12233.78</v>
      </c>
      <c r="AW8" s="324">
        <v>8794.869999999999</v>
      </c>
      <c r="AX8" s="324">
        <v>-1378.3499999999997</v>
      </c>
      <c r="AY8" s="324">
        <v>16063.220000000001</v>
      </c>
      <c r="AZ8" s="434"/>
      <c r="BA8" s="332">
        <v>6833.24</v>
      </c>
      <c r="BB8" s="325">
        <v>13909.87</v>
      </c>
      <c r="BC8" s="325">
        <v>11610.769999999999</v>
      </c>
      <c r="BD8" s="318"/>
      <c r="BE8" s="323">
        <v>6274.57</v>
      </c>
      <c r="BF8" s="318"/>
      <c r="BG8" s="323">
        <v>3753.2400000000002</v>
      </c>
      <c r="BH8" s="323">
        <v>4179.6399999999994</v>
      </c>
      <c r="BI8" s="318"/>
    </row>
    <row r="9" spans="1:61" s="424" customFormat="1" x14ac:dyDescent="0.25">
      <c r="A9" s="419"/>
      <c r="B9" s="420" t="s">
        <v>163</v>
      </c>
      <c r="C9" s="421"/>
      <c r="D9" s="421"/>
      <c r="E9" s="421"/>
      <c r="F9" s="421"/>
      <c r="G9" s="421"/>
      <c r="H9" s="421"/>
      <c r="I9" s="422"/>
      <c r="J9" s="422"/>
      <c r="K9" s="422"/>
      <c r="L9" s="422"/>
      <c r="M9" s="422"/>
      <c r="N9" s="422"/>
      <c r="O9" s="422"/>
      <c r="P9" s="422"/>
      <c r="Q9" s="422"/>
      <c r="R9" s="422"/>
      <c r="S9" s="324">
        <v>173.22</v>
      </c>
      <c r="T9" s="324">
        <v>0</v>
      </c>
      <c r="U9" s="324">
        <v>0</v>
      </c>
      <c r="V9" s="324">
        <v>0</v>
      </c>
      <c r="W9" s="324">
        <v>0</v>
      </c>
      <c r="X9" s="324">
        <v>1578</v>
      </c>
      <c r="Y9" s="324">
        <v>0</v>
      </c>
      <c r="Z9" s="324">
        <v>0</v>
      </c>
      <c r="AA9" s="324">
        <v>0</v>
      </c>
      <c r="AB9" s="324">
        <v>78.37</v>
      </c>
      <c r="AC9" s="324">
        <v>0</v>
      </c>
      <c r="AD9" s="324">
        <v>0</v>
      </c>
      <c r="AE9" s="324">
        <v>0</v>
      </c>
      <c r="AF9" s="324">
        <v>0</v>
      </c>
      <c r="AG9" s="324">
        <v>0</v>
      </c>
      <c r="AH9" s="324"/>
      <c r="AI9" s="324"/>
      <c r="AJ9" s="324"/>
      <c r="AK9" s="324"/>
      <c r="AL9" s="324"/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434"/>
      <c r="BA9" s="332"/>
      <c r="BB9" s="325"/>
      <c r="BC9" s="325"/>
      <c r="BD9" s="318"/>
      <c r="BE9" s="419"/>
      <c r="BF9" s="318"/>
      <c r="BG9" s="419"/>
      <c r="BH9" s="419"/>
      <c r="BI9" s="318"/>
    </row>
    <row r="10" spans="1:61" x14ac:dyDescent="0.25">
      <c r="A10" s="377" t="s">
        <v>148</v>
      </c>
      <c r="B10" s="407" t="s">
        <v>115</v>
      </c>
      <c r="C10" s="328"/>
      <c r="D10" s="328"/>
      <c r="E10" s="328"/>
      <c r="F10" s="328"/>
      <c r="G10" s="328"/>
      <c r="H10" s="328"/>
      <c r="I10" s="418">
        <f>_xlfn.XLOOKUP(I2, $C44:$C107, $F44:$F107, "Not found", 0)</f>
        <v>9.8619011648216112E-2</v>
      </c>
      <c r="J10" s="418">
        <f t="shared" ref="J10:AW10" si="0">_xlfn.XLOOKUP(J2, $C44:$C107, $F44:$F107, "Not found", 0)</f>
        <v>1.773393937206067</v>
      </c>
      <c r="K10" s="418">
        <f t="shared" si="0"/>
        <v>0.43572284584386728</v>
      </c>
      <c r="L10" s="418">
        <f t="shared" si="0"/>
        <v>1.2362768595041321E-2</v>
      </c>
      <c r="M10" s="418">
        <f t="shared" si="0"/>
        <v>0.91251996090691379</v>
      </c>
      <c r="N10" s="418">
        <f t="shared" si="0"/>
        <v>3.5999452954048154E-3</v>
      </c>
      <c r="O10" s="418">
        <f t="shared" si="0"/>
        <v>1.2669999999999999</v>
      </c>
      <c r="P10" s="418">
        <f t="shared" si="0"/>
        <v>8.2242059037475418E-2</v>
      </c>
      <c r="Q10" s="418">
        <f t="shared" si="0"/>
        <v>0.35231446808510641</v>
      </c>
      <c r="R10" s="418">
        <f t="shared" si="0"/>
        <v>0.33603172554990673</v>
      </c>
      <c r="S10" s="418">
        <f t="shared" si="0"/>
        <v>0.69404135802469136</v>
      </c>
      <c r="T10" s="418">
        <f t="shared" si="0"/>
        <v>1.1638538181818181</v>
      </c>
      <c r="U10" s="418">
        <f t="shared" si="0"/>
        <v>0.18754106916398403</v>
      </c>
      <c r="V10" s="418">
        <f t="shared" si="0"/>
        <v>0.16364115246090088</v>
      </c>
      <c r="W10" s="418">
        <f t="shared" si="0"/>
        <v>0.32135049999999998</v>
      </c>
      <c r="X10" s="418">
        <f t="shared" si="0"/>
        <v>0.2873523947368421</v>
      </c>
      <c r="Y10" s="418">
        <f t="shared" si="0"/>
        <v>0.63456279411764716</v>
      </c>
      <c r="Z10" s="418">
        <f t="shared" si="0"/>
        <v>6.9371320132013206E-2</v>
      </c>
      <c r="AA10" s="418">
        <f t="shared" si="0"/>
        <v>0.29988891412994095</v>
      </c>
      <c r="AB10" s="418">
        <f t="shared" si="0"/>
        <v>0.39332615880693267</v>
      </c>
      <c r="AC10" s="418">
        <f t="shared" si="0"/>
        <v>0.16471524273534019</v>
      </c>
      <c r="AD10" s="418">
        <f t="shared" si="0"/>
        <v>0.578189200863931</v>
      </c>
      <c r="AE10" s="418">
        <f t="shared" si="0"/>
        <v>0.10230404040404041</v>
      </c>
      <c r="AF10" s="418">
        <f t="shared" si="0"/>
        <v>0.59270467463171328</v>
      </c>
      <c r="AG10" s="418">
        <f t="shared" si="0"/>
        <v>0.78919606720122193</v>
      </c>
      <c r="AH10" s="418">
        <f t="shared" si="0"/>
        <v>0.26388266439155367</v>
      </c>
      <c r="AI10" s="418">
        <f t="shared" si="0"/>
        <v>0.38393478306662826</v>
      </c>
      <c r="AJ10" s="418">
        <f t="shared" si="0"/>
        <v>0.40103110681791482</v>
      </c>
      <c r="AK10" s="418">
        <f t="shared" si="0"/>
        <v>2.6115208220427399E-2</v>
      </c>
      <c r="AL10" s="418">
        <f t="shared" si="0"/>
        <v>0.21646935272472018</v>
      </c>
      <c r="AM10" s="418">
        <f t="shared" si="0"/>
        <v>0.27556365801026861</v>
      </c>
      <c r="AN10" s="418">
        <f t="shared" si="0"/>
        <v>1.1368541341740772E-2</v>
      </c>
      <c r="AO10" s="418">
        <f t="shared" si="0"/>
        <v>0.15764750011721865</v>
      </c>
      <c r="AP10" s="418">
        <f t="shared" si="0"/>
        <v>4.7795592777450983E-2</v>
      </c>
      <c r="AQ10" s="418">
        <f t="shared" si="0"/>
        <v>0.3663815758489144</v>
      </c>
      <c r="AR10" s="418">
        <f t="shared" si="0"/>
        <v>0.21676873685619416</v>
      </c>
      <c r="AS10" s="418">
        <f t="shared" si="0"/>
        <v>0.10187757239599382</v>
      </c>
      <c r="AT10" s="418">
        <f t="shared" si="0"/>
        <v>0.15766736899839984</v>
      </c>
      <c r="AU10" s="418">
        <f t="shared" si="0"/>
        <v>0.10836749224343573</v>
      </c>
      <c r="AV10" s="418">
        <f t="shared" si="0"/>
        <v>0.20251518298602486</v>
      </c>
      <c r="AW10" s="418">
        <f t="shared" si="0"/>
        <v>0.22279010694624929</v>
      </c>
      <c r="AX10" s="418"/>
      <c r="AY10" s="418"/>
      <c r="AZ10" s="434"/>
      <c r="BA10" s="332"/>
      <c r="BB10" s="418"/>
      <c r="BC10" s="418"/>
      <c r="BE10" s="323"/>
      <c r="BG10" s="323"/>
    </row>
    <row r="11" spans="1:61" x14ac:dyDescent="0.25">
      <c r="A11" s="377" t="s">
        <v>149</v>
      </c>
      <c r="B11" s="408" t="s">
        <v>133</v>
      </c>
      <c r="C11" s="323"/>
      <c r="D11" s="323"/>
      <c r="E11" s="328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5">
        <v>6667.5599999999995</v>
      </c>
      <c r="AI11" s="325">
        <v>8134.08</v>
      </c>
      <c r="AJ11" s="325">
        <v>3078.9</v>
      </c>
      <c r="AK11" s="325">
        <v>9679.99</v>
      </c>
      <c r="AL11" s="325">
        <v>8224.0499999999993</v>
      </c>
      <c r="AM11" s="325">
        <v>3511.52</v>
      </c>
      <c r="AN11" s="325">
        <v>7238.15</v>
      </c>
      <c r="AO11" s="325">
        <v>6740.3899999999994</v>
      </c>
      <c r="AP11" s="325">
        <v>7288.5899999999992</v>
      </c>
      <c r="AQ11" s="325">
        <v>3872.7000000000003</v>
      </c>
      <c r="AR11" s="325">
        <v>5647.59</v>
      </c>
      <c r="AS11" s="325">
        <v>11644.11</v>
      </c>
      <c r="AT11" s="325">
        <v>12192.299999999997</v>
      </c>
      <c r="AU11" s="325">
        <v>6202.8099999999995</v>
      </c>
      <c r="AV11" s="325">
        <v>9282.4399999999987</v>
      </c>
      <c r="AW11" s="325">
        <v>17481.13</v>
      </c>
      <c r="AX11" s="325">
        <v>7865.03</v>
      </c>
      <c r="AY11" s="325">
        <v>13227.45</v>
      </c>
      <c r="AZ11" s="434"/>
      <c r="BA11" s="332">
        <v>8360.24</v>
      </c>
      <c r="BB11" s="325">
        <v>6497.47</v>
      </c>
      <c r="BC11" s="325">
        <v>11417.82</v>
      </c>
      <c r="BE11" s="323"/>
    </row>
    <row r="12" spans="1:61" x14ac:dyDescent="0.25">
      <c r="B12" s="341" t="s">
        <v>164</v>
      </c>
      <c r="C12" s="323">
        <f>C7+C8</f>
        <v>16584.07</v>
      </c>
      <c r="D12" s="323">
        <f t="shared" ref="D12:H12" si="1">D7+D8</f>
        <v>5246.6799999999994</v>
      </c>
      <c r="E12" s="323">
        <f t="shared" si="1"/>
        <v>20941.760000000002</v>
      </c>
      <c r="F12" s="323">
        <f t="shared" si="1"/>
        <v>9466.5499999999993</v>
      </c>
      <c r="G12" s="323">
        <f t="shared" si="1"/>
        <v>7542.21</v>
      </c>
      <c r="H12" s="323">
        <f t="shared" si="1"/>
        <v>38127.640000000007</v>
      </c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435"/>
      <c r="BA12" s="329"/>
      <c r="BB12" s="329"/>
      <c r="BC12" s="329"/>
      <c r="BE12" s="323"/>
      <c r="BG12" s="323">
        <f>SUM(BG7:BG8)</f>
        <v>3753.2400000000002</v>
      </c>
      <c r="BH12" s="323">
        <f>SUM(BH7:BH8)</f>
        <v>6599.5099999999993</v>
      </c>
    </row>
    <row r="13" spans="1:61" x14ac:dyDescent="0.25">
      <c r="B13" s="342" t="s">
        <v>227</v>
      </c>
      <c r="C13" s="320" t="s">
        <v>2</v>
      </c>
      <c r="D13" s="320" t="s">
        <v>3</v>
      </c>
      <c r="E13" s="320" t="s">
        <v>4</v>
      </c>
      <c r="F13" s="320" t="s">
        <v>5</v>
      </c>
      <c r="G13" s="320" t="s">
        <v>6</v>
      </c>
      <c r="H13" s="320" t="s">
        <v>7</v>
      </c>
      <c r="I13" s="319" t="s">
        <v>8</v>
      </c>
      <c r="J13" s="319" t="s">
        <v>9</v>
      </c>
      <c r="K13" s="319" t="s">
        <v>10</v>
      </c>
      <c r="L13" s="319" t="s">
        <v>114</v>
      </c>
      <c r="M13" s="319" t="s">
        <v>12</v>
      </c>
      <c r="N13" s="319" t="s">
        <v>13</v>
      </c>
      <c r="O13" s="319" t="s">
        <v>14</v>
      </c>
      <c r="P13" s="319" t="s">
        <v>15</v>
      </c>
      <c r="Q13" s="319" t="s">
        <v>16</v>
      </c>
      <c r="R13" s="319" t="s">
        <v>17</v>
      </c>
      <c r="S13" s="319" t="s">
        <v>18</v>
      </c>
      <c r="T13" s="319" t="s">
        <v>19</v>
      </c>
      <c r="U13" s="319" t="s">
        <v>20</v>
      </c>
      <c r="V13" s="319" t="s">
        <v>21</v>
      </c>
      <c r="W13" s="319" t="s">
        <v>22</v>
      </c>
      <c r="X13" s="319" t="s">
        <v>23</v>
      </c>
      <c r="Y13" s="319" t="s">
        <v>24</v>
      </c>
      <c r="Z13" s="319" t="s">
        <v>25</v>
      </c>
      <c r="AA13" s="319" t="s">
        <v>26</v>
      </c>
      <c r="AB13" s="319" t="s">
        <v>27</v>
      </c>
      <c r="AC13" s="319" t="s">
        <v>28</v>
      </c>
      <c r="AD13" s="319" t="s">
        <v>29</v>
      </c>
      <c r="AE13" s="319" t="s">
        <v>30</v>
      </c>
      <c r="AF13" s="319" t="s">
        <v>31</v>
      </c>
      <c r="AG13" s="319" t="s">
        <v>32</v>
      </c>
      <c r="AH13" s="319" t="s">
        <v>34</v>
      </c>
      <c r="AI13" s="319" t="s">
        <v>35</v>
      </c>
      <c r="AJ13" s="319" t="s">
        <v>36</v>
      </c>
      <c r="AK13" s="319" t="s">
        <v>37</v>
      </c>
      <c r="AL13" s="319" t="s">
        <v>38</v>
      </c>
      <c r="AM13" s="319" t="s">
        <v>39</v>
      </c>
      <c r="AN13" s="319" t="s">
        <v>33</v>
      </c>
      <c r="AO13" s="319" t="s">
        <v>40</v>
      </c>
      <c r="AP13" s="319" t="s">
        <v>41</v>
      </c>
      <c r="AQ13" s="319" t="s">
        <v>42</v>
      </c>
      <c r="AR13" s="319" t="s">
        <v>43</v>
      </c>
      <c r="AS13" s="319" t="s">
        <v>44</v>
      </c>
      <c r="AT13" s="319" t="s">
        <v>45</v>
      </c>
      <c r="AU13" s="319" t="s">
        <v>46</v>
      </c>
      <c r="AV13" s="319" t="s">
        <v>47</v>
      </c>
      <c r="AW13" s="319" t="s">
        <v>48</v>
      </c>
      <c r="AX13" s="319" t="s">
        <v>49</v>
      </c>
      <c r="AY13" s="319" t="s">
        <v>50</v>
      </c>
      <c r="AZ13" s="321" t="s">
        <v>51</v>
      </c>
      <c r="BA13" s="319" t="s">
        <v>52</v>
      </c>
      <c r="BB13" s="319" t="s">
        <v>53</v>
      </c>
      <c r="BC13" s="319" t="s">
        <v>54</v>
      </c>
      <c r="BE13" s="377" t="s">
        <v>158</v>
      </c>
      <c r="BG13" s="319" t="s">
        <v>241</v>
      </c>
      <c r="BH13" s="319" t="s">
        <v>242</v>
      </c>
    </row>
    <row r="14" spans="1:61" s="424" customFormat="1" x14ac:dyDescent="0.25">
      <c r="B14" s="425" t="s">
        <v>62</v>
      </c>
      <c r="I14" s="429">
        <v>25420</v>
      </c>
      <c r="J14" s="439">
        <v>44629</v>
      </c>
      <c r="K14" s="439">
        <v>78044</v>
      </c>
      <c r="L14" s="439">
        <v>11836</v>
      </c>
      <c r="M14" s="439">
        <v>42169</v>
      </c>
      <c r="N14" s="439">
        <v>16811</v>
      </c>
      <c r="O14" s="439">
        <v>7548</v>
      </c>
      <c r="P14" s="439">
        <v>8396</v>
      </c>
      <c r="Q14" s="439">
        <v>20448</v>
      </c>
      <c r="R14" s="439">
        <v>273</v>
      </c>
      <c r="S14" s="330">
        <v>15177.060000000001</v>
      </c>
      <c r="T14" s="422">
        <v>16258.38</v>
      </c>
      <c r="U14" s="422">
        <v>18999.900000000001</v>
      </c>
      <c r="V14" s="422">
        <v>27198.32</v>
      </c>
      <c r="W14" s="422">
        <v>18727.93</v>
      </c>
      <c r="X14" s="422">
        <v>20365.139999999992</v>
      </c>
      <c r="Y14" s="422">
        <v>18012.520000000004</v>
      </c>
      <c r="Z14" s="422">
        <v>14533.009999999998</v>
      </c>
      <c r="AA14" s="422">
        <v>18539.860000000004</v>
      </c>
      <c r="AB14" s="422">
        <v>15967.710000000001</v>
      </c>
      <c r="AC14" s="422">
        <v>19179.190000000002</v>
      </c>
      <c r="AD14" s="422">
        <v>23112.809999999998</v>
      </c>
      <c r="AE14" s="422">
        <v>4046.01</v>
      </c>
      <c r="AF14" s="422">
        <v>0</v>
      </c>
      <c r="AG14" s="330">
        <v>34.61</v>
      </c>
      <c r="AH14" s="325">
        <v>9574.0199999999986</v>
      </c>
      <c r="AI14" s="325">
        <v>37515.96</v>
      </c>
      <c r="AJ14" s="325">
        <v>12346.41</v>
      </c>
      <c r="AK14" s="325">
        <v>7842.77</v>
      </c>
      <c r="AL14" s="325">
        <v>22006.289999999997</v>
      </c>
      <c r="AM14" s="325">
        <v>7320.47</v>
      </c>
      <c r="AN14" s="325">
        <v>15839.960000000001</v>
      </c>
      <c r="AO14" s="325">
        <v>21941.409999999996</v>
      </c>
      <c r="AP14" s="325">
        <v>21014.129999999997</v>
      </c>
      <c r="AQ14" s="325">
        <v>20124.36</v>
      </c>
      <c r="AR14" s="325">
        <v>20806.66</v>
      </c>
      <c r="AS14" s="325">
        <v>25285.269999999997</v>
      </c>
      <c r="AT14" s="325">
        <v>20919.770000000004</v>
      </c>
      <c r="AU14" s="325">
        <v>21578.890000000003</v>
      </c>
      <c r="AV14" s="325">
        <v>19596.93</v>
      </c>
      <c r="AW14" s="325">
        <v>19410.739999999998</v>
      </c>
      <c r="AX14" s="325">
        <v>27185.920000000002</v>
      </c>
      <c r="AY14" s="325">
        <v>27188.75</v>
      </c>
      <c r="AZ14" s="338"/>
      <c r="BA14" s="337">
        <v>19867.190000000002</v>
      </c>
      <c r="BB14" s="325">
        <v>16851.969999999998</v>
      </c>
      <c r="BC14" s="325">
        <v>22510.859999999993</v>
      </c>
      <c r="BD14" s="318"/>
      <c r="BE14" s="323">
        <v>27980.57</v>
      </c>
      <c r="BF14" s="318"/>
      <c r="BG14" s="318"/>
      <c r="BI14" s="318"/>
    </row>
    <row r="15" spans="1:61" x14ac:dyDescent="0.25">
      <c r="B15" s="341" t="s">
        <v>63</v>
      </c>
      <c r="I15" s="429">
        <v>4240</v>
      </c>
      <c r="J15" s="439">
        <v>2179</v>
      </c>
      <c r="K15" s="439">
        <v>6808</v>
      </c>
      <c r="L15" s="439">
        <v>3295</v>
      </c>
      <c r="M15" s="439">
        <v>4125</v>
      </c>
      <c r="N15" s="439">
        <v>32087</v>
      </c>
      <c r="O15" s="439">
        <v>4895</v>
      </c>
      <c r="P15" s="439">
        <v>5557</v>
      </c>
      <c r="Q15" s="439">
        <v>52482</v>
      </c>
      <c r="R15" s="439">
        <v>0</v>
      </c>
      <c r="S15" s="330">
        <v>3402.75</v>
      </c>
      <c r="T15" s="330">
        <v>6389.48</v>
      </c>
      <c r="U15" s="330">
        <v>1944.9399999999998</v>
      </c>
      <c r="V15" s="330">
        <v>2410.04</v>
      </c>
      <c r="W15" s="330">
        <v>3842.0499999999997</v>
      </c>
      <c r="X15" s="330">
        <v>3150.6</v>
      </c>
      <c r="Y15" s="330">
        <v>2401.34</v>
      </c>
      <c r="Z15" s="330">
        <v>54653.15</v>
      </c>
      <c r="AA15" s="330">
        <v>19745.269999999997</v>
      </c>
      <c r="AB15" s="330">
        <v>22164.9</v>
      </c>
      <c r="AC15" s="330">
        <v>18731.399999999998</v>
      </c>
      <c r="AD15" s="330">
        <v>16729.189999999999</v>
      </c>
      <c r="AE15" s="330">
        <v>5697.82</v>
      </c>
      <c r="AF15" s="330">
        <v>0</v>
      </c>
      <c r="AG15" s="330">
        <v>0</v>
      </c>
      <c r="AH15" s="325">
        <v>4219.9304400000001</v>
      </c>
      <c r="AI15" s="325">
        <v>10915.464720000002</v>
      </c>
      <c r="AJ15" s="325">
        <v>3547.9524000000001</v>
      </c>
      <c r="AK15" s="325">
        <v>6567.0919200000008</v>
      </c>
      <c r="AL15" s="325">
        <v>6302.0107199999993</v>
      </c>
      <c r="AM15" s="325">
        <v>4240.4113200000002</v>
      </c>
      <c r="AN15" s="325">
        <v>10081.7094</v>
      </c>
      <c r="AO15" s="325">
        <v>11371.491119999997</v>
      </c>
      <c r="AP15" s="325">
        <v>11106.703439999999</v>
      </c>
      <c r="AQ15" s="325">
        <v>10691.372639999998</v>
      </c>
      <c r="AR15" s="325">
        <v>10646.446800000002</v>
      </c>
      <c r="AS15" s="325">
        <v>11852.129519999999</v>
      </c>
      <c r="AT15" s="325">
        <v>10356.282119999998</v>
      </c>
      <c r="AU15" s="325">
        <v>11974.344239999999</v>
      </c>
      <c r="AV15" s="325">
        <v>9538.9192799999983</v>
      </c>
      <c r="AW15" s="325">
        <v>10403.265239999999</v>
      </c>
      <c r="AX15" s="325">
        <v>10169.871360000001</v>
      </c>
      <c r="AY15" s="325">
        <v>13976.265360000001</v>
      </c>
      <c r="AZ15" s="338"/>
      <c r="BA15" s="337">
        <v>8230.1678400000001</v>
      </c>
      <c r="BB15" s="325">
        <v>8667.2425199999998</v>
      </c>
      <c r="BC15" s="325">
        <v>10361.691840000001</v>
      </c>
      <c r="BE15" s="323">
        <v>33645.18</v>
      </c>
    </row>
    <row r="16" spans="1:61" x14ac:dyDescent="0.25">
      <c r="A16" s="318" t="s">
        <v>135</v>
      </c>
      <c r="B16" s="341" t="s">
        <v>64</v>
      </c>
      <c r="D16" s="339"/>
      <c r="E16" s="339"/>
      <c r="I16" s="429">
        <v>0</v>
      </c>
      <c r="J16" s="439">
        <v>1600</v>
      </c>
      <c r="K16" s="439">
        <v>2695</v>
      </c>
      <c r="L16" s="439">
        <v>1600</v>
      </c>
      <c r="M16" s="439">
        <v>1667</v>
      </c>
      <c r="N16" s="439">
        <v>18330</v>
      </c>
      <c r="O16" s="439">
        <v>28222</v>
      </c>
      <c r="P16" s="439">
        <v>26632</v>
      </c>
      <c r="Q16" s="439">
        <v>64477</v>
      </c>
      <c r="R16" s="439">
        <v>511738</v>
      </c>
      <c r="S16" s="330">
        <v>0</v>
      </c>
      <c r="T16" s="330">
        <v>0</v>
      </c>
      <c r="U16" s="330">
        <v>0</v>
      </c>
      <c r="V16" s="330">
        <v>0</v>
      </c>
      <c r="W16" s="330">
        <v>0</v>
      </c>
      <c r="X16" s="330">
        <v>4800</v>
      </c>
      <c r="Y16" s="330">
        <v>0</v>
      </c>
      <c r="Z16" s="330">
        <v>110563.26</v>
      </c>
      <c r="AA16" s="330">
        <v>148072.30000000002</v>
      </c>
      <c r="AB16" s="330">
        <v>175982.03</v>
      </c>
      <c r="AC16" s="330">
        <v>213031.43999999997</v>
      </c>
      <c r="AD16" s="330">
        <v>38321.939999999995</v>
      </c>
      <c r="AE16" s="330">
        <v>69820.859999999986</v>
      </c>
      <c r="AF16" s="330">
        <v>813203.1100000001</v>
      </c>
      <c r="AG16" s="330">
        <v>884797.33999999985</v>
      </c>
      <c r="AH16" s="325">
        <v>12461.02</v>
      </c>
      <c r="AI16" s="325">
        <v>43310.5</v>
      </c>
      <c r="AJ16" s="325">
        <v>8883.99</v>
      </c>
      <c r="AK16" s="325">
        <v>18126.71</v>
      </c>
      <c r="AL16" s="325">
        <v>14045.02</v>
      </c>
      <c r="AM16" s="325">
        <v>11145.07</v>
      </c>
      <c r="AN16" s="325">
        <v>29896.050000000003</v>
      </c>
      <c r="AO16" s="325">
        <v>31360.32</v>
      </c>
      <c r="AP16" s="325">
        <v>25987.329999999998</v>
      </c>
      <c r="AQ16" s="325">
        <v>25654.67</v>
      </c>
      <c r="AR16" s="325">
        <v>34794.21</v>
      </c>
      <c r="AS16" s="325">
        <v>25493.13</v>
      </c>
      <c r="AT16" s="325">
        <v>36604.979999999996</v>
      </c>
      <c r="AU16" s="325">
        <v>26122.260000000002</v>
      </c>
      <c r="AV16" s="325">
        <v>24239.02</v>
      </c>
      <c r="AW16" s="325">
        <v>27436.959999999999</v>
      </c>
      <c r="AX16" s="325">
        <v>28315.43</v>
      </c>
      <c r="AY16" s="325">
        <v>32634.899999999998</v>
      </c>
      <c r="AZ16" s="338"/>
      <c r="BA16" s="337">
        <v>17938.77</v>
      </c>
      <c r="BB16" s="325">
        <v>18254.849999999999</v>
      </c>
      <c r="BC16" s="325">
        <v>21748.78</v>
      </c>
      <c r="BE16" s="323">
        <v>179578.94000000003</v>
      </c>
    </row>
    <row r="17" spans="1:60" x14ac:dyDescent="0.25">
      <c r="B17" s="347" t="s">
        <v>154</v>
      </c>
      <c r="C17" s="319"/>
      <c r="D17" s="319"/>
      <c r="E17" s="319"/>
      <c r="H17" s="319"/>
      <c r="I17" s="429">
        <v>23520</v>
      </c>
      <c r="J17" s="439">
        <v>23134</v>
      </c>
      <c r="K17" s="439">
        <v>61652</v>
      </c>
      <c r="L17" s="439">
        <v>4019</v>
      </c>
      <c r="M17" s="439">
        <v>36690</v>
      </c>
      <c r="N17" s="439">
        <v>15043</v>
      </c>
      <c r="O17" s="439">
        <v>9333</v>
      </c>
      <c r="P17" s="439">
        <v>6622</v>
      </c>
      <c r="Q17" s="439">
        <v>17600</v>
      </c>
      <c r="R17" s="439">
        <v>16353</v>
      </c>
      <c r="S17" s="330">
        <v>31623.4</v>
      </c>
      <c r="T17" s="330">
        <v>23570.579999999998</v>
      </c>
      <c r="U17" s="330">
        <v>32451.739999999998</v>
      </c>
      <c r="V17" s="330">
        <v>38109.46</v>
      </c>
      <c r="W17" s="330">
        <v>19469.620000000003</v>
      </c>
      <c r="X17" s="330">
        <v>21786.190000000002</v>
      </c>
      <c r="Y17" s="330">
        <v>25509.289999999997</v>
      </c>
      <c r="Z17" s="330">
        <v>19759.75</v>
      </c>
      <c r="AA17" s="330">
        <v>23034.82</v>
      </c>
      <c r="AB17" s="330">
        <v>20277.88</v>
      </c>
      <c r="AC17" s="330">
        <v>27868.109999999997</v>
      </c>
      <c r="AD17" s="330">
        <v>28255.05</v>
      </c>
      <c r="AE17" s="330">
        <v>6678.45</v>
      </c>
      <c r="AF17" s="330">
        <v>19040.36</v>
      </c>
      <c r="AG17" s="330">
        <v>24730.2</v>
      </c>
      <c r="AH17" s="325">
        <v>14467.950000000037</v>
      </c>
      <c r="AI17" s="325">
        <v>98139.439999999988</v>
      </c>
      <c r="AJ17" s="325">
        <v>-2891.6399999999817</v>
      </c>
      <c r="AK17" s="325">
        <v>23856.569999999963</v>
      </c>
      <c r="AL17" s="325">
        <v>23703.699999999972</v>
      </c>
      <c r="AM17" s="325">
        <v>15017.17999999998</v>
      </c>
      <c r="AN17" s="325">
        <v>32055.079999999947</v>
      </c>
      <c r="AO17" s="325">
        <v>96440.419999999969</v>
      </c>
      <c r="AP17" s="325">
        <v>32471.34999999994</v>
      </c>
      <c r="AQ17" s="325">
        <v>27283.350000000009</v>
      </c>
      <c r="AR17" s="325">
        <v>40321.489999999962</v>
      </c>
      <c r="AS17" s="325">
        <v>60794.039999999994</v>
      </c>
      <c r="AT17" s="325">
        <v>53083.999999999993</v>
      </c>
      <c r="AU17" s="325">
        <v>63677.15</v>
      </c>
      <c r="AV17" s="325">
        <v>32970.040000000008</v>
      </c>
      <c r="AW17" s="325">
        <v>26522.540000000059</v>
      </c>
      <c r="AX17" s="325">
        <v>35289.160000000018</v>
      </c>
      <c r="AY17" s="325">
        <v>53909.099999999919</v>
      </c>
      <c r="AZ17" s="338"/>
      <c r="BA17" s="337">
        <v>30684.900000000016</v>
      </c>
      <c r="BB17" s="325">
        <v>37800.830000000038</v>
      </c>
      <c r="BC17" s="325">
        <v>33313.449999999968</v>
      </c>
      <c r="BE17" s="323">
        <v>33649.21</v>
      </c>
    </row>
    <row r="18" spans="1:60" x14ac:dyDescent="0.25">
      <c r="B18" s="341" t="s">
        <v>174</v>
      </c>
      <c r="C18" s="304">
        <v>19578.900000000001</v>
      </c>
      <c r="D18" s="304">
        <v>0</v>
      </c>
      <c r="E18" s="304">
        <v>0</v>
      </c>
      <c r="F18" s="304">
        <v>9180</v>
      </c>
      <c r="G18" s="323">
        <v>13620.06</v>
      </c>
      <c r="H18" s="323">
        <v>24827.45</v>
      </c>
      <c r="I18" s="429">
        <v>9680</v>
      </c>
      <c r="J18" s="439">
        <v>19395</v>
      </c>
      <c r="K18" s="439">
        <v>26500</v>
      </c>
      <c r="L18" s="439">
        <v>5400</v>
      </c>
      <c r="M18" s="439">
        <v>23950</v>
      </c>
      <c r="N18" s="439">
        <v>9286</v>
      </c>
      <c r="O18" s="439">
        <v>4519</v>
      </c>
      <c r="P18" s="439">
        <v>6035</v>
      </c>
      <c r="Q18" s="439">
        <v>11875</v>
      </c>
      <c r="R18" s="439">
        <v>150</v>
      </c>
      <c r="S18" s="330">
        <v>11760</v>
      </c>
      <c r="T18" s="330">
        <v>8211</v>
      </c>
      <c r="U18" s="330">
        <v>18992.46</v>
      </c>
      <c r="V18" s="330">
        <v>5585</v>
      </c>
      <c r="W18" s="330">
        <v>7435</v>
      </c>
      <c r="X18" s="330">
        <v>6827.33</v>
      </c>
      <c r="Y18" s="330">
        <v>7833</v>
      </c>
      <c r="Z18" s="330">
        <v>7025</v>
      </c>
      <c r="AA18" s="330">
        <v>8683.25</v>
      </c>
      <c r="AB18" s="330">
        <v>7365</v>
      </c>
      <c r="AC18" s="330">
        <v>11000</v>
      </c>
      <c r="AD18" s="330">
        <v>13987</v>
      </c>
      <c r="AE18" s="330">
        <v>5689</v>
      </c>
      <c r="AF18" s="330">
        <v>8525</v>
      </c>
      <c r="AG18" s="330">
        <v>8799</v>
      </c>
      <c r="AH18" s="325">
        <v>7789.8099999999995</v>
      </c>
      <c r="AI18" s="325">
        <v>40752.86</v>
      </c>
      <c r="AJ18" s="325">
        <v>11022.12</v>
      </c>
      <c r="AK18" s="325">
        <v>13701.49</v>
      </c>
      <c r="AL18" s="325">
        <v>13320.6</v>
      </c>
      <c r="AM18" s="325">
        <v>7907.92</v>
      </c>
      <c r="AN18" s="325">
        <v>16747.490000000002</v>
      </c>
      <c r="AO18" s="325">
        <v>25488.69</v>
      </c>
      <c r="AP18" s="325">
        <v>17747.38</v>
      </c>
      <c r="AQ18" s="325">
        <v>19186.41</v>
      </c>
      <c r="AR18" s="325">
        <v>19064.63</v>
      </c>
      <c r="AS18" s="325">
        <v>15887.220000000001</v>
      </c>
      <c r="AT18" s="325">
        <v>19733.099999999999</v>
      </c>
      <c r="AU18" s="325">
        <v>20609.830000000002</v>
      </c>
      <c r="AV18" s="325">
        <v>12962.03</v>
      </c>
      <c r="AW18" s="325">
        <v>20004.21</v>
      </c>
      <c r="AX18" s="325">
        <v>29681.439999999999</v>
      </c>
      <c r="AY18" s="325">
        <v>15525.17</v>
      </c>
      <c r="AZ18" s="340"/>
      <c r="BA18" s="339">
        <v>15603.640000000001</v>
      </c>
      <c r="BB18" s="325">
        <v>15246.84</v>
      </c>
      <c r="BC18" s="325">
        <v>22490.969999999998</v>
      </c>
      <c r="BE18" s="323">
        <v>9569</v>
      </c>
      <c r="BF18" s="323"/>
      <c r="BG18" s="310">
        <v>36166.949999999997</v>
      </c>
      <c r="BH18" s="310">
        <v>72020</v>
      </c>
    </row>
    <row r="19" spans="1:60" x14ac:dyDescent="0.25">
      <c r="B19" s="341" t="s">
        <v>175</v>
      </c>
      <c r="C19" s="379"/>
      <c r="D19" s="379"/>
      <c r="E19" s="379"/>
      <c r="F19" s="379"/>
      <c r="G19" s="379"/>
      <c r="H19" s="379"/>
      <c r="I19" s="429">
        <v>8050</v>
      </c>
      <c r="J19" s="439">
        <v>20002</v>
      </c>
      <c r="K19" s="439">
        <v>17633</v>
      </c>
      <c r="L19" s="439">
        <v>4050</v>
      </c>
      <c r="M19" s="439">
        <v>23016</v>
      </c>
      <c r="N19" s="439">
        <v>16767</v>
      </c>
      <c r="O19" s="439">
        <v>12775</v>
      </c>
      <c r="P19" s="439">
        <v>6564</v>
      </c>
      <c r="Q19" s="439">
        <v>10327</v>
      </c>
      <c r="R19" s="439">
        <v>33868</v>
      </c>
      <c r="S19" s="330">
        <v>14125</v>
      </c>
      <c r="T19" s="330">
        <v>11881.34</v>
      </c>
      <c r="U19" s="330">
        <v>11063.6</v>
      </c>
      <c r="V19" s="330">
        <v>15720</v>
      </c>
      <c r="W19" s="330">
        <v>10555.75</v>
      </c>
      <c r="X19" s="330">
        <v>11988</v>
      </c>
      <c r="Y19" s="330">
        <v>12738</v>
      </c>
      <c r="Z19" s="330">
        <v>13360</v>
      </c>
      <c r="AA19" s="330">
        <v>12110</v>
      </c>
      <c r="AB19" s="330">
        <v>10817</v>
      </c>
      <c r="AC19" s="330">
        <v>14550</v>
      </c>
      <c r="AD19" s="330">
        <v>7905</v>
      </c>
      <c r="AE19" s="330">
        <v>5417</v>
      </c>
      <c r="AF19" s="330">
        <v>11150</v>
      </c>
      <c r="AG19" s="330">
        <v>11347</v>
      </c>
      <c r="AH19" s="325">
        <v>6747.47</v>
      </c>
      <c r="AI19" s="325">
        <v>12064.11</v>
      </c>
      <c r="AJ19" s="325">
        <v>13774.479999999998</v>
      </c>
      <c r="AK19" s="325">
        <v>13343.45</v>
      </c>
      <c r="AL19" s="325">
        <v>9253.9</v>
      </c>
      <c r="AM19" s="325">
        <v>6918.49</v>
      </c>
      <c r="AN19" s="325">
        <v>9196.9699999999993</v>
      </c>
      <c r="AO19" s="325">
        <v>10153.33</v>
      </c>
      <c r="AP19" s="325">
        <v>15334.16</v>
      </c>
      <c r="AQ19" s="325">
        <v>23181.149999999994</v>
      </c>
      <c r="AR19" s="325">
        <v>15970.43</v>
      </c>
      <c r="AS19" s="325">
        <v>8091.84</v>
      </c>
      <c r="AT19" s="325">
        <v>10278.16</v>
      </c>
      <c r="AU19" s="325">
        <v>15525.01</v>
      </c>
      <c r="AV19" s="325">
        <v>13388.04</v>
      </c>
      <c r="AW19" s="325">
        <v>10421.18</v>
      </c>
      <c r="AX19" s="325">
        <v>12186.97</v>
      </c>
      <c r="AY19" s="325">
        <v>12844.25</v>
      </c>
      <c r="AZ19" s="340"/>
      <c r="BA19" s="339">
        <v>14868.470000000001</v>
      </c>
      <c r="BB19" s="325">
        <v>13355.34</v>
      </c>
      <c r="BC19" s="325">
        <v>14662.169999999998</v>
      </c>
      <c r="BE19" s="323">
        <v>13200</v>
      </c>
      <c r="BF19" s="376"/>
    </row>
    <row r="20" spans="1:60" x14ac:dyDescent="0.25">
      <c r="B20" s="341" t="s">
        <v>163</v>
      </c>
      <c r="C20" s="379"/>
      <c r="D20" s="379"/>
      <c r="E20" s="379"/>
      <c r="F20" s="379"/>
      <c r="G20" s="379"/>
      <c r="H20" s="379"/>
      <c r="I20" s="417"/>
      <c r="J20" s="323"/>
      <c r="K20" s="323"/>
      <c r="L20" s="323"/>
      <c r="M20" s="323"/>
      <c r="N20" s="323"/>
      <c r="O20" s="323"/>
      <c r="P20" s="323"/>
      <c r="Q20" s="323"/>
      <c r="R20" s="323"/>
      <c r="S20" s="323">
        <v>0</v>
      </c>
      <c r="T20" s="323">
        <v>0</v>
      </c>
      <c r="U20" s="323">
        <v>0</v>
      </c>
      <c r="V20" s="323">
        <v>0</v>
      </c>
      <c r="W20" s="323">
        <v>0</v>
      </c>
      <c r="X20" s="323">
        <v>0</v>
      </c>
      <c r="Y20" s="323">
        <v>0</v>
      </c>
      <c r="Z20" s="323">
        <v>0</v>
      </c>
      <c r="AA20" s="323">
        <v>0</v>
      </c>
      <c r="AB20" s="323">
        <v>0</v>
      </c>
      <c r="AC20" s="323">
        <v>0</v>
      </c>
      <c r="AD20" s="323">
        <v>0</v>
      </c>
      <c r="AE20" s="323">
        <v>0</v>
      </c>
      <c r="AF20" s="323">
        <v>0</v>
      </c>
      <c r="AG20" s="323">
        <v>0</v>
      </c>
      <c r="AH20" s="325"/>
      <c r="AI20" s="325"/>
      <c r="AJ20" s="399"/>
      <c r="AK20" s="325"/>
      <c r="AL20" s="325"/>
      <c r="AM20" s="325"/>
      <c r="AN20" s="325"/>
      <c r="AO20" s="325"/>
      <c r="AP20" s="325"/>
      <c r="AQ20" s="325"/>
      <c r="AR20" s="325"/>
      <c r="AS20" s="325"/>
      <c r="AT20" s="325"/>
      <c r="AU20" s="325"/>
      <c r="AV20" s="325"/>
      <c r="AW20" s="325"/>
      <c r="AX20" s="325"/>
      <c r="AY20" s="325"/>
      <c r="AZ20" s="340"/>
      <c r="BA20" s="325"/>
      <c r="BB20" s="325"/>
      <c r="BC20" s="325"/>
      <c r="BE20" s="323"/>
      <c r="BF20" s="376"/>
    </row>
    <row r="21" spans="1:60" x14ac:dyDescent="0.25">
      <c r="A21" s="318" t="s">
        <v>149</v>
      </c>
      <c r="B21" s="341" t="s">
        <v>136</v>
      </c>
      <c r="I21" s="438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25">
        <v>4505.6100000000006</v>
      </c>
      <c r="AI21" s="325">
        <v>11783.91</v>
      </c>
      <c r="AJ21" s="325">
        <v>9842.68</v>
      </c>
      <c r="AK21" s="325">
        <v>5773.67</v>
      </c>
      <c r="AL21" s="325">
        <v>6535.69</v>
      </c>
      <c r="AM21" s="325">
        <v>3698.63</v>
      </c>
      <c r="AN21" s="325">
        <v>9505.52</v>
      </c>
      <c r="AO21" s="325">
        <v>12190.580000000002</v>
      </c>
      <c r="AP21" s="325">
        <v>11095.890000000001</v>
      </c>
      <c r="AQ21" s="325">
        <v>9634.7800000000025</v>
      </c>
      <c r="AR21" s="325">
        <v>12045.199999999999</v>
      </c>
      <c r="AS21" s="325">
        <v>11988.880000000001</v>
      </c>
      <c r="AT21" s="325">
        <v>10520.550000000001</v>
      </c>
      <c r="AU21" s="325">
        <v>11671.230000000001</v>
      </c>
      <c r="AV21" s="325">
        <v>9863.01</v>
      </c>
      <c r="AW21" s="325">
        <v>8630.15</v>
      </c>
      <c r="AX21" s="325">
        <v>14230.8</v>
      </c>
      <c r="AY21" s="325">
        <v>15717.6</v>
      </c>
      <c r="AZ21" s="340"/>
      <c r="BA21" s="339">
        <v>9798.0499999999993</v>
      </c>
      <c r="BB21" s="325">
        <v>9798.0499999999993</v>
      </c>
      <c r="BC21" s="325">
        <v>11576.33</v>
      </c>
      <c r="BE21" s="323"/>
      <c r="BF21" s="376"/>
    </row>
    <row r="22" spans="1:60" x14ac:dyDescent="0.25">
      <c r="I22" s="339"/>
      <c r="J22" s="339"/>
      <c r="K22" s="339"/>
      <c r="L22" s="339"/>
      <c r="M22" s="339"/>
      <c r="N22" s="339"/>
      <c r="O22" s="339"/>
      <c r="P22" s="339"/>
      <c r="Q22" s="339"/>
      <c r="S22" s="339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39"/>
      <c r="AR22" s="339"/>
      <c r="AS22" s="339"/>
      <c r="AT22" s="339"/>
      <c r="AU22" s="339"/>
      <c r="AV22" s="339"/>
      <c r="AW22" s="339"/>
      <c r="AX22" s="339"/>
      <c r="AY22" s="339"/>
      <c r="AZ22" s="339"/>
      <c r="BA22" s="339"/>
      <c r="BB22" s="339"/>
      <c r="BC22" s="339"/>
      <c r="BE22" s="323"/>
    </row>
    <row r="23" spans="1:60" x14ac:dyDescent="0.25">
      <c r="B23" s="342" t="s">
        <v>67</v>
      </c>
      <c r="C23" s="319"/>
      <c r="D23" s="319"/>
      <c r="E23" s="319"/>
      <c r="F23" s="319"/>
      <c r="G23" s="319"/>
      <c r="H23" s="319"/>
      <c r="I23" s="319" t="s">
        <v>8</v>
      </c>
      <c r="J23" s="319" t="s">
        <v>9</v>
      </c>
      <c r="K23" s="319" t="s">
        <v>10</v>
      </c>
      <c r="L23" s="319" t="s">
        <v>114</v>
      </c>
      <c r="M23" s="319" t="s">
        <v>12</v>
      </c>
      <c r="N23" s="319" t="s">
        <v>13</v>
      </c>
      <c r="O23" s="319" t="s">
        <v>14</v>
      </c>
      <c r="P23" s="319" t="s">
        <v>15</v>
      </c>
      <c r="Q23" s="319" t="s">
        <v>16</v>
      </c>
      <c r="R23" s="319" t="s">
        <v>17</v>
      </c>
      <c r="S23" s="319" t="s">
        <v>18</v>
      </c>
      <c r="T23" s="319" t="s">
        <v>19</v>
      </c>
      <c r="U23" s="319" t="s">
        <v>20</v>
      </c>
      <c r="V23" s="319" t="s">
        <v>21</v>
      </c>
      <c r="W23" s="319" t="s">
        <v>22</v>
      </c>
      <c r="X23" s="319" t="s">
        <v>23</v>
      </c>
      <c r="Y23" s="319" t="s">
        <v>24</v>
      </c>
      <c r="Z23" s="319" t="s">
        <v>25</v>
      </c>
      <c r="AA23" s="319" t="s">
        <v>26</v>
      </c>
      <c r="AB23" s="319" t="s">
        <v>27</v>
      </c>
      <c r="AC23" s="319" t="s">
        <v>28</v>
      </c>
      <c r="AD23" s="319" t="s">
        <v>29</v>
      </c>
      <c r="AE23" s="319" t="s">
        <v>30</v>
      </c>
      <c r="AF23" s="319" t="s">
        <v>31</v>
      </c>
      <c r="AG23" s="319" t="s">
        <v>32</v>
      </c>
      <c r="AH23" s="319" t="s">
        <v>34</v>
      </c>
      <c r="AI23" s="319" t="s">
        <v>35</v>
      </c>
      <c r="AJ23" s="319" t="s">
        <v>36</v>
      </c>
      <c r="AK23" s="319" t="s">
        <v>37</v>
      </c>
      <c r="AL23" s="319" t="s">
        <v>38</v>
      </c>
      <c r="AM23" s="319" t="s">
        <v>39</v>
      </c>
      <c r="AN23" s="319" t="s">
        <v>33</v>
      </c>
      <c r="AO23" s="319" t="s">
        <v>40</v>
      </c>
      <c r="AP23" s="319" t="s">
        <v>41</v>
      </c>
      <c r="AQ23" s="319" t="s">
        <v>42</v>
      </c>
      <c r="AR23" s="319" t="s">
        <v>43</v>
      </c>
      <c r="AS23" s="319" t="s">
        <v>44</v>
      </c>
      <c r="AT23" s="319" t="s">
        <v>45</v>
      </c>
      <c r="AU23" s="319" t="s">
        <v>46</v>
      </c>
      <c r="AV23" s="319" t="s">
        <v>47</v>
      </c>
      <c r="AW23" s="319" t="s">
        <v>48</v>
      </c>
      <c r="AX23" s="319" t="s">
        <v>49</v>
      </c>
      <c r="AY23" s="319" t="s">
        <v>50</v>
      </c>
      <c r="AZ23" s="321" t="s">
        <v>51</v>
      </c>
      <c r="BA23" s="319" t="s">
        <v>52</v>
      </c>
      <c r="BB23" s="319" t="s">
        <v>53</v>
      </c>
      <c r="BC23" s="319" t="s">
        <v>54</v>
      </c>
      <c r="BE23" s="377" t="s">
        <v>158</v>
      </c>
    </row>
    <row r="24" spans="1:60" x14ac:dyDescent="0.25">
      <c r="B24" s="341" t="s">
        <v>62</v>
      </c>
      <c r="C24" s="323"/>
      <c r="D24" s="323"/>
      <c r="E24" s="323"/>
      <c r="F24" s="323"/>
      <c r="G24" s="323"/>
      <c r="H24" s="323"/>
      <c r="I24" s="323">
        <f>I14-I3</f>
        <v>-8337.0699999999924</v>
      </c>
      <c r="J24" s="323">
        <f t="shared" ref="J24:BC30" si="2">J14-J3</f>
        <v>10822.020000000004</v>
      </c>
      <c r="K24" s="323">
        <f t="shared" si="2"/>
        <v>28066.569999999992</v>
      </c>
      <c r="L24" s="323">
        <f t="shared" si="2"/>
        <v>4006.119999999999</v>
      </c>
      <c r="M24" s="323">
        <f t="shared" si="2"/>
        <v>-7678.8000000000029</v>
      </c>
      <c r="N24" s="323">
        <f t="shared" si="2"/>
        <v>11649.01</v>
      </c>
      <c r="O24" s="323">
        <f t="shared" si="2"/>
        <v>3463.52</v>
      </c>
      <c r="P24" s="323">
        <f t="shared" si="2"/>
        <v>-1888.3799999999992</v>
      </c>
      <c r="Q24" s="323">
        <f t="shared" si="2"/>
        <v>2178.2200000000048</v>
      </c>
      <c r="R24" s="323">
        <f t="shared" si="2"/>
        <v>-37.129999999999939</v>
      </c>
      <c r="S24" s="323">
        <f>S14-S3</f>
        <v>-3389.8999999999978</v>
      </c>
      <c r="T24" s="323">
        <f t="shared" si="2"/>
        <v>-5045.2300000000014</v>
      </c>
      <c r="U24" s="323">
        <f t="shared" si="2"/>
        <v>928.63000000000102</v>
      </c>
      <c r="V24" s="323">
        <f t="shared" si="2"/>
        <v>-12139.659999999996</v>
      </c>
      <c r="W24" s="323">
        <f t="shared" si="2"/>
        <v>-1043.8799999999974</v>
      </c>
      <c r="X24" s="323">
        <f t="shared" si="2"/>
        <v>7652.9599999999937</v>
      </c>
      <c r="Y24" s="323">
        <f t="shared" si="2"/>
        <v>-12456.55</v>
      </c>
      <c r="Z24" s="323">
        <f t="shared" si="2"/>
        <v>-14182.980000000007</v>
      </c>
      <c r="AA24" s="323">
        <f t="shared" si="2"/>
        <v>2602.9600000000046</v>
      </c>
      <c r="AB24" s="323">
        <f t="shared" si="2"/>
        <v>-9064.1399999999976</v>
      </c>
      <c r="AC24" s="323">
        <f t="shared" si="2"/>
        <v>-5024.5599999999977</v>
      </c>
      <c r="AD24" s="323">
        <f t="shared" si="2"/>
        <v>-20197.240000000013</v>
      </c>
      <c r="AE24" s="323">
        <f t="shared" si="2"/>
        <v>-5171.7700000000004</v>
      </c>
      <c r="AF24" s="323">
        <f t="shared" si="2"/>
        <v>-66.400000000000006</v>
      </c>
      <c r="AG24" s="323">
        <f t="shared" si="2"/>
        <v>-1569.9600000000003</v>
      </c>
      <c r="AH24" s="323">
        <f>AH14-AH3</f>
        <v>3207.7999999999975</v>
      </c>
      <c r="AI24" s="323">
        <f t="shared" si="2"/>
        <v>10678.680000000008</v>
      </c>
      <c r="AJ24" s="323">
        <f>AJ14-AJ3</f>
        <v>4899.5100000000011</v>
      </c>
      <c r="AK24" s="323">
        <f t="shared" si="2"/>
        <v>-4549.17</v>
      </c>
      <c r="AL24" s="323">
        <f t="shared" si="2"/>
        <v>2176.1599999999926</v>
      </c>
      <c r="AM24" s="323">
        <f t="shared" si="2"/>
        <v>5952.36</v>
      </c>
      <c r="AN24" s="323">
        <f t="shared" si="2"/>
        <v>-3910.0300000000079</v>
      </c>
      <c r="AO24" s="323">
        <f t="shared" si="2"/>
        <v>-1922.1000000000058</v>
      </c>
      <c r="AP24" s="323">
        <f t="shared" si="2"/>
        <v>6131.5499999999956</v>
      </c>
      <c r="AQ24" s="323">
        <f t="shared" si="2"/>
        <v>-7407.09</v>
      </c>
      <c r="AR24" s="323">
        <f t="shared" si="2"/>
        <v>5106.8399999999965</v>
      </c>
      <c r="AS24" s="323">
        <f t="shared" si="2"/>
        <v>-8016.3000000000029</v>
      </c>
      <c r="AT24" s="323">
        <f t="shared" si="2"/>
        <v>1909.4499999999971</v>
      </c>
      <c r="AU24" s="323">
        <f t="shared" si="2"/>
        <v>9079.2300000000032</v>
      </c>
      <c r="AV24" s="323">
        <f t="shared" si="2"/>
        <v>-1108.8800000000047</v>
      </c>
      <c r="AW24" s="323">
        <f t="shared" si="2"/>
        <v>-21561.030000000006</v>
      </c>
      <c r="AX24" s="323">
        <f t="shared" si="2"/>
        <v>3007.7200000000012</v>
      </c>
      <c r="AY24" s="323">
        <f>AY14-AY3</f>
        <v>-6926.3699999999953</v>
      </c>
      <c r="AZ24" s="326"/>
      <c r="BA24" s="323">
        <f t="shared" ref="BA24:BC24" si="3">BA14-BA3</f>
        <v>-9164.4200000000019</v>
      </c>
      <c r="BB24" s="323">
        <f t="shared" si="3"/>
        <v>-4903.8900000000103</v>
      </c>
      <c r="BC24" s="323">
        <f t="shared" si="3"/>
        <v>7464.299999999992</v>
      </c>
      <c r="BD24" s="323"/>
      <c r="BE24" s="323">
        <f>BE14-BE3</f>
        <v>1010.5400000000009</v>
      </c>
      <c r="BF24" s="323"/>
      <c r="BG24" s="323"/>
      <c r="BH24" s="323"/>
    </row>
    <row r="25" spans="1:60" x14ac:dyDescent="0.25">
      <c r="B25" s="341" t="s">
        <v>63</v>
      </c>
      <c r="C25" s="323"/>
      <c r="D25" s="323"/>
      <c r="E25" s="323"/>
      <c r="F25" s="323"/>
      <c r="G25" s="323"/>
      <c r="H25" s="323"/>
      <c r="I25" s="323">
        <f t="shared" ref="I25:AN30" si="4">I15-I4</f>
        <v>-10963.94</v>
      </c>
      <c r="J25" s="323">
        <f t="shared" si="4"/>
        <v>307.23999999999978</v>
      </c>
      <c r="K25" s="323">
        <f t="shared" si="4"/>
        <v>-4477.2199999999993</v>
      </c>
      <c r="L25" s="323">
        <f t="shared" si="4"/>
        <v>-7091.51</v>
      </c>
      <c r="M25" s="323">
        <f t="shared" si="4"/>
        <v>-5152.74</v>
      </c>
      <c r="N25" s="323">
        <f t="shared" si="4"/>
        <v>7375</v>
      </c>
      <c r="O25" s="323">
        <f t="shared" si="4"/>
        <v>-8408.94</v>
      </c>
      <c r="P25" s="323">
        <f t="shared" si="4"/>
        <v>-10574.56</v>
      </c>
      <c r="Q25" s="323">
        <f t="shared" si="4"/>
        <v>-18795.000000000015</v>
      </c>
      <c r="R25" s="323">
        <f t="shared" si="4"/>
        <v>0</v>
      </c>
      <c r="S25" s="323">
        <f t="shared" si="4"/>
        <v>-2668.46</v>
      </c>
      <c r="T25" s="323">
        <f t="shared" si="4"/>
        <v>4344.1999999999989</v>
      </c>
      <c r="U25" s="323">
        <f t="shared" si="4"/>
        <v>-540.41000000000008</v>
      </c>
      <c r="V25" s="323">
        <f t="shared" si="4"/>
        <v>-1455.1200000000003</v>
      </c>
      <c r="W25" s="323">
        <f t="shared" si="4"/>
        <v>-503.15000000000009</v>
      </c>
      <c r="X25" s="323">
        <f t="shared" si="4"/>
        <v>-8531.08</v>
      </c>
      <c r="Y25" s="323">
        <f t="shared" si="4"/>
        <v>-3976</v>
      </c>
      <c r="Z25" s="323">
        <f t="shared" si="4"/>
        <v>-10095.690000000002</v>
      </c>
      <c r="AA25" s="323">
        <f t="shared" si="4"/>
        <v>2479.9999999999964</v>
      </c>
      <c r="AB25" s="323">
        <f t="shared" si="4"/>
        <v>-1180.6699999999983</v>
      </c>
      <c r="AC25" s="323">
        <f t="shared" si="4"/>
        <v>9919.8099999999977</v>
      </c>
      <c r="AD25" s="323">
        <f t="shared" si="4"/>
        <v>1287.1299999999974</v>
      </c>
      <c r="AE25" s="323">
        <f t="shared" si="4"/>
        <v>-4070.1600000000017</v>
      </c>
      <c r="AF25" s="323">
        <f t="shared" si="4"/>
        <v>0</v>
      </c>
      <c r="AG25" s="323">
        <f t="shared" si="4"/>
        <v>0</v>
      </c>
      <c r="AH25" s="323">
        <f t="shared" si="4"/>
        <v>-18864.449560000001</v>
      </c>
      <c r="AI25" s="323">
        <f t="shared" si="4"/>
        <v>-136524.76528000002</v>
      </c>
      <c r="AJ25" s="323">
        <f t="shared" si="4"/>
        <v>-2444.5376000000015</v>
      </c>
      <c r="AK25" s="323">
        <f t="shared" si="4"/>
        <v>-19787.638079999997</v>
      </c>
      <c r="AL25" s="323">
        <f t="shared" si="4"/>
        <v>-19405.419279999998</v>
      </c>
      <c r="AM25" s="323">
        <f t="shared" si="4"/>
        <v>-22748.948679999994</v>
      </c>
      <c r="AN25" s="323">
        <f t="shared" si="4"/>
        <v>-14847.610599999996</v>
      </c>
      <c r="AO25" s="323">
        <f t="shared" si="2"/>
        <v>-96433.158880000003</v>
      </c>
      <c r="AP25" s="323">
        <f t="shared" si="2"/>
        <v>-35889.466560000001</v>
      </c>
      <c r="AQ25" s="323">
        <f t="shared" si="2"/>
        <v>-26730.607359999998</v>
      </c>
      <c r="AR25" s="323">
        <f t="shared" si="2"/>
        <v>-62347.373199999987</v>
      </c>
      <c r="AS25" s="323">
        <f t="shared" si="2"/>
        <v>-16742.350479999997</v>
      </c>
      <c r="AT25" s="323">
        <f t="shared" si="2"/>
        <v>-48915.527880000001</v>
      </c>
      <c r="AU25" s="323">
        <f t="shared" si="2"/>
        <v>-75399.195760000002</v>
      </c>
      <c r="AV25" s="323">
        <f t="shared" si="2"/>
        <v>-40558.310720000009</v>
      </c>
      <c r="AW25" s="323">
        <f t="shared" si="2"/>
        <v>-21622.384760000001</v>
      </c>
      <c r="AX25" s="323">
        <f t="shared" si="2"/>
        <v>-10089.538639999999</v>
      </c>
      <c r="AY25" s="323">
        <f t="shared" si="2"/>
        <v>-106191.51463999999</v>
      </c>
      <c r="AZ25" s="326"/>
      <c r="BA25" s="323">
        <f t="shared" si="2"/>
        <v>-10328.032160000004</v>
      </c>
      <c r="BB25" s="323">
        <f t="shared" si="2"/>
        <v>-5640.8274800000017</v>
      </c>
      <c r="BC25" s="323">
        <f t="shared" si="2"/>
        <v>-70125.158159999992</v>
      </c>
      <c r="BD25" s="323"/>
      <c r="BE25" s="323">
        <f t="shared" ref="BE25:BE29" si="5">BE15-BE4</f>
        <v>13660.82</v>
      </c>
      <c r="BF25" s="323"/>
      <c r="BG25" s="323"/>
      <c r="BH25" s="323"/>
    </row>
    <row r="26" spans="1:60" x14ac:dyDescent="0.25">
      <c r="B26" s="341" t="s">
        <v>64</v>
      </c>
      <c r="C26" s="323"/>
      <c r="D26" s="323"/>
      <c r="E26" s="323"/>
      <c r="F26" s="323"/>
      <c r="G26" s="323"/>
      <c r="H26" s="323"/>
      <c r="I26" s="323">
        <f t="shared" si="4"/>
        <v>-52.5</v>
      </c>
      <c r="J26" s="323">
        <f t="shared" si="4"/>
        <v>-1534.5299999999993</v>
      </c>
      <c r="K26" s="323">
        <f t="shared" si="4"/>
        <v>-3366.2800000000025</v>
      </c>
      <c r="L26" s="323">
        <f t="shared" si="4"/>
        <v>1600</v>
      </c>
      <c r="M26" s="323">
        <f t="shared" si="4"/>
        <v>-13268.5</v>
      </c>
      <c r="N26" s="323">
        <f t="shared" si="4"/>
        <v>-11605.260000000002</v>
      </c>
      <c r="O26" s="323">
        <f t="shared" si="4"/>
        <v>-1978.3100000000013</v>
      </c>
      <c r="P26" s="323">
        <f t="shared" si="4"/>
        <v>-13659.020000000004</v>
      </c>
      <c r="Q26" s="323">
        <f t="shared" si="4"/>
        <v>41422.979999999996</v>
      </c>
      <c r="R26" s="323">
        <f>R16-R5</f>
        <v>-30224</v>
      </c>
      <c r="S26" s="323">
        <f t="shared" si="4"/>
        <v>-1051.26</v>
      </c>
      <c r="T26" s="323">
        <f t="shared" si="4"/>
        <v>-3747.97</v>
      </c>
      <c r="U26" s="323">
        <f t="shared" si="4"/>
        <v>-42</v>
      </c>
      <c r="V26" s="323">
        <f t="shared" si="4"/>
        <v>-552.5</v>
      </c>
      <c r="W26" s="323">
        <f t="shared" si="4"/>
        <v>-52.5</v>
      </c>
      <c r="X26" s="323">
        <f t="shared" si="4"/>
        <v>4747.5</v>
      </c>
      <c r="Y26" s="323">
        <f t="shared" si="4"/>
        <v>-42</v>
      </c>
      <c r="Z26" s="323">
        <f t="shared" si="4"/>
        <v>54618.06</v>
      </c>
      <c r="AA26" s="323">
        <f t="shared" si="4"/>
        <v>34284.430000000022</v>
      </c>
      <c r="AB26" s="323">
        <f t="shared" si="4"/>
        <v>42134.81</v>
      </c>
      <c r="AC26" s="323">
        <f t="shared" si="4"/>
        <v>28526.599999999977</v>
      </c>
      <c r="AD26" s="323">
        <f t="shared" si="4"/>
        <v>3890.3499999999985</v>
      </c>
      <c r="AE26" s="323">
        <f t="shared" si="4"/>
        <v>19369.479999999989</v>
      </c>
      <c r="AF26" s="323">
        <f t="shared" si="4"/>
        <v>14562.550000000279</v>
      </c>
      <c r="AG26" s="323">
        <f t="shared" si="4"/>
        <v>34591.84999999986</v>
      </c>
      <c r="AH26" s="323">
        <f t="shared" si="4"/>
        <v>-31688.230000000007</v>
      </c>
      <c r="AI26" s="323">
        <f t="shared" si="4"/>
        <v>-87424.320000000007</v>
      </c>
      <c r="AJ26" s="323">
        <f t="shared" si="4"/>
        <v>-16117.990000000003</v>
      </c>
      <c r="AK26" s="323">
        <f t="shared" si="4"/>
        <v>-93.170000000001892</v>
      </c>
      <c r="AL26" s="323">
        <f t="shared" si="4"/>
        <v>-53140.47</v>
      </c>
      <c r="AM26" s="323">
        <f t="shared" si="4"/>
        <v>-19665.95</v>
      </c>
      <c r="AN26" s="323">
        <f t="shared" si="4"/>
        <v>-92903.609999999986</v>
      </c>
      <c r="AO26" s="323">
        <f t="shared" si="2"/>
        <v>-204958.03000000003</v>
      </c>
      <c r="AP26" s="323">
        <f t="shared" si="2"/>
        <v>-120166.42</v>
      </c>
      <c r="AQ26" s="323">
        <f t="shared" si="2"/>
        <v>-109472.76</v>
      </c>
      <c r="AR26" s="323">
        <f t="shared" si="2"/>
        <v>-39846.18</v>
      </c>
      <c r="AS26" s="323">
        <f t="shared" si="2"/>
        <v>-25306.779999999995</v>
      </c>
      <c r="AT26" s="323">
        <f t="shared" si="2"/>
        <v>-80880.719999999987</v>
      </c>
      <c r="AU26" s="323">
        <f t="shared" si="2"/>
        <v>-37369.30000000001</v>
      </c>
      <c r="AV26" s="323">
        <f t="shared" si="2"/>
        <v>-18950.440000000006</v>
      </c>
      <c r="AW26" s="323">
        <f t="shared" si="2"/>
        <v>-83508.580000000016</v>
      </c>
      <c r="AX26" s="323">
        <f t="shared" si="2"/>
        <v>-112624.48999999999</v>
      </c>
      <c r="AY26" s="323">
        <f t="shared" si="2"/>
        <v>-44072.290000000008</v>
      </c>
      <c r="AZ26" s="326"/>
      <c r="BA26" s="323">
        <f t="shared" si="2"/>
        <v>-36845.5</v>
      </c>
      <c r="BB26" s="323">
        <f t="shared" si="2"/>
        <v>-42343.86</v>
      </c>
      <c r="BC26" s="323">
        <f t="shared" si="2"/>
        <v>-59300.290000000008</v>
      </c>
      <c r="BD26" s="323"/>
      <c r="BE26" s="323">
        <f t="shared" si="5"/>
        <v>-5132.7599999999802</v>
      </c>
      <c r="BF26" s="323"/>
      <c r="BG26" s="323"/>
      <c r="BH26" s="323"/>
    </row>
    <row r="27" spans="1:60" x14ac:dyDescent="0.25">
      <c r="B27" s="347" t="s">
        <v>154</v>
      </c>
      <c r="C27" s="377"/>
      <c r="D27" s="377"/>
      <c r="E27" s="377"/>
      <c r="F27" s="377"/>
      <c r="G27" s="377"/>
      <c r="H27" s="377"/>
      <c r="I27" s="323">
        <f t="shared" si="4"/>
        <v>2608.1300000000047</v>
      </c>
      <c r="J27" s="323">
        <f t="shared" si="4"/>
        <v>-2049.2899999999936</v>
      </c>
      <c r="K27" s="323">
        <f t="shared" si="4"/>
        <v>-8321.9999999999854</v>
      </c>
      <c r="L27" s="323">
        <f t="shared" si="4"/>
        <v>656.98999999999978</v>
      </c>
      <c r="M27" s="323">
        <f t="shared" si="4"/>
        <v>-10682.840000000004</v>
      </c>
      <c r="N27" s="323">
        <f t="shared" si="4"/>
        <v>65.700000000000728</v>
      </c>
      <c r="O27" s="323">
        <f t="shared" si="4"/>
        <v>-252.03000000000065</v>
      </c>
      <c r="P27" s="323">
        <f t="shared" si="4"/>
        <v>-3208.7199999999993</v>
      </c>
      <c r="Q27" s="323">
        <f t="shared" si="4"/>
        <v>5536.66</v>
      </c>
      <c r="R27" s="323">
        <f t="shared" si="4"/>
        <v>2502.4600000000009</v>
      </c>
      <c r="S27" s="323">
        <f>S17-S6</f>
        <v>459.72000000000116</v>
      </c>
      <c r="T27" s="323">
        <f t="shared" si="4"/>
        <v>-1043.880000000001</v>
      </c>
      <c r="U27" s="323">
        <f t="shared" si="4"/>
        <v>-3082.2500000000073</v>
      </c>
      <c r="V27" s="323">
        <f t="shared" si="4"/>
        <v>525</v>
      </c>
      <c r="W27" s="323">
        <f t="shared" si="4"/>
        <v>10424.630000000003</v>
      </c>
      <c r="X27" s="323">
        <f t="shared" si="4"/>
        <v>8812.7200000000012</v>
      </c>
      <c r="Y27" s="323">
        <f t="shared" si="4"/>
        <v>-3881.6400000000031</v>
      </c>
      <c r="Z27" s="323">
        <f t="shared" si="4"/>
        <v>13652.72</v>
      </c>
      <c r="AA27" s="323">
        <f t="shared" si="4"/>
        <v>-8887.380000000001</v>
      </c>
      <c r="AB27" s="323">
        <f t="shared" si="4"/>
        <v>5584.68</v>
      </c>
      <c r="AC27" s="323">
        <f t="shared" si="4"/>
        <v>-622.56000000000131</v>
      </c>
      <c r="AD27" s="323">
        <f t="shared" si="4"/>
        <v>6765.6500000000015</v>
      </c>
      <c r="AE27" s="323">
        <f t="shared" si="4"/>
        <v>3721.8199999999997</v>
      </c>
      <c r="AF27" s="323">
        <f t="shared" si="4"/>
        <v>-1577.0999999999985</v>
      </c>
      <c r="AG27" s="323">
        <f t="shared" si="4"/>
        <v>5508.6100000000006</v>
      </c>
      <c r="AH27" s="323">
        <f t="shared" si="4"/>
        <v>-5285.3099999999613</v>
      </c>
      <c r="AI27" s="323">
        <f t="shared" si="4"/>
        <v>63753.339999999989</v>
      </c>
      <c r="AJ27" s="323">
        <f t="shared" si="4"/>
        <v>-10574.809999999981</v>
      </c>
      <c r="AK27" s="323">
        <f t="shared" si="4"/>
        <v>13125.559999999965</v>
      </c>
      <c r="AL27" s="323">
        <f t="shared" si="4"/>
        <v>14296.769999999968</v>
      </c>
      <c r="AM27" s="323">
        <f t="shared" si="4"/>
        <v>248.71999999998116</v>
      </c>
      <c r="AN27" s="323">
        <f t="shared" si="4"/>
        <v>4226.7099999999518</v>
      </c>
      <c r="AO27" s="323">
        <f t="shared" si="2"/>
        <v>72751.02999999997</v>
      </c>
      <c r="AP27" s="323">
        <f t="shared" si="2"/>
        <v>-2077.5700000000579</v>
      </c>
      <c r="AQ27" s="323">
        <f t="shared" si="2"/>
        <v>-10630.899999999991</v>
      </c>
      <c r="AR27" s="323">
        <f t="shared" si="2"/>
        <v>3067.2699999999604</v>
      </c>
      <c r="AS27" s="323">
        <f t="shared" si="2"/>
        <v>30496.669999999991</v>
      </c>
      <c r="AT27" s="323">
        <f t="shared" si="2"/>
        <v>25667.449999999993</v>
      </c>
      <c r="AU27" s="323">
        <f t="shared" si="2"/>
        <v>16862.610000000008</v>
      </c>
      <c r="AV27" s="323">
        <f t="shared" si="2"/>
        <v>17614.220000000008</v>
      </c>
      <c r="AW27" s="323">
        <f t="shared" si="2"/>
        <v>2278.7000000000553</v>
      </c>
      <c r="AX27" s="323">
        <f t="shared" si="2"/>
        <v>2539.2200000000157</v>
      </c>
      <c r="AY27" s="323">
        <f t="shared" si="2"/>
        <v>-4650.8900000000867</v>
      </c>
      <c r="AZ27" s="326"/>
      <c r="BA27" s="323">
        <f t="shared" si="2"/>
        <v>-1844.9599999999882</v>
      </c>
      <c r="BB27" s="323">
        <f t="shared" si="2"/>
        <v>7671.5300000000389</v>
      </c>
      <c r="BC27" s="323">
        <f t="shared" si="2"/>
        <v>2273.3399999999674</v>
      </c>
      <c r="BD27" s="323"/>
      <c r="BE27" s="323">
        <f t="shared" si="5"/>
        <v>2595.0300000000025</v>
      </c>
      <c r="BF27" s="323"/>
      <c r="BG27" s="323"/>
      <c r="BH27" s="323"/>
    </row>
    <row r="28" spans="1:60" x14ac:dyDescent="0.25">
      <c r="B28" s="341" t="s">
        <v>176</v>
      </c>
      <c r="C28" s="323">
        <f t="shared" ref="C28:G28" si="6">C18-C12</f>
        <v>2994.8300000000017</v>
      </c>
      <c r="D28" s="323">
        <f t="shared" si="6"/>
        <v>-5246.6799999999994</v>
      </c>
      <c r="E28" s="323">
        <f t="shared" si="6"/>
        <v>-20941.760000000002</v>
      </c>
      <c r="F28" s="323">
        <f t="shared" si="6"/>
        <v>-286.54999999999927</v>
      </c>
      <c r="G28" s="323">
        <f t="shared" si="6"/>
        <v>6077.8499999999995</v>
      </c>
      <c r="H28" s="323">
        <f>H18-H12</f>
        <v>-13300.190000000006</v>
      </c>
      <c r="I28" s="323">
        <f t="shared" ref="I28:J28" si="7">I18-I7</f>
        <v>408.86999999999898</v>
      </c>
      <c r="J28" s="323">
        <f t="shared" si="7"/>
        <v>-542.0099999999984</v>
      </c>
      <c r="K28" s="323">
        <f>K18-K7</f>
        <v>297.12000000000262</v>
      </c>
      <c r="L28" s="323">
        <f t="shared" si="4"/>
        <v>197.13000000000011</v>
      </c>
      <c r="M28" s="323">
        <f t="shared" si="4"/>
        <v>-33448.01999999999</v>
      </c>
      <c r="N28" s="323">
        <f t="shared" si="4"/>
        <v>-8864.34</v>
      </c>
      <c r="O28" s="323">
        <f t="shared" si="4"/>
        <v>-13707.619999999999</v>
      </c>
      <c r="P28" s="323">
        <f t="shared" si="4"/>
        <v>4640.37</v>
      </c>
      <c r="Q28" s="323">
        <f t="shared" si="4"/>
        <v>3188.41</v>
      </c>
      <c r="R28" s="323">
        <f t="shared" si="4"/>
        <v>-1364.4399999999998</v>
      </c>
      <c r="S28" s="323">
        <f>S18-S7</f>
        <v>2479.6900000000005</v>
      </c>
      <c r="T28" s="323">
        <f t="shared" si="4"/>
        <v>3278.92</v>
      </c>
      <c r="U28" s="323">
        <f t="shared" si="4"/>
        <v>1284.9699999999975</v>
      </c>
      <c r="V28" s="323">
        <f t="shared" si="4"/>
        <v>-2990.7800000000007</v>
      </c>
      <c r="W28" s="323">
        <f t="shared" si="4"/>
        <v>-2610.9799999999977</v>
      </c>
      <c r="X28" s="323">
        <f t="shared" si="4"/>
        <v>6499.21</v>
      </c>
      <c r="Y28" s="323">
        <f t="shared" si="4"/>
        <v>-1750.8900000000012</v>
      </c>
      <c r="Z28" s="323">
        <f t="shared" si="4"/>
        <v>-9387.52</v>
      </c>
      <c r="AA28" s="323">
        <f t="shared" si="4"/>
        <v>1729.0199999999995</v>
      </c>
      <c r="AB28" s="323">
        <f t="shared" si="4"/>
        <v>2705.58</v>
      </c>
      <c r="AC28" s="323">
        <f t="shared" si="4"/>
        <v>6521.48</v>
      </c>
      <c r="AD28" s="323">
        <f t="shared" si="4"/>
        <v>6217.9400000000014</v>
      </c>
      <c r="AE28" s="323">
        <f t="shared" si="4"/>
        <v>-8608.24</v>
      </c>
      <c r="AF28" s="323">
        <f t="shared" si="4"/>
        <v>-5244.2999999999993</v>
      </c>
      <c r="AG28" s="323">
        <f t="shared" si="4"/>
        <v>3731.7899999999991</v>
      </c>
      <c r="AH28" s="323">
        <f t="shared" si="4"/>
        <v>-17150.760000000002</v>
      </c>
      <c r="AI28" s="323">
        <f t="shared" si="4"/>
        <v>82989.529999999984</v>
      </c>
      <c r="AJ28" s="323">
        <f t="shared" si="4"/>
        <v>-27783.559999999998</v>
      </c>
      <c r="AK28" s="323">
        <f t="shared" si="4"/>
        <v>-9955.8599999999988</v>
      </c>
      <c r="AL28" s="323">
        <f>AL18-AL7</f>
        <v>-6021.9699999999993</v>
      </c>
      <c r="AM28" s="323">
        <f t="shared" si="4"/>
        <v>11099.33</v>
      </c>
      <c r="AN28" s="323">
        <f t="shared" si="4"/>
        <v>1544.010000000002</v>
      </c>
      <c r="AO28" s="323">
        <f t="shared" si="2"/>
        <v>-32748.390000000003</v>
      </c>
      <c r="AP28" s="323">
        <f t="shared" si="2"/>
        <v>-22341.030000000002</v>
      </c>
      <c r="AQ28" s="323">
        <f t="shared" si="2"/>
        <v>-8445.1799999999967</v>
      </c>
      <c r="AR28" s="323">
        <f t="shared" si="2"/>
        <v>-28112.77</v>
      </c>
      <c r="AS28" s="323">
        <f t="shared" si="2"/>
        <v>-13063.75</v>
      </c>
      <c r="AT28" s="323">
        <f t="shared" si="2"/>
        <v>522.51000000000204</v>
      </c>
      <c r="AU28" s="323">
        <f t="shared" si="2"/>
        <v>-536.30000000000291</v>
      </c>
      <c r="AV28" s="323">
        <f t="shared" si="2"/>
        <v>-21243.950000000004</v>
      </c>
      <c r="AW28" s="323">
        <f t="shared" si="2"/>
        <v>6151.57</v>
      </c>
      <c r="AX28" s="323">
        <f t="shared" si="2"/>
        <v>-6064.4300000000039</v>
      </c>
      <c r="AY28" s="323">
        <f t="shared" si="2"/>
        <v>10165.369999999999</v>
      </c>
      <c r="AZ28" s="326"/>
      <c r="BA28" s="323">
        <f t="shared" si="2"/>
        <v>-17796.190000000002</v>
      </c>
      <c r="BB28" s="323">
        <f t="shared" si="2"/>
        <v>144.47000000000116</v>
      </c>
      <c r="BC28" s="323">
        <f t="shared" si="2"/>
        <v>-28.319999999999709</v>
      </c>
      <c r="BD28" s="323"/>
      <c r="BE28" s="323">
        <f t="shared" si="5"/>
        <v>744.92000000000007</v>
      </c>
      <c r="BF28" s="323"/>
      <c r="BG28" s="437">
        <f>BG18-BG12</f>
        <v>32413.709999999995</v>
      </c>
      <c r="BH28" s="323">
        <f>BH18-BH12</f>
        <v>65420.49</v>
      </c>
    </row>
    <row r="29" spans="1:60" x14ac:dyDescent="0.25">
      <c r="B29" s="341" t="s">
        <v>173</v>
      </c>
      <c r="C29" s="323"/>
      <c r="D29" s="323"/>
      <c r="E29" s="323"/>
      <c r="F29" s="323"/>
      <c r="G29" s="323"/>
      <c r="H29" s="323"/>
      <c r="I29" s="323">
        <f t="shared" si="4"/>
        <v>5159.75</v>
      </c>
      <c r="J29" s="323">
        <f t="shared" si="4"/>
        <v>1904.9099999999962</v>
      </c>
      <c r="K29" s="323">
        <f t="shared" si="4"/>
        <v>-24029.239999999998</v>
      </c>
      <c r="L29" s="323">
        <f t="shared" si="4"/>
        <v>1321.5299999999997</v>
      </c>
      <c r="M29" s="323">
        <f t="shared" si="4"/>
        <v>744.27000000000044</v>
      </c>
      <c r="N29" s="323">
        <f t="shared" si="4"/>
        <v>-2722</v>
      </c>
      <c r="O29" s="323">
        <f t="shared" si="4"/>
        <v>4892.7299999999996</v>
      </c>
      <c r="P29" s="323">
        <f t="shared" si="4"/>
        <v>-335</v>
      </c>
      <c r="Q29" s="323">
        <f t="shared" si="4"/>
        <v>5216.54</v>
      </c>
      <c r="R29" s="323">
        <f t="shared" si="4"/>
        <v>341.63999999999942</v>
      </c>
      <c r="S29" s="323">
        <f>S19-S8</f>
        <v>-6591.6100000000006</v>
      </c>
      <c r="T29" s="323">
        <f t="shared" si="4"/>
        <v>4089.8600000000006</v>
      </c>
      <c r="U29" s="323">
        <f t="shared" si="4"/>
        <v>-5736.5700000000015</v>
      </c>
      <c r="V29" s="323">
        <f t="shared" si="4"/>
        <v>5098.6100000000006</v>
      </c>
      <c r="W29" s="323">
        <f t="shared" si="4"/>
        <v>1685.8799999999992</v>
      </c>
      <c r="X29" s="323">
        <f t="shared" si="4"/>
        <v>707.05000000000109</v>
      </c>
      <c r="Y29" s="323">
        <f t="shared" si="4"/>
        <v>5317.3499999999995</v>
      </c>
      <c r="Z29" s="323">
        <f t="shared" si="4"/>
        <v>5691.78</v>
      </c>
      <c r="AA29" s="323">
        <f t="shared" si="4"/>
        <v>-7738.6899999999987</v>
      </c>
      <c r="AB29" s="323">
        <f t="shared" si="4"/>
        <v>970.28000000000065</v>
      </c>
      <c r="AC29" s="323">
        <f t="shared" si="4"/>
        <v>-4139.34</v>
      </c>
      <c r="AD29" s="323">
        <f t="shared" si="4"/>
        <v>-5124.3999999999996</v>
      </c>
      <c r="AE29" s="323">
        <f t="shared" si="4"/>
        <v>-957.42000000000007</v>
      </c>
      <c r="AF29" s="323">
        <f t="shared" si="4"/>
        <v>-4495.4199999999983</v>
      </c>
      <c r="AG29" s="323">
        <f t="shared" si="4"/>
        <v>5749.67</v>
      </c>
      <c r="AH29" s="323">
        <f>AH19-AH8</f>
        <v>1479.8000000000002</v>
      </c>
      <c r="AI29" s="323">
        <f t="shared" si="4"/>
        <v>5624.2800000000016</v>
      </c>
      <c r="AJ29" s="323">
        <f t="shared" si="4"/>
        <v>432.21999999999753</v>
      </c>
      <c r="AK29" s="323">
        <f t="shared" si="4"/>
        <v>3700.0500000000011</v>
      </c>
      <c r="AL29" s="323">
        <f t="shared" si="4"/>
        <v>5234.32</v>
      </c>
      <c r="AM29" s="323">
        <f t="shared" si="4"/>
        <v>3870.7899999999986</v>
      </c>
      <c r="AN29" s="323">
        <f t="shared" si="4"/>
        <v>2195.0799999999981</v>
      </c>
      <c r="AO29" s="323">
        <f t="shared" si="2"/>
        <v>2442.4899999999998</v>
      </c>
      <c r="AP29" s="323">
        <f t="shared" si="2"/>
        <v>12263.529999999999</v>
      </c>
      <c r="AQ29" s="323">
        <f t="shared" si="2"/>
        <v>9783.7699999999932</v>
      </c>
      <c r="AR29" s="323">
        <f t="shared" si="2"/>
        <v>829.87000000000262</v>
      </c>
      <c r="AS29" s="323">
        <f t="shared" si="2"/>
        <v>-2130.91</v>
      </c>
      <c r="AT29" s="323">
        <f t="shared" si="2"/>
        <v>10962.25</v>
      </c>
      <c r="AU29" s="323">
        <f t="shared" si="2"/>
        <v>12547.55</v>
      </c>
      <c r="AV29" s="323">
        <f t="shared" si="2"/>
        <v>1154.2600000000002</v>
      </c>
      <c r="AW29" s="323">
        <f t="shared" si="2"/>
        <v>1626.3100000000013</v>
      </c>
      <c r="AX29" s="323">
        <f t="shared" si="2"/>
        <v>13565.32</v>
      </c>
      <c r="AY29" s="323">
        <f t="shared" si="2"/>
        <v>-3218.9700000000012</v>
      </c>
      <c r="AZ29" s="326"/>
      <c r="BA29" s="323">
        <f t="shared" si="2"/>
        <v>8035.2300000000014</v>
      </c>
      <c r="BB29" s="323">
        <f t="shared" si="2"/>
        <v>-554.53000000000065</v>
      </c>
      <c r="BC29" s="323">
        <f t="shared" si="2"/>
        <v>3051.3999999999996</v>
      </c>
      <c r="BD29" s="323"/>
      <c r="BE29" s="323">
        <f t="shared" si="5"/>
        <v>6925.43</v>
      </c>
      <c r="BF29" s="323"/>
      <c r="BG29" s="323"/>
      <c r="BH29" s="323"/>
    </row>
    <row r="30" spans="1:60" x14ac:dyDescent="0.25">
      <c r="B30" s="341" t="s">
        <v>167</v>
      </c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>
        <f>S20-S9</f>
        <v>-173.22</v>
      </c>
      <c r="T30" s="323">
        <f t="shared" ref="T30:AG30" si="8">T20-T9</f>
        <v>0</v>
      </c>
      <c r="U30" s="323">
        <f t="shared" si="8"/>
        <v>0</v>
      </c>
      <c r="V30" s="323">
        <f t="shared" si="8"/>
        <v>0</v>
      </c>
      <c r="W30" s="323">
        <f t="shared" si="8"/>
        <v>0</v>
      </c>
      <c r="X30" s="323">
        <f t="shared" si="8"/>
        <v>-1578</v>
      </c>
      <c r="Y30" s="323">
        <f t="shared" si="8"/>
        <v>0</v>
      </c>
      <c r="Z30" s="323">
        <f t="shared" si="8"/>
        <v>0</v>
      </c>
      <c r="AA30" s="323">
        <f t="shared" si="8"/>
        <v>0</v>
      </c>
      <c r="AB30" s="323">
        <f t="shared" si="8"/>
        <v>-78.37</v>
      </c>
      <c r="AC30" s="323">
        <f t="shared" si="8"/>
        <v>0</v>
      </c>
      <c r="AD30" s="323">
        <f t="shared" si="8"/>
        <v>0</v>
      </c>
      <c r="AE30" s="323">
        <f t="shared" si="8"/>
        <v>0</v>
      </c>
      <c r="AF30" s="323">
        <f t="shared" si="8"/>
        <v>0</v>
      </c>
      <c r="AG30" s="323">
        <f t="shared" si="8"/>
        <v>0</v>
      </c>
      <c r="AH30" s="323">
        <f>AH20-AH9</f>
        <v>0</v>
      </c>
      <c r="AI30" s="323">
        <f t="shared" si="4"/>
        <v>0</v>
      </c>
      <c r="AJ30" s="323">
        <f t="shared" si="4"/>
        <v>0</v>
      </c>
      <c r="AK30" s="323">
        <f t="shared" si="4"/>
        <v>0</v>
      </c>
      <c r="AL30" s="323">
        <f t="shared" si="4"/>
        <v>0</v>
      </c>
      <c r="AM30" s="323">
        <f t="shared" si="4"/>
        <v>0</v>
      </c>
      <c r="AN30" s="323">
        <f t="shared" si="4"/>
        <v>0</v>
      </c>
      <c r="AO30" s="323">
        <f t="shared" si="2"/>
        <v>0</v>
      </c>
      <c r="AP30" s="323">
        <f t="shared" si="2"/>
        <v>0</v>
      </c>
      <c r="AQ30" s="323">
        <f t="shared" si="2"/>
        <v>0</v>
      </c>
      <c r="AR30" s="323">
        <f t="shared" si="2"/>
        <v>0</v>
      </c>
      <c r="AS30" s="323">
        <f t="shared" si="2"/>
        <v>0</v>
      </c>
      <c r="AT30" s="323">
        <f t="shared" si="2"/>
        <v>0</v>
      </c>
      <c r="AU30" s="323">
        <f t="shared" si="2"/>
        <v>0</v>
      </c>
      <c r="AV30" s="323">
        <f t="shared" si="2"/>
        <v>0</v>
      </c>
      <c r="AW30" s="323">
        <f t="shared" si="2"/>
        <v>0</v>
      </c>
      <c r="AX30" s="323">
        <f t="shared" si="2"/>
        <v>0</v>
      </c>
      <c r="AY30" s="323">
        <f t="shared" si="2"/>
        <v>0</v>
      </c>
      <c r="AZ30" s="326"/>
      <c r="BA30" s="323">
        <f t="shared" si="2"/>
        <v>0</v>
      </c>
      <c r="BB30" s="323">
        <f t="shared" si="2"/>
        <v>0</v>
      </c>
      <c r="BC30" s="323">
        <f t="shared" si="2"/>
        <v>0</v>
      </c>
      <c r="BD30" s="323"/>
      <c r="BE30" s="323"/>
    </row>
    <row r="31" spans="1:60" x14ac:dyDescent="0.25">
      <c r="B31" s="341" t="s">
        <v>136</v>
      </c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>
        <f>AH21-AH11</f>
        <v>-2161.9499999999989</v>
      </c>
      <c r="AI31" s="323">
        <f t="shared" ref="AI31:BC31" si="9">AI21-AI11</f>
        <v>3649.83</v>
      </c>
      <c r="AJ31" s="323">
        <f t="shared" si="9"/>
        <v>6763.7800000000007</v>
      </c>
      <c r="AK31" s="323">
        <f t="shared" si="9"/>
        <v>-3906.3199999999997</v>
      </c>
      <c r="AL31" s="323">
        <f t="shared" si="9"/>
        <v>-1688.3599999999997</v>
      </c>
      <c r="AM31" s="323">
        <f t="shared" si="9"/>
        <v>187.11000000000013</v>
      </c>
      <c r="AN31" s="323">
        <f t="shared" si="9"/>
        <v>2267.3700000000008</v>
      </c>
      <c r="AO31" s="323">
        <f t="shared" si="9"/>
        <v>5450.1900000000023</v>
      </c>
      <c r="AP31" s="323">
        <f t="shared" si="9"/>
        <v>3807.300000000002</v>
      </c>
      <c r="AQ31" s="323">
        <f t="shared" si="9"/>
        <v>5762.0800000000017</v>
      </c>
      <c r="AR31" s="323">
        <f t="shared" si="9"/>
        <v>6397.6099999999988</v>
      </c>
      <c r="AS31" s="323">
        <f t="shared" si="9"/>
        <v>344.77000000000044</v>
      </c>
      <c r="AT31" s="323">
        <f t="shared" si="9"/>
        <v>-1671.7499999999964</v>
      </c>
      <c r="AU31" s="323">
        <f t="shared" si="9"/>
        <v>5468.4200000000019</v>
      </c>
      <c r="AV31" s="323">
        <f t="shared" si="9"/>
        <v>580.57000000000153</v>
      </c>
      <c r="AW31" s="323">
        <f t="shared" si="9"/>
        <v>-8850.9800000000014</v>
      </c>
      <c r="AX31" s="323">
        <f t="shared" si="9"/>
        <v>6365.7699999999995</v>
      </c>
      <c r="AY31" s="323">
        <f t="shared" si="9"/>
        <v>2490.1499999999996</v>
      </c>
      <c r="AZ31" s="326"/>
      <c r="BA31" s="323">
        <f t="shared" si="9"/>
        <v>1437.8099999999995</v>
      </c>
      <c r="BB31" s="323">
        <f t="shared" si="9"/>
        <v>3300.579999999999</v>
      </c>
      <c r="BC31" s="323">
        <f t="shared" si="9"/>
        <v>158.51000000000022</v>
      </c>
      <c r="BD31" s="384"/>
      <c r="BE31" s="323"/>
    </row>
    <row r="32" spans="1:60" x14ac:dyDescent="0.25">
      <c r="I32" s="343"/>
      <c r="AH32" s="343"/>
      <c r="AI32" s="343"/>
      <c r="AJ32" s="343"/>
      <c r="AK32" s="343"/>
      <c r="AL32" s="343"/>
      <c r="AM32" s="343"/>
      <c r="AN32" s="343"/>
      <c r="AO32" s="343"/>
      <c r="AP32" s="343"/>
      <c r="AQ32" s="343"/>
      <c r="AR32" s="343"/>
      <c r="AS32" s="343"/>
      <c r="AT32" s="343"/>
      <c r="AU32" s="343"/>
      <c r="AV32" s="343"/>
      <c r="AW32" s="343"/>
      <c r="AX32" s="343"/>
      <c r="AY32" s="343"/>
      <c r="AZ32" s="343"/>
      <c r="BA32" s="343"/>
      <c r="BB32" s="343"/>
      <c r="BC32" s="343"/>
    </row>
    <row r="33" spans="2:57" x14ac:dyDescent="0.25">
      <c r="B33" s="342" t="s">
        <v>127</v>
      </c>
      <c r="C33" s="320" t="s">
        <v>2</v>
      </c>
      <c r="D33" s="320" t="s">
        <v>3</v>
      </c>
      <c r="E33" s="320" t="s">
        <v>4</v>
      </c>
      <c r="F33" s="320" t="s">
        <v>5</v>
      </c>
      <c r="G33" s="320" t="s">
        <v>6</v>
      </c>
      <c r="H33" s="320" t="s">
        <v>7</v>
      </c>
      <c r="I33" s="319" t="s">
        <v>8</v>
      </c>
      <c r="J33" s="319" t="s">
        <v>9</v>
      </c>
      <c r="K33" s="319" t="s">
        <v>10</v>
      </c>
      <c r="L33" s="319" t="s">
        <v>114</v>
      </c>
      <c r="M33" s="319" t="s">
        <v>12</v>
      </c>
      <c r="N33" s="319" t="s">
        <v>13</v>
      </c>
      <c r="O33" s="319" t="s">
        <v>14</v>
      </c>
      <c r="P33" s="319" t="s">
        <v>15</v>
      </c>
      <c r="Q33" s="319" t="s">
        <v>16</v>
      </c>
      <c r="R33" s="319" t="s">
        <v>17</v>
      </c>
      <c r="S33" s="319" t="s">
        <v>18</v>
      </c>
      <c r="T33" s="319" t="s">
        <v>19</v>
      </c>
      <c r="U33" s="319" t="s">
        <v>20</v>
      </c>
      <c r="V33" s="319" t="s">
        <v>21</v>
      </c>
      <c r="W33" s="319" t="s">
        <v>22</v>
      </c>
      <c r="X33" s="319" t="s">
        <v>23</v>
      </c>
      <c r="Y33" s="319" t="s">
        <v>24</v>
      </c>
      <c r="Z33" s="319" t="s">
        <v>25</v>
      </c>
      <c r="AA33" s="319" t="s">
        <v>26</v>
      </c>
      <c r="AB33" s="319" t="s">
        <v>27</v>
      </c>
      <c r="AC33" s="319" t="s">
        <v>28</v>
      </c>
      <c r="AD33" s="319" t="s">
        <v>29</v>
      </c>
      <c r="AE33" s="319" t="s">
        <v>30</v>
      </c>
      <c r="AF33" s="319" t="s">
        <v>31</v>
      </c>
      <c r="AG33" s="319" t="s">
        <v>32</v>
      </c>
      <c r="AH33" s="319" t="s">
        <v>34</v>
      </c>
      <c r="AI33" s="319" t="s">
        <v>35</v>
      </c>
      <c r="AJ33" s="319" t="s">
        <v>36</v>
      </c>
      <c r="AK33" s="319" t="s">
        <v>37</v>
      </c>
      <c r="AL33" s="319" t="s">
        <v>38</v>
      </c>
      <c r="AM33" s="319" t="s">
        <v>39</v>
      </c>
      <c r="AN33" s="319" t="s">
        <v>33</v>
      </c>
      <c r="AO33" s="319" t="s">
        <v>40</v>
      </c>
      <c r="AP33" s="319" t="s">
        <v>41</v>
      </c>
      <c r="AQ33" s="319" t="s">
        <v>42</v>
      </c>
      <c r="AR33" s="319" t="s">
        <v>43</v>
      </c>
      <c r="AS33" s="319" t="s">
        <v>44</v>
      </c>
      <c r="AT33" s="319" t="s">
        <v>45</v>
      </c>
      <c r="AU33" s="319" t="s">
        <v>46</v>
      </c>
      <c r="AV33" s="319" t="s">
        <v>47</v>
      </c>
      <c r="AW33" s="319" t="s">
        <v>48</v>
      </c>
      <c r="AX33" s="319" t="s">
        <v>49</v>
      </c>
      <c r="AY33" s="319" t="s">
        <v>50</v>
      </c>
      <c r="AZ33" s="319" t="s">
        <v>51</v>
      </c>
      <c r="BA33" s="319" t="s">
        <v>52</v>
      </c>
      <c r="BB33" s="319" t="s">
        <v>53</v>
      </c>
      <c r="BC33" s="319" t="s">
        <v>54</v>
      </c>
    </row>
    <row r="34" spans="2:57" x14ac:dyDescent="0.25">
      <c r="B34" s="347" t="s">
        <v>62</v>
      </c>
      <c r="C34" s="339"/>
      <c r="D34" s="339"/>
      <c r="E34" s="339"/>
      <c r="F34" s="339"/>
      <c r="G34" s="339"/>
      <c r="H34" s="339"/>
      <c r="I34" s="339">
        <f>'Mar 26'!I3-I3</f>
        <v>-4517.359999999986</v>
      </c>
      <c r="J34" s="339">
        <f>'Mar 26'!J3-J3</f>
        <v>27609.920000000006</v>
      </c>
      <c r="K34" s="339">
        <f>'Mar 26'!K3-K3</f>
        <v>51227.910000000018</v>
      </c>
      <c r="L34" s="339">
        <f>'Mar 26'!L3-L3</f>
        <v>-2110.0500000000002</v>
      </c>
      <c r="M34" s="339">
        <f>'Mar 26'!M3-M3</f>
        <v>6667.3600000000006</v>
      </c>
      <c r="N34" s="339">
        <f>'Mar 26'!N3-N3</f>
        <v>14499.659999999998</v>
      </c>
      <c r="O34" s="339">
        <f>'Mar 26'!O3-O3</f>
        <v>7397.840000000002</v>
      </c>
      <c r="P34" s="339">
        <f>'Mar 26'!P3-P3</f>
        <v>-4869.9499999999989</v>
      </c>
      <c r="Q34" s="339">
        <f>'Mar 26'!Q3-Q3</f>
        <v>9277.989999999998</v>
      </c>
      <c r="R34" s="339">
        <f>'Mar 26'!R3-R3</f>
        <v>999.19999999999982</v>
      </c>
      <c r="S34" s="339">
        <f>'Mar 26'!S3-S3</f>
        <v>44.810000000004948</v>
      </c>
      <c r="T34" s="339">
        <f>'Mar 26'!T3-T3</f>
        <v>-903.2599999999984</v>
      </c>
      <c r="U34" s="339">
        <f>'Mar 26'!U3-U3</f>
        <v>1390.5599999999977</v>
      </c>
      <c r="V34" s="339">
        <f>'Mar 26'!V3-V3</f>
        <v>-6582.8699999999953</v>
      </c>
      <c r="W34" s="339">
        <f>'Mar 26'!W3-W3</f>
        <v>-8791.4599999999973</v>
      </c>
      <c r="X34" s="339">
        <f>'Mar 26'!X3-X3</f>
        <v>9609.1200000000044</v>
      </c>
      <c r="Y34" s="339">
        <f>'Mar 26'!Y3-Y3</f>
        <v>10257.430000000004</v>
      </c>
      <c r="Z34" s="339">
        <f>'Mar 26'!Z3-Z3</f>
        <v>-95.940000000009604</v>
      </c>
      <c r="AA34" s="339">
        <f>'Mar 26'!AA3-AA3</f>
        <v>9417.3799999999992</v>
      </c>
      <c r="AB34" s="339">
        <f>'Mar 26'!AB3-AB3</f>
        <v>-303.73999999999796</v>
      </c>
      <c r="AC34" s="339">
        <f>'Mar 26'!AC3-AC3</f>
        <v>916.36999999999534</v>
      </c>
      <c r="AD34" s="339">
        <f>'Mar 26'!AD3-AD3</f>
        <v>2711.8999999999869</v>
      </c>
      <c r="AE34" s="339">
        <f>'Mar 26'!AE3-AE3</f>
        <v>-6645.4100000000017</v>
      </c>
      <c r="AF34" s="339">
        <f>'Mar 26'!AF3-AF3</f>
        <v>729.24</v>
      </c>
      <c r="AG34" s="339">
        <f>'Mar 26'!AG3-AG3</f>
        <v>-284.77000000000021</v>
      </c>
      <c r="AH34" s="339">
        <f>'Mar 26'!AH3-AH3</f>
        <v>5274.0399999999991</v>
      </c>
      <c r="AI34" s="339">
        <f>'Mar 26'!AI3-AI3</f>
        <v>-11276.259999999989</v>
      </c>
      <c r="AJ34" s="339">
        <f>'Mar 26'!AJ3-AJ3</f>
        <v>-2302.9299999999985</v>
      </c>
      <c r="AK34" s="339">
        <f>'Mar 26'!AK3-AK3</f>
        <v>-4106.4599999999991</v>
      </c>
      <c r="AL34" s="339">
        <f>'Mar 26'!AL3-AL3</f>
        <v>-420.450000000008</v>
      </c>
      <c r="AM34" s="339">
        <f>'Mar 26'!AM3-AM3</f>
        <v>609.92999999999961</v>
      </c>
      <c r="AN34" s="339">
        <f>'Mar 26'!AN3-AN3</f>
        <v>-2833.4800000000068</v>
      </c>
      <c r="AO34" s="339">
        <f>'Mar 26'!AO3-AO3</f>
        <v>1173.9200000000019</v>
      </c>
      <c r="AP34" s="339">
        <f>'Mar 26'!AP3-AP3</f>
        <v>30837.819999999992</v>
      </c>
      <c r="AQ34" s="339">
        <f>'Mar 26'!AQ3-AQ3</f>
        <v>916.05999999999767</v>
      </c>
      <c r="AR34" s="339">
        <f>'Mar 26'!AR3-AR3</f>
        <v>12001.039999999994</v>
      </c>
      <c r="AS34" s="339">
        <f>'Mar 26'!AS3-AS3</f>
        <v>-610.92000000000189</v>
      </c>
      <c r="AT34" s="339">
        <f>'Mar 26'!AT3-AT3</f>
        <v>8439.2199999999903</v>
      </c>
      <c r="AU34" s="339">
        <f>'Mar 26'!AU3-AU3</f>
        <v>9589.5999999999913</v>
      </c>
      <c r="AV34" s="339">
        <f>'Mar 26'!AV3-AV3</f>
        <v>1565.5299999999988</v>
      </c>
      <c r="AW34" s="339">
        <f>'Mar 26'!AW3-AW3</f>
        <v>-9231.119999999999</v>
      </c>
      <c r="AX34" s="339">
        <f>'Mar 26'!AX3-AX3</f>
        <v>8023.0399999999972</v>
      </c>
      <c r="AY34" s="339">
        <f>'Mar 26'!AY3-AY3</f>
        <v>3102.3400000000111</v>
      </c>
      <c r="AZ34" s="339">
        <f>'Mar 26'!AZ3-AZ3</f>
        <v>0</v>
      </c>
      <c r="BA34" s="339">
        <f>'Mar 26'!BA3-BA3</f>
        <v>-4740.8299999999981</v>
      </c>
      <c r="BB34" s="339">
        <f>'Mar 26'!BB3-BB3</f>
        <v>-3011.9600000000064</v>
      </c>
      <c r="BC34" s="339">
        <f>'Mar 26'!BC3-BC3</f>
        <v>3946.7099999999991</v>
      </c>
      <c r="BD34" s="339">
        <f>'Mar 26'!BD3-BD3</f>
        <v>0</v>
      </c>
      <c r="BE34" s="339">
        <f>'Mar 26'!BE3-BE3</f>
        <v>248.91000000000349</v>
      </c>
    </row>
    <row r="35" spans="2:57" x14ac:dyDescent="0.25">
      <c r="B35" s="347" t="s">
        <v>63</v>
      </c>
      <c r="C35" s="339"/>
      <c r="D35" s="339"/>
      <c r="E35" s="339"/>
      <c r="F35" s="339"/>
      <c r="G35" s="339"/>
      <c r="H35" s="339"/>
      <c r="I35" s="339">
        <f>'Mar 26'!I4-I4</f>
        <v>-4868.5</v>
      </c>
      <c r="J35" s="339">
        <f>'Mar 26'!J4-J4</f>
        <v>-725.30000000000018</v>
      </c>
      <c r="K35" s="339">
        <f>'Mar 26'!K4-K4</f>
        <v>-5900.16</v>
      </c>
      <c r="L35" s="339">
        <f>'Mar 26'!L4-L4</f>
        <v>5736.7800000000007</v>
      </c>
      <c r="M35" s="339">
        <f>'Mar 26'!M4-M4</f>
        <v>-1248.29</v>
      </c>
      <c r="N35" s="339">
        <f>'Mar 26'!N4-N4</f>
        <v>25297.949999999997</v>
      </c>
      <c r="O35" s="339">
        <f>'Mar 26'!O4-O4</f>
        <v>10108.460000000001</v>
      </c>
      <c r="P35" s="339">
        <f>'Mar 26'!P4-P4</f>
        <v>-3688.01</v>
      </c>
      <c r="Q35" s="339">
        <f>'Mar 26'!Q4-Q4</f>
        <v>-11390.110000000008</v>
      </c>
      <c r="R35" s="339">
        <f>'Mar 26'!R4-R4</f>
        <v>0</v>
      </c>
      <c r="S35" s="339">
        <f>'Mar 26'!S4-S4</f>
        <v>1012.54</v>
      </c>
      <c r="T35" s="339">
        <f>'Mar 26'!T4-T4</f>
        <v>-351.90000000000032</v>
      </c>
      <c r="U35" s="339">
        <f>'Mar 26'!U4-U4</f>
        <v>3167.8400000000006</v>
      </c>
      <c r="V35" s="339">
        <f>'Mar 26'!V4-V4</f>
        <v>-289.05999999999995</v>
      </c>
      <c r="W35" s="339">
        <f>'Mar 26'!W4-W4</f>
        <v>6535.8300000000008</v>
      </c>
      <c r="X35" s="339">
        <f>'Mar 26'!X4-X4</f>
        <v>1433.9899999999998</v>
      </c>
      <c r="Y35" s="339">
        <f>'Mar 26'!Y4-Y4</f>
        <v>3757.2800000000007</v>
      </c>
      <c r="Z35" s="339">
        <f>'Mar 26'!Z4-Z4</f>
        <v>5683.8399999999892</v>
      </c>
      <c r="AA35" s="339">
        <f>'Mar 26'!AA4-AA4</f>
        <v>11914.909999999996</v>
      </c>
      <c r="AB35" s="339">
        <f>'Mar 26'!AB4-AB4</f>
        <v>759.11000000000058</v>
      </c>
      <c r="AC35" s="339">
        <f>'Mar 26'!AC4-AC4</f>
        <v>4298.4600000000009</v>
      </c>
      <c r="AD35" s="339">
        <f>'Mar 26'!AD4-AD4</f>
        <v>25706.920000000002</v>
      </c>
      <c r="AE35" s="339">
        <f>'Mar 26'!AE4-AE4</f>
        <v>3160.7899999999991</v>
      </c>
      <c r="AF35" s="339">
        <f>'Mar 26'!AF4-AF4</f>
        <v>0</v>
      </c>
      <c r="AG35" s="339">
        <f>'Mar 26'!AG4-AG4</f>
        <v>0</v>
      </c>
      <c r="AH35" s="339">
        <f>'Mar 26'!AH4-AH4</f>
        <v>-7714.760000000002</v>
      </c>
      <c r="AI35" s="339">
        <f>'Mar 26'!AI4-AI4</f>
        <v>-57102.700000000012</v>
      </c>
      <c r="AJ35" s="339">
        <f>'Mar 26'!AJ4-AJ4</f>
        <v>2016.9499999999989</v>
      </c>
      <c r="AK35" s="339">
        <f>'Mar 26'!AK4-AK4</f>
        <v>-10717.76</v>
      </c>
      <c r="AL35" s="339">
        <f>'Mar 26'!AL4-AL4</f>
        <v>-2143.4199999999983</v>
      </c>
      <c r="AM35" s="339">
        <f>'Mar 26'!AM4-AM4</f>
        <v>-4758.299999999992</v>
      </c>
      <c r="AN35" s="339">
        <f>'Mar 26'!AN4-AN4</f>
        <v>-1206.8499999999985</v>
      </c>
      <c r="AO35" s="339">
        <f>'Mar 26'!AO4-AO4</f>
        <v>3319</v>
      </c>
      <c r="AP35" s="339">
        <f>'Mar 26'!AP4-AP4</f>
        <v>30332.62000000001</v>
      </c>
      <c r="AQ35" s="339">
        <f>'Mar 26'!AQ4-AQ4</f>
        <v>-9169.3099999999977</v>
      </c>
      <c r="AR35" s="339">
        <f>'Mar 26'!AR4-AR4</f>
        <v>84745.67</v>
      </c>
      <c r="AS35" s="339">
        <f>'Mar 26'!AS4-AS4</f>
        <v>421.44000000000597</v>
      </c>
      <c r="AT35" s="339">
        <f>'Mar 26'!AT4-AT4</f>
        <v>23733.279999999999</v>
      </c>
      <c r="AU35" s="339">
        <f>'Mar 26'!AU4-AU4</f>
        <v>39293.100000000006</v>
      </c>
      <c r="AV35" s="339">
        <f>'Mar 26'!AV4-AV4</f>
        <v>8769.2999999999884</v>
      </c>
      <c r="AW35" s="339">
        <f>'Mar 26'!AW4-AW4</f>
        <v>17611.279999999995</v>
      </c>
      <c r="AX35" s="339">
        <f>'Mar 26'!AX4-AX4</f>
        <v>17840.209999999988</v>
      </c>
      <c r="AY35" s="339">
        <f>'Mar 26'!AY4-AY4</f>
        <v>65549.440000000031</v>
      </c>
      <c r="AZ35" s="339">
        <f>'Mar 26'!AZ4-AZ4</f>
        <v>0</v>
      </c>
      <c r="BA35" s="339">
        <f>'Mar 26'!BA4-BA4</f>
        <v>3638.309999999994</v>
      </c>
      <c r="BB35" s="339">
        <f>'Mar 26'!BB4-BB4</f>
        <v>-3133.7300000000014</v>
      </c>
      <c r="BC35" s="339">
        <f>'Mar 26'!BC4-BC4</f>
        <v>16866.190000000017</v>
      </c>
      <c r="BD35" s="339">
        <f>'Mar 26'!BD4-BD4</f>
        <v>0</v>
      </c>
      <c r="BE35" s="339">
        <f>'Mar 26'!BE4-BE4</f>
        <v>51899.64</v>
      </c>
    </row>
    <row r="36" spans="2:57" x14ac:dyDescent="0.25">
      <c r="B36" s="347" t="s">
        <v>64</v>
      </c>
      <c r="C36" s="339">
        <f>'Mar 26'!C5-C5</f>
        <v>-52.5</v>
      </c>
      <c r="D36" s="339">
        <f>'Mar 26'!D5-D5</f>
        <v>678.5</v>
      </c>
      <c r="E36" s="339"/>
      <c r="F36" s="339">
        <f>'Mar 26'!F5-E5</f>
        <v>-52.5</v>
      </c>
      <c r="G36" s="339">
        <f>'Mar 26'!G5-F5</f>
        <v>4274.5</v>
      </c>
      <c r="H36" s="339">
        <f>'Mar 26'!H5-G5</f>
        <v>448239.62</v>
      </c>
      <c r="I36" s="339">
        <f>'Mar 26'!I5-H5</f>
        <v>-512383.45000000007</v>
      </c>
      <c r="J36" s="339">
        <f>'Mar 26'!J5-J5</f>
        <v>612.47000000000071</v>
      </c>
      <c r="K36" s="339">
        <f>'Mar 26'!K5-K5</f>
        <v>-9729.9600000000028</v>
      </c>
      <c r="L36" s="339">
        <f>'Mar 26'!L5-L5</f>
        <v>0</v>
      </c>
      <c r="M36" s="339">
        <f>'Mar 26'!M5-M5</f>
        <v>-5439.3799999999992</v>
      </c>
      <c r="N36" s="339">
        <f>'Mar 26'!N5-N5</f>
        <v>-13819.350000000002</v>
      </c>
      <c r="O36" s="339">
        <f>'Mar 26'!O5-O5</f>
        <v>-26033.06</v>
      </c>
      <c r="P36" s="339">
        <f>'Mar 26'!P5-P5</f>
        <v>-17134.100000000002</v>
      </c>
      <c r="Q36" s="339">
        <f>'Mar 26'!Q5-Q5</f>
        <v>-14459.420000000002</v>
      </c>
      <c r="R36" s="339">
        <f>'Mar 26'!R5-R5</f>
        <v>-4584.5100000000093</v>
      </c>
      <c r="S36" s="339">
        <f>'Mar 26'!S5-S5</f>
        <v>-1051.26</v>
      </c>
      <c r="T36" s="339">
        <f>'Mar 26'!T5-T5</f>
        <v>-3532.1699999999996</v>
      </c>
      <c r="U36" s="339">
        <f>'Mar 26'!U5-U5</f>
        <v>-42</v>
      </c>
      <c r="V36" s="339">
        <f>'Mar 26'!V5-V5</f>
        <v>-248.5</v>
      </c>
      <c r="W36" s="339">
        <f>'Mar 26'!W5-W5</f>
        <v>-52.5</v>
      </c>
      <c r="X36" s="339">
        <f>'Mar 26'!X5-X5</f>
        <v>26.25</v>
      </c>
      <c r="Y36" s="339">
        <f>'Mar 26'!Y5-Y5</f>
        <v>-42</v>
      </c>
      <c r="Z36" s="339">
        <f>'Mar 26'!Z5-Z5</f>
        <v>34200.36</v>
      </c>
      <c r="AA36" s="339">
        <f>'Mar 26'!AA5-AA5</f>
        <v>76155.31</v>
      </c>
      <c r="AB36" s="339">
        <f>'Mar 26'!AB5-AB5</f>
        <v>39060.100000000006</v>
      </c>
      <c r="AC36" s="339">
        <f>'Mar 26'!AC5-AC5</f>
        <v>76047.229999999981</v>
      </c>
      <c r="AD36" s="339">
        <f>'Mar 26'!AD5-AD5</f>
        <v>665.34000000000378</v>
      </c>
      <c r="AE36" s="339">
        <f>'Mar 26'!AE5-AE5</f>
        <v>54483.469999999994</v>
      </c>
      <c r="AF36" s="339">
        <f>'Mar 26'!AF5-AF5</f>
        <v>10246.060000000172</v>
      </c>
      <c r="AG36" s="339">
        <f>'Mar 26'!AG5-AG5</f>
        <v>28108.650000000023</v>
      </c>
      <c r="AH36" s="339">
        <f>'Mar 26'!AH5-AH5</f>
        <v>12945.989999999998</v>
      </c>
      <c r="AI36" s="339">
        <f>'Mar 26'!AI5-AI5</f>
        <v>-5684.0500000000175</v>
      </c>
      <c r="AJ36" s="339">
        <f>'Mar 26'!AJ5-AJ5</f>
        <v>-2736.320000000007</v>
      </c>
      <c r="AK36" s="339">
        <f>'Mar 26'!AK5-AK5</f>
        <v>-3509.84</v>
      </c>
      <c r="AL36" s="339">
        <f>'Mar 26'!AL5-AL5</f>
        <v>-764.40000000002328</v>
      </c>
      <c r="AM36" s="339">
        <f>'Mar 26'!AM5-AM5</f>
        <v>22534.609999999997</v>
      </c>
      <c r="AN36" s="339">
        <f>'Mar 26'!AN5-AN5</f>
        <v>-21881.589999999997</v>
      </c>
      <c r="AO36" s="339">
        <f>'Mar 26'!AO5-AO5</f>
        <v>-72734.130000000034</v>
      </c>
      <c r="AP36" s="339">
        <f>'Mar 26'!AP5-AP5</f>
        <v>-85134.51999999999</v>
      </c>
      <c r="AQ36" s="339">
        <f>'Mar 26'!AQ5-AQ5</f>
        <v>-101799.97999999998</v>
      </c>
      <c r="AR36" s="339">
        <f>'Mar 26'!AR5-AR5</f>
        <v>81911.37000000001</v>
      </c>
      <c r="AS36" s="339">
        <f>'Mar 26'!AS5-AS5</f>
        <v>80261.209999999992</v>
      </c>
      <c r="AT36" s="339">
        <f>'Mar 26'!AT5-AT5</f>
        <v>-69927.579999999987</v>
      </c>
      <c r="AU36" s="339">
        <f>'Mar 26'!AU5-AU5</f>
        <v>2178.5699999999779</v>
      </c>
      <c r="AV36" s="339">
        <f>'Mar 26'!AV5-AV5</f>
        <v>-13319.960000000006</v>
      </c>
      <c r="AW36" s="339">
        <f>'Mar 26'!AW5-AW5</f>
        <v>-61471.750000000007</v>
      </c>
      <c r="AX36" s="339">
        <f>'Mar 26'!AX5-AX5</f>
        <v>-99141.779999999984</v>
      </c>
      <c r="AY36" s="339">
        <f>'Mar 26'!AY5-AY5</f>
        <v>127162.03999999995</v>
      </c>
      <c r="AZ36" s="339">
        <f>'Mar 26'!AZ5-AZ5</f>
        <v>0</v>
      </c>
      <c r="BA36" s="339">
        <f>'Mar 26'!BA5-BA5</f>
        <v>-25263.530000000006</v>
      </c>
      <c r="BB36" s="339">
        <f>'Mar 26'!BB5-BB5</f>
        <v>-15954.449999999997</v>
      </c>
      <c r="BC36" s="339">
        <f>'Mar 26'!BC5-BC5</f>
        <v>35303.86</v>
      </c>
      <c r="BD36" s="339">
        <f>'Mar 26'!BD5-BD5</f>
        <v>0</v>
      </c>
      <c r="BE36" s="339">
        <f>'Mar 26'!BE5-BE5</f>
        <v>7395.539999999979</v>
      </c>
    </row>
    <row r="37" spans="2:57" x14ac:dyDescent="0.25">
      <c r="B37" s="347" t="s">
        <v>58</v>
      </c>
      <c r="C37" s="339">
        <f>'Mar 26'!C6-C7</f>
        <v>-9581.9900000000016</v>
      </c>
      <c r="D37" s="339">
        <f>'Mar 26'!D6-D7</f>
        <v>57748.89</v>
      </c>
      <c r="E37" s="339"/>
      <c r="F37" s="339">
        <f>'Mar 26'!F6-E7</f>
        <v>-5499.42</v>
      </c>
      <c r="G37" s="339">
        <f>'Mar 26'!G6-F7</f>
        <v>9043.44</v>
      </c>
      <c r="H37" s="339">
        <f>'Mar 26'!H6-G7</f>
        <v>30901.03</v>
      </c>
      <c r="I37" s="339">
        <f>'Mar 26'!I6-H7</f>
        <v>-13647.710000000003</v>
      </c>
      <c r="J37" s="339">
        <f>'Mar 26'!J6-J6</f>
        <v>-1887.5400000000009</v>
      </c>
      <c r="K37" s="339">
        <f>'Mar 26'!K6-K6</f>
        <v>-15642.099999999984</v>
      </c>
      <c r="L37" s="339">
        <f>'Mar 26'!L6-L6</f>
        <v>-592.62000000000035</v>
      </c>
      <c r="M37" s="339">
        <f>'Mar 26'!M6-M6</f>
        <v>-9174.43</v>
      </c>
      <c r="N37" s="339">
        <f>'Mar 26'!N6-N6</f>
        <v>3722.9799999999996</v>
      </c>
      <c r="O37" s="339">
        <f>'Mar 26'!O6-O6</f>
        <v>-2323.880000000001</v>
      </c>
      <c r="P37" s="339">
        <f>'Mar 26'!P6-P6</f>
        <v>-2732.09</v>
      </c>
      <c r="Q37" s="339">
        <f>'Mar 26'!Q6-Q6</f>
        <v>5269.8100000000013</v>
      </c>
      <c r="R37" s="339">
        <f>'Mar 26'!R6-R6</f>
        <v>2087.0600000000013</v>
      </c>
      <c r="S37" s="339">
        <f>'Mar 26'!S6-S6</f>
        <v>-8776.1900000000023</v>
      </c>
      <c r="T37" s="339">
        <f>'Mar 26'!T6-T6</f>
        <v>-1051.4499999999971</v>
      </c>
      <c r="U37" s="339">
        <f>'Mar 26'!U6-U6</f>
        <v>-1678.830000000009</v>
      </c>
      <c r="V37" s="339">
        <f>'Mar 26'!V6-V6</f>
        <v>9931.25</v>
      </c>
      <c r="W37" s="339">
        <f>'Mar 26'!W6-W6</f>
        <v>4754.25</v>
      </c>
      <c r="X37" s="339">
        <f>'Mar 26'!X6-X6</f>
        <v>-37.850000000002183</v>
      </c>
      <c r="Y37" s="339">
        <f>'Mar 26'!Y6-Y6</f>
        <v>3892.6500000000015</v>
      </c>
      <c r="Z37" s="339">
        <f>'Mar 26'!Z6-Z6</f>
        <v>13568.109999999999</v>
      </c>
      <c r="AA37" s="339">
        <f>'Mar 26'!AA6-AA6</f>
        <v>-5463.4000000000015</v>
      </c>
      <c r="AB37" s="339">
        <f>'Mar 26'!AB6-AB6</f>
        <v>7639.4199999999983</v>
      </c>
      <c r="AC37" s="339">
        <f>'Mar 26'!AC6-AC6</f>
        <v>-1141.7999999999993</v>
      </c>
      <c r="AD37" s="339">
        <f>'Mar 26'!AD6-AD6</f>
        <v>17745.580000000005</v>
      </c>
      <c r="AE37" s="339">
        <f>'Mar 26'!AE6-AE6</f>
        <v>1653.9899999999998</v>
      </c>
      <c r="AF37" s="339">
        <f>'Mar 26'!AF6-AF6</f>
        <v>8576.41</v>
      </c>
      <c r="AG37" s="339">
        <f>'Mar 26'!AG6-AG6</f>
        <v>4938.2400000000016</v>
      </c>
      <c r="AH37" s="339">
        <f>'Mar 26'!AH6-AH6</f>
        <v>-8338.4499999999971</v>
      </c>
      <c r="AI37" s="339">
        <f>'Mar 26'!AI6-AI6</f>
        <v>9744.3599999999933</v>
      </c>
      <c r="AJ37" s="339">
        <f>'Mar 26'!AJ6-AJ6</f>
        <v>-15966.239999999998</v>
      </c>
      <c r="AK37" s="339">
        <f>'Mar 26'!AK6-AK6</f>
        <v>5042.4599999999973</v>
      </c>
      <c r="AL37" s="339">
        <f>'Mar 26'!AL6-AL6</f>
        <v>22186.09</v>
      </c>
      <c r="AM37" s="339">
        <f>'Mar 26'!AM6-AM6</f>
        <v>-8055.6999999999989</v>
      </c>
      <c r="AN37" s="339">
        <f>'Mar 26'!AN6-AN6</f>
        <v>4797.7800000000025</v>
      </c>
      <c r="AO37" s="339">
        <f>'Mar 26'!AO6-AO6</f>
        <v>-5448.309999999994</v>
      </c>
      <c r="AP37" s="339">
        <f>'Mar 26'!AP6-AP6</f>
        <v>-2939.6000000000022</v>
      </c>
      <c r="AQ37" s="339">
        <f>'Mar 26'!AQ6-AQ6</f>
        <v>-26270.449999999997</v>
      </c>
      <c r="AR37" s="339">
        <f>'Mar 26'!AR6-AR6</f>
        <v>-5176.0300000000025</v>
      </c>
      <c r="AS37" s="339">
        <f>'Mar 26'!AS6-AS6</f>
        <v>2130.9999999999964</v>
      </c>
      <c r="AT37" s="339">
        <f>'Mar 26'!AT6-AT6</f>
        <v>14561.84</v>
      </c>
      <c r="AU37" s="339">
        <f>'Mar 26'!AU6-AU6</f>
        <v>-6260.2499999999927</v>
      </c>
      <c r="AV37" s="339">
        <f>'Mar 26'!AV6-AV6</f>
        <v>5082.6600000000017</v>
      </c>
      <c r="AW37" s="339">
        <f>'Mar 26'!AW6-AW6</f>
        <v>3883.1399999999958</v>
      </c>
      <c r="AX37" s="339">
        <f>'Mar 26'!AX6-AX6</f>
        <v>-1482.3500000000058</v>
      </c>
      <c r="AY37" s="339">
        <f>'Mar 26'!AY6-AY6</f>
        <v>16013.449999999997</v>
      </c>
      <c r="AZ37" s="339">
        <f>'Mar 26'!AZ6-AZ6</f>
        <v>0</v>
      </c>
      <c r="BA37" s="339">
        <f>'Mar 26'!BA6-BA6</f>
        <v>-13590.430000000004</v>
      </c>
      <c r="BB37" s="339">
        <f>'Mar 26'!BB6-BB6</f>
        <v>-7331.09</v>
      </c>
      <c r="BC37" s="339">
        <f>'Mar 26'!BC6-BC6</f>
        <v>2668.4599999999991</v>
      </c>
      <c r="BD37" s="339">
        <f>'Mar 26'!BD6-BD6</f>
        <v>0</v>
      </c>
      <c r="BE37" s="339">
        <f>'Mar 26'!BE6-BE6</f>
        <v>-513.45999999999913</v>
      </c>
    </row>
    <row r="38" spans="2:57" x14ac:dyDescent="0.25">
      <c r="B38" s="341" t="s">
        <v>177</v>
      </c>
      <c r="C38" s="339">
        <f>'Mar 26'!C7-C8</f>
        <v>6242.92</v>
      </c>
      <c r="D38" s="339">
        <f>'Mar 26'!D7-D8</f>
        <v>-7314.57</v>
      </c>
      <c r="E38" s="339"/>
      <c r="F38" s="339">
        <f>'Mar 26'!F7-E8</f>
        <v>-12201.34</v>
      </c>
      <c r="G38" s="339">
        <f>'Mar 26'!G7-F8</f>
        <v>8108.01</v>
      </c>
      <c r="H38" s="339">
        <f>'Mar 26'!H7-G8</f>
        <v>79577.759999999995</v>
      </c>
      <c r="I38" s="339">
        <f>'Mar 26'!I7-H8</f>
        <v>2319.9000000000015</v>
      </c>
      <c r="J38" s="339">
        <f>'Mar 26'!J7-J7</f>
        <v>-19491.32</v>
      </c>
      <c r="K38" s="339">
        <f>'Mar 26'!K7-K7</f>
        <v>-7182.6699999999983</v>
      </c>
      <c r="L38" s="339">
        <f>'Mar 26'!L7-L7</f>
        <v>4149.13</v>
      </c>
      <c r="M38" s="339">
        <f>'Mar 26'!M7-M7</f>
        <v>-40739.959999999992</v>
      </c>
      <c r="N38" s="339">
        <f>'Mar 26'!N7-N7</f>
        <v>-5013.34</v>
      </c>
      <c r="O38" s="339">
        <f>'Mar 26'!O7-O7</f>
        <v>-5492.59</v>
      </c>
      <c r="P38" s="339">
        <f>'Mar 26'!P7-P7</f>
        <v>14111.170000000002</v>
      </c>
      <c r="Q38" s="339">
        <f>'Mar 26'!Q7-Q7</f>
        <v>6019.0199999999986</v>
      </c>
      <c r="R38" s="339">
        <f>'Mar 26'!R7-R7</f>
        <v>-4251.4400000000005</v>
      </c>
      <c r="S38" s="339">
        <f>'Mar 26'!S7-S7</f>
        <v>4183.6499999999996</v>
      </c>
      <c r="T38" s="339">
        <f>'Mar 26'!T7-T7</f>
        <v>5658.3399999999983</v>
      </c>
      <c r="U38" s="339">
        <f>'Mar 26'!U7-U7</f>
        <v>-763.89000000000306</v>
      </c>
      <c r="V38" s="339">
        <f>'Mar 26'!V7-V7</f>
        <v>-5495.1900000000005</v>
      </c>
      <c r="W38" s="339">
        <f>'Mar 26'!W7-W7</f>
        <v>-2179.9099999999971</v>
      </c>
      <c r="X38" s="339">
        <f>'Mar 26'!X7-X7</f>
        <v>3431.3</v>
      </c>
      <c r="Y38" s="339">
        <f>'Mar 26'!Y7-Y7</f>
        <v>-7633.6800000000012</v>
      </c>
      <c r="Z38" s="339">
        <f>'Mar 26'!Z7-Z7</f>
        <v>-11988.41</v>
      </c>
      <c r="AA38" s="339">
        <f>'Mar 26'!AA7-AA7</f>
        <v>16035.95</v>
      </c>
      <c r="AB38" s="339">
        <f>'Mar 26'!AB7-AB7</f>
        <v>5537.880000000001</v>
      </c>
      <c r="AC38" s="339">
        <f>'Mar 26'!AC7-AC7</f>
        <v>12872.93</v>
      </c>
      <c r="AD38" s="339">
        <f>'Mar 26'!AD7-AD7</f>
        <v>6543.5000000000009</v>
      </c>
      <c r="AE38" s="339">
        <f>'Mar 26'!AE7-AE7</f>
        <v>-10656.66</v>
      </c>
      <c r="AF38" s="339">
        <f>'Mar 26'!AF7-AF7</f>
        <v>-4389.8100000000013</v>
      </c>
      <c r="AG38" s="339">
        <f>'Mar 26'!AG7-AG7</f>
        <v>19610.009999999995</v>
      </c>
      <c r="AH38" s="339">
        <f>'Mar 26'!AH7-AH7</f>
        <v>-3553.0699999999997</v>
      </c>
      <c r="AI38" s="339">
        <f>'Mar 26'!AI7-AI7</f>
        <v>96436.419999999984</v>
      </c>
      <c r="AJ38" s="339">
        <f>'Mar 26'!AJ7-AJ7</f>
        <v>-23964.390000000003</v>
      </c>
      <c r="AK38" s="339">
        <f>'Mar 26'!AK7-AK7</f>
        <v>-13273.169999999998</v>
      </c>
      <c r="AL38" s="339">
        <f>'Mar 26'!AL7-AL7</f>
        <v>-5100.7800000000025</v>
      </c>
      <c r="AM38" s="339">
        <f>'Mar 26'!AM7-AM7</f>
        <v>22777.1</v>
      </c>
      <c r="AN38" s="339">
        <f>'Mar 26'!AN7-AN7</f>
        <v>1588.0699999999997</v>
      </c>
      <c r="AO38" s="339">
        <f>'Mar 26'!AO7-AO7</f>
        <v>-59975.69</v>
      </c>
      <c r="AP38" s="339">
        <f>'Mar 26'!AP7-AP7</f>
        <v>7870.0599999999977</v>
      </c>
      <c r="AQ38" s="339">
        <f>'Mar 26'!AQ7-AQ7</f>
        <v>10818.610000000008</v>
      </c>
      <c r="AR38" s="339">
        <f>'Mar 26'!AR7-AR7</f>
        <v>-29420.380000000005</v>
      </c>
      <c r="AS38" s="339">
        <f>'Mar 26'!AS7-AS7</f>
        <v>-874.68000000000029</v>
      </c>
      <c r="AT38" s="339">
        <f>'Mar 26'!AT7-AT7</f>
        <v>-1488.3199999999961</v>
      </c>
      <c r="AU38" s="339">
        <f>'Mar 26'!AU7-AU7</f>
        <v>60530.759999999995</v>
      </c>
      <c r="AV38" s="339">
        <f>'Mar 26'!AV7-AV7</f>
        <v>-70700.48000000001</v>
      </c>
      <c r="AW38" s="339">
        <f>'Mar 26'!AW7-AW7</f>
        <v>11189.82</v>
      </c>
      <c r="AX38" s="339">
        <f>'Mar 26'!AX7-AX7</f>
        <v>23806.209999999992</v>
      </c>
      <c r="AY38" s="339">
        <f>'Mar 26'!AY7-AY7</f>
        <v>489.6899999999996</v>
      </c>
      <c r="AZ38" s="339">
        <f>'Mar 26'!AZ7-AZ7</f>
        <v>0</v>
      </c>
      <c r="BA38" s="339">
        <f>'Mar 26'!BA7-BA7</f>
        <v>317.72999999999593</v>
      </c>
      <c r="BB38" s="339">
        <f>'Mar 26'!BB7-BB7</f>
        <v>15887.029999999999</v>
      </c>
      <c r="BC38" s="339">
        <f>'Mar 26'!BC7-BC7</f>
        <v>58663.320000000007</v>
      </c>
      <c r="BD38" s="339">
        <f>'Mar 26'!BD7-BD7</f>
        <v>0</v>
      </c>
      <c r="BE38" s="339">
        <f>'Mar 26'!BE7-BE7</f>
        <v>-3548.25</v>
      </c>
    </row>
    <row r="39" spans="2:57" x14ac:dyDescent="0.25">
      <c r="B39" s="341" t="s">
        <v>178</v>
      </c>
      <c r="C39" s="339"/>
      <c r="D39" s="339"/>
      <c r="E39" s="339"/>
      <c r="F39" s="339"/>
      <c r="G39" s="339"/>
      <c r="H39" s="339"/>
      <c r="I39" s="339"/>
      <c r="J39" s="339">
        <f>'Mar 26'!J8-J8</f>
        <v>-59.730000000003201</v>
      </c>
      <c r="K39" s="339">
        <f>'Mar 26'!K8-K8</f>
        <v>-28828.239999999998</v>
      </c>
      <c r="L39" s="339">
        <f>'Mar 26'!L8-L8</f>
        <v>-7222.6400000000012</v>
      </c>
      <c r="M39" s="339">
        <f>'Mar 26'!M8-M8</f>
        <v>12797.110000000004</v>
      </c>
      <c r="N39" s="339">
        <f>'Mar 26'!N8-N8</f>
        <v>-3698.7599999999984</v>
      </c>
      <c r="O39" s="339">
        <f>'Mar 26'!O8-O8</f>
        <v>-109.86000000000058</v>
      </c>
      <c r="P39" s="339">
        <f>'Mar 26'!P8-P8</f>
        <v>-2696.8599999999997</v>
      </c>
      <c r="Q39" s="339">
        <f>'Mar 26'!Q8-Q8</f>
        <v>5299.28</v>
      </c>
      <c r="R39" s="339">
        <f>'Mar 26'!R8-R8</f>
        <v>1564.8199999999997</v>
      </c>
      <c r="S39" s="339">
        <f>'Mar 26'!S8-S8</f>
        <v>-3624.1000000000022</v>
      </c>
      <c r="T39" s="339">
        <f>'Mar 26'!T8-T8</f>
        <v>-1418.6699999999992</v>
      </c>
      <c r="U39" s="339">
        <f>'Mar 26'!U8-U8</f>
        <v>-4700.630000000001</v>
      </c>
      <c r="V39" s="339">
        <f>'Mar 26'!V8-V8</f>
        <v>-1476.2700000000004</v>
      </c>
      <c r="W39" s="339">
        <f>'Mar 26'!W8-W8</f>
        <v>-1031.3200000000006</v>
      </c>
      <c r="X39" s="339">
        <f>'Mar 26'!X8-X8</f>
        <v>-5881.5299999999988</v>
      </c>
      <c r="Y39" s="339">
        <f>'Mar 26'!Y8-Y8</f>
        <v>-2.2500000000009095</v>
      </c>
      <c r="Z39" s="339">
        <f>'Mar 26'!Z8-Z8</f>
        <v>8736.369999999999</v>
      </c>
      <c r="AA39" s="339">
        <f>'Mar 26'!AA8-AA8</f>
        <v>-7333.7899999999972</v>
      </c>
      <c r="AB39" s="339">
        <f>'Mar 26'!AB8-AB8</f>
        <v>7692.6600000000017</v>
      </c>
      <c r="AC39" s="339">
        <f>'Mar 26'!AC8-AC8</f>
        <v>-4096.8599999999988</v>
      </c>
      <c r="AD39" s="339">
        <f>'Mar 26'!AD8-AD8</f>
        <v>-5669.57</v>
      </c>
      <c r="AE39" s="339">
        <f>'Mar 26'!AE8-AE8</f>
        <v>-2457.2700000000004</v>
      </c>
      <c r="AF39" s="339">
        <f>'Mar 26'!AF8-AF8</f>
        <v>-9828.1299999999974</v>
      </c>
      <c r="AG39" s="339">
        <f>'Mar 26'!AG8-AG8</f>
        <v>20066.650000000001</v>
      </c>
      <c r="AH39" s="339">
        <f>'Mar 26'!AH8-AH8</f>
        <v>15694.769999999995</v>
      </c>
      <c r="AI39" s="339">
        <f>'Mar 26'!AI8-AI8</f>
        <v>4813.13</v>
      </c>
      <c r="AJ39" s="339">
        <f>'Mar 26'!AJ8-AJ8</f>
        <v>19094.28</v>
      </c>
      <c r="AK39" s="339">
        <f>'Mar 26'!AK8-AK8</f>
        <v>-3594.4799999999996</v>
      </c>
      <c r="AL39" s="339">
        <f>'Mar 26'!AL8-AL8</f>
        <v>11339.279999999999</v>
      </c>
      <c r="AM39" s="339">
        <f>'Mar 26'!AM8-AM8</f>
        <v>1595.0799999999995</v>
      </c>
      <c r="AN39" s="339">
        <f>'Mar 26'!AN8-AN8</f>
        <v>-1965.3400000000011</v>
      </c>
      <c r="AO39" s="339">
        <f>'Mar 26'!AO8-AO8</f>
        <v>2646.9400000000005</v>
      </c>
      <c r="AP39" s="339">
        <f>'Mar 26'!AP8-AP8</f>
        <v>6597.7800000000034</v>
      </c>
      <c r="AQ39" s="339">
        <f>'Mar 26'!AQ8-AQ8</f>
        <v>-1866.0800000000017</v>
      </c>
      <c r="AR39" s="339">
        <f>'Mar 26'!AR8-AR8</f>
        <v>5561.7100000000064</v>
      </c>
      <c r="AS39" s="339">
        <f>'Mar 26'!AS8-AS8</f>
        <v>6076.92</v>
      </c>
      <c r="AT39" s="339">
        <f>'Mar 26'!AT8-AT8</f>
        <v>5891.7499999999991</v>
      </c>
      <c r="AU39" s="339">
        <f>'Mar 26'!AU8-AU8</f>
        <v>5414.2699999999986</v>
      </c>
      <c r="AV39" s="339">
        <f>'Mar 26'!AV8-AV8</f>
        <v>7148.42</v>
      </c>
      <c r="AW39" s="339">
        <f>'Mar 26'!AW8-AW8</f>
        <v>4514.5300000000025</v>
      </c>
      <c r="AX39" s="339">
        <f>'Mar 26'!AX8-AX8</f>
        <v>20375.389999999996</v>
      </c>
      <c r="AY39" s="339">
        <f>'Mar 26'!AY8-AY8</f>
        <v>-12498.219999999998</v>
      </c>
      <c r="AZ39" s="339">
        <f>'Mar 26'!AZ8-AZ8</f>
        <v>0</v>
      </c>
      <c r="BA39" s="339">
        <f>'Mar 26'!BA8-BA8</f>
        <v>-1726.9900000000007</v>
      </c>
      <c r="BB39" s="339">
        <f>'Mar 26'!BB8-BB8</f>
        <v>-998.04000000000087</v>
      </c>
      <c r="BC39" s="339">
        <f>'Mar 26'!BC8-BC8</f>
        <v>12749.499999999998</v>
      </c>
      <c r="BD39" s="339">
        <f>'Mar 26'!BD8-BD8</f>
        <v>0</v>
      </c>
      <c r="BE39" s="339">
        <f>'Mar 26'!BE8-BE8</f>
        <v>6180.98</v>
      </c>
    </row>
    <row r="40" spans="2:57" x14ac:dyDescent="0.25">
      <c r="B40" s="341" t="s">
        <v>168</v>
      </c>
      <c r="C40" s="339">
        <f>'Mar 26'!C9-C9</f>
        <v>0</v>
      </c>
      <c r="D40" s="339">
        <f>'Mar 26'!D9-D9</f>
        <v>0</v>
      </c>
      <c r="E40" s="339">
        <f>'Mar 26'!E9-E9</f>
        <v>0</v>
      </c>
      <c r="F40" s="339">
        <f>'Mar 26'!F9-F9</f>
        <v>0</v>
      </c>
      <c r="G40" s="339">
        <f>'Mar 26'!G9-G9</f>
        <v>0</v>
      </c>
      <c r="H40" s="339">
        <f>'Mar 26'!H9-H9</f>
        <v>0</v>
      </c>
      <c r="I40" s="339">
        <f>'Mar 26'!I9-I9</f>
        <v>0</v>
      </c>
      <c r="J40" s="339">
        <f>'Mar 26'!J9-J9</f>
        <v>0</v>
      </c>
      <c r="K40" s="339">
        <f>'Mar 26'!K9-K9</f>
        <v>0</v>
      </c>
      <c r="L40" s="339">
        <f>'Mar 26'!L9-L9</f>
        <v>0</v>
      </c>
      <c r="M40" s="339">
        <f>'Mar 26'!M9-M9</f>
        <v>0</v>
      </c>
      <c r="N40" s="339">
        <f>'Mar 26'!N9-N9</f>
        <v>0</v>
      </c>
      <c r="O40" s="339">
        <f>'Mar 26'!O9-O9</f>
        <v>0</v>
      </c>
      <c r="P40" s="339">
        <f>'Mar 26'!P9-P9</f>
        <v>0</v>
      </c>
      <c r="Q40" s="339">
        <f>'Mar 26'!Q9-Q9</f>
        <v>0</v>
      </c>
      <c r="R40" s="339">
        <f>'Mar 26'!R9-R9</f>
        <v>0</v>
      </c>
      <c r="S40" s="339">
        <f>'Mar 26'!S9-S9</f>
        <v>-173.22</v>
      </c>
      <c r="T40" s="339">
        <f>'Mar 26'!T9-T9</f>
        <v>0</v>
      </c>
      <c r="U40" s="339">
        <f>'Mar 26'!U9-U9</f>
        <v>0</v>
      </c>
      <c r="V40" s="339">
        <f>'Mar 26'!V9-V9</f>
        <v>0</v>
      </c>
      <c r="W40" s="339">
        <f>'Mar 26'!W9-W9</f>
        <v>0</v>
      </c>
      <c r="X40" s="339">
        <f>'Mar 26'!X9-X9</f>
        <v>-1578</v>
      </c>
      <c r="Y40" s="339">
        <f>'Mar 26'!Y9-Y9</f>
        <v>0</v>
      </c>
      <c r="Z40" s="339">
        <f>'Mar 26'!Z9-Z9</f>
        <v>0</v>
      </c>
      <c r="AA40" s="339">
        <f>'Mar 26'!AA9-AA9</f>
        <v>0</v>
      </c>
      <c r="AB40" s="339">
        <f>'Mar 26'!AB9-AB9</f>
        <v>-78.37</v>
      </c>
      <c r="AC40" s="339">
        <f>'Mar 26'!AC9-AC9</f>
        <v>0</v>
      </c>
      <c r="AD40" s="339">
        <f>'Mar 26'!AD9-AD9</f>
        <v>0</v>
      </c>
      <c r="AE40" s="339">
        <f>'Mar 26'!AE9-AE9</f>
        <v>0</v>
      </c>
      <c r="AF40" s="339">
        <f>'Mar 26'!AF9-AF9</f>
        <v>0</v>
      </c>
      <c r="AG40" s="339">
        <f>'Mar 26'!AG9-AG9</f>
        <v>0</v>
      </c>
      <c r="AH40" s="339">
        <f>'Mar 26'!AH9-AH9</f>
        <v>0</v>
      </c>
      <c r="AI40" s="339">
        <f>'Mar 26'!AI9-AI9</f>
        <v>0</v>
      </c>
      <c r="AJ40" s="339">
        <f>'Mar 26'!AJ9-AJ9</f>
        <v>0</v>
      </c>
      <c r="AK40" s="339">
        <f>'Mar 26'!AK9-AK9</f>
        <v>0</v>
      </c>
      <c r="AL40" s="339">
        <f>'Mar 26'!AL9-AL9</f>
        <v>0</v>
      </c>
      <c r="AM40" s="339">
        <f>'Mar 26'!AM9-AM9</f>
        <v>0</v>
      </c>
      <c r="AN40" s="339">
        <f>'Mar 26'!AN9-AN9</f>
        <v>0</v>
      </c>
      <c r="AO40" s="339">
        <f>'Mar 26'!AO9-AO9</f>
        <v>0</v>
      </c>
      <c r="AP40" s="339">
        <f>'Mar 26'!AP9-AP9</f>
        <v>0</v>
      </c>
      <c r="AQ40" s="339">
        <f>'Mar 26'!AQ9-AQ9</f>
        <v>0</v>
      </c>
      <c r="AR40" s="339">
        <f>'Mar 26'!AR9-AR9</f>
        <v>0</v>
      </c>
      <c r="AS40" s="339">
        <f>'Mar 26'!AS9-AS9</f>
        <v>0</v>
      </c>
      <c r="AT40" s="339">
        <f>'Mar 26'!AT9-AT9</f>
        <v>0</v>
      </c>
      <c r="AU40" s="339">
        <f>'Mar 26'!AU9-AU9</f>
        <v>0</v>
      </c>
      <c r="AV40" s="339">
        <f>'Mar 26'!AV9-AV9</f>
        <v>0</v>
      </c>
      <c r="AW40" s="339">
        <f>'Mar 26'!AW9-AW9</f>
        <v>0</v>
      </c>
      <c r="AX40" s="339">
        <f>'Mar 26'!AX9-AX9</f>
        <v>0</v>
      </c>
      <c r="AY40" s="339">
        <f>'Mar 26'!AY9-AY9</f>
        <v>0</v>
      </c>
      <c r="AZ40" s="339">
        <f>'Mar 26'!AZ9-AZ9</f>
        <v>0</v>
      </c>
      <c r="BA40" s="339">
        <f>'Mar 26'!BA9-BA9</f>
        <v>0</v>
      </c>
      <c r="BB40" s="339">
        <f>'Mar 26'!BB9-BB9</f>
        <v>0</v>
      </c>
      <c r="BC40" s="339">
        <f>'Mar 26'!BC9-BC9</f>
        <v>0</v>
      </c>
      <c r="BD40" s="339">
        <f>'Mar 26'!BD9-BD9</f>
        <v>0</v>
      </c>
      <c r="BE40" s="339">
        <f>'Mar 26'!BE9-BE9</f>
        <v>0</v>
      </c>
    </row>
    <row r="41" spans="2:57" x14ac:dyDescent="0.25">
      <c r="D41" s="397"/>
    </row>
    <row r="42" spans="2:57" x14ac:dyDescent="0.25">
      <c r="D42" s="319" t="s">
        <v>244</v>
      </c>
      <c r="E42" s="319" t="s">
        <v>245</v>
      </c>
      <c r="K42" s="318" t="s">
        <v>139</v>
      </c>
      <c r="M42" s="318" t="s">
        <v>140</v>
      </c>
    </row>
    <row r="43" spans="2:57" x14ac:dyDescent="0.25">
      <c r="B43" s="342" t="s">
        <v>1</v>
      </c>
      <c r="D43" s="377">
        <v>1030816.7599999998</v>
      </c>
      <c r="E43" s="377">
        <v>3783643</v>
      </c>
      <c r="F43" s="380">
        <f>D43/E43</f>
        <v>0.27244028043871998</v>
      </c>
      <c r="J43" s="318" t="s">
        <v>119</v>
      </c>
    </row>
    <row r="44" spans="2:57" x14ac:dyDescent="0.25">
      <c r="B44" s="341" t="s">
        <v>81</v>
      </c>
      <c r="C44" s="318" t="s">
        <v>18</v>
      </c>
      <c r="D44" s="323">
        <v>56217.35</v>
      </c>
      <c r="E44" s="323">
        <v>81000</v>
      </c>
      <c r="F44" s="380">
        <f>D44/E44</f>
        <v>0.69404135802469136</v>
      </c>
      <c r="J44" s="318" t="s">
        <v>141</v>
      </c>
      <c r="K44" s="381">
        <f>SUM(D65:D69)</f>
        <v>570962.01</v>
      </c>
      <c r="L44" s="381">
        <f>SUM(E65:E69)</f>
        <v>1191816.1000000001</v>
      </c>
      <c r="M44" s="343">
        <f>L44-K44</f>
        <v>620854.09000000008</v>
      </c>
    </row>
    <row r="45" spans="2:57" x14ac:dyDescent="0.25">
      <c r="B45" s="341" t="s">
        <v>82</v>
      </c>
      <c r="C45" s="318" t="s">
        <v>19</v>
      </c>
      <c r="D45" s="323">
        <v>64011.96</v>
      </c>
      <c r="E45" s="323">
        <v>55000</v>
      </c>
      <c r="F45" s="380">
        <f t="shared" ref="F45:F87" si="10">D45/E45</f>
        <v>1.1638538181818181</v>
      </c>
      <c r="J45" s="318" t="s">
        <v>142</v>
      </c>
      <c r="K45" s="381">
        <f>SUM(D60:D64)</f>
        <v>83268.459999999992</v>
      </c>
      <c r="L45" s="381">
        <f>SUM(E60:E64)</f>
        <v>853000</v>
      </c>
      <c r="M45" s="343">
        <f t="shared" ref="M45:M49" si="11">L45-K45</f>
        <v>769731.54</v>
      </c>
    </row>
    <row r="46" spans="2:57" x14ac:dyDescent="0.25">
      <c r="B46" s="341" t="s">
        <v>83</v>
      </c>
      <c r="C46" s="318" t="s">
        <v>20</v>
      </c>
      <c r="D46" s="323">
        <v>115349.01000000001</v>
      </c>
      <c r="E46" s="323">
        <v>615060</v>
      </c>
      <c r="F46" s="380">
        <f t="shared" si="10"/>
        <v>0.18754106916398403</v>
      </c>
      <c r="J46" s="318" t="s">
        <v>143</v>
      </c>
      <c r="K46" s="381">
        <f>SUM(D44:D50)</f>
        <v>514153.33999999997</v>
      </c>
      <c r="L46" s="381">
        <f>SUM(E44:E50)</f>
        <v>1874073</v>
      </c>
      <c r="M46" s="343">
        <f t="shared" si="11"/>
        <v>1359919.6600000001</v>
      </c>
    </row>
    <row r="47" spans="2:57" x14ac:dyDescent="0.25">
      <c r="B47" s="341" t="s">
        <v>84</v>
      </c>
      <c r="C47" s="318" t="s">
        <v>21</v>
      </c>
      <c r="D47" s="323">
        <v>94095.790000000008</v>
      </c>
      <c r="E47" s="323">
        <v>575013</v>
      </c>
      <c r="F47" s="380">
        <f t="shared" si="10"/>
        <v>0.16364115246090088</v>
      </c>
      <c r="J47" s="318" t="s">
        <v>144</v>
      </c>
      <c r="K47" s="381">
        <f>SUM(D51:D58)</f>
        <v>516663.42</v>
      </c>
      <c r="L47" s="381">
        <f>SUM(E51:E58)</f>
        <v>1909570</v>
      </c>
      <c r="M47" s="343">
        <f t="shared" si="11"/>
        <v>1392906.58</v>
      </c>
    </row>
    <row r="48" spans="2:57" x14ac:dyDescent="0.25">
      <c r="B48" s="341" t="s">
        <v>85</v>
      </c>
      <c r="C48" s="318" t="s">
        <v>22</v>
      </c>
      <c r="D48" s="323">
        <v>32135.05</v>
      </c>
      <c r="E48" s="323">
        <v>100000</v>
      </c>
      <c r="F48" s="380">
        <f t="shared" si="10"/>
        <v>0.32135049999999998</v>
      </c>
      <c r="J48" s="318" t="s">
        <v>145</v>
      </c>
      <c r="K48" s="381">
        <f>SUM(D71:D78)</f>
        <v>191182.02</v>
      </c>
      <c r="L48" s="381">
        <f>SUM(E71:E78)</f>
        <v>1336869</v>
      </c>
      <c r="M48" s="343">
        <f t="shared" si="11"/>
        <v>1145686.98</v>
      </c>
    </row>
    <row r="49" spans="2:13" x14ac:dyDescent="0.25">
      <c r="B49" s="341" t="s">
        <v>86</v>
      </c>
      <c r="C49" s="318" t="s">
        <v>23</v>
      </c>
      <c r="D49" s="323">
        <v>109193.91</v>
      </c>
      <c r="E49" s="323">
        <v>380000</v>
      </c>
      <c r="F49" s="380">
        <f t="shared" si="10"/>
        <v>0.2873523947368421</v>
      </c>
      <c r="J49" s="318" t="s">
        <v>146</v>
      </c>
      <c r="K49" s="381">
        <f>SUM(D80:D87)</f>
        <v>622695.64</v>
      </c>
      <c r="L49" s="381">
        <f>SUM(E80:E87)</f>
        <v>3992730</v>
      </c>
      <c r="M49" s="343">
        <f t="shared" si="11"/>
        <v>3370034.36</v>
      </c>
    </row>
    <row r="50" spans="2:13" x14ac:dyDescent="0.25">
      <c r="B50" s="341" t="s">
        <v>87</v>
      </c>
      <c r="C50" s="318" t="s">
        <v>24</v>
      </c>
      <c r="D50" s="323">
        <v>43150.270000000004</v>
      </c>
      <c r="E50" s="323">
        <v>68000</v>
      </c>
      <c r="F50" s="380">
        <f t="shared" si="10"/>
        <v>0.63456279411764716</v>
      </c>
      <c r="J50" s="318" t="s">
        <v>147</v>
      </c>
      <c r="K50" s="318">
        <v>0</v>
      </c>
    </row>
    <row r="51" spans="2:13" x14ac:dyDescent="0.25">
      <c r="B51" s="341" t="s">
        <v>88</v>
      </c>
      <c r="C51" s="318" t="s">
        <v>31</v>
      </c>
      <c r="D51" s="323">
        <v>51097.07</v>
      </c>
      <c r="E51" s="323">
        <v>86210</v>
      </c>
      <c r="F51" s="380">
        <f t="shared" si="10"/>
        <v>0.59270467463171328</v>
      </c>
    </row>
    <row r="52" spans="2:13" x14ac:dyDescent="0.25">
      <c r="B52" s="341" t="s">
        <v>89</v>
      </c>
      <c r="C52" s="318" t="s">
        <v>25</v>
      </c>
      <c r="D52" s="323">
        <v>21019.510000000002</v>
      </c>
      <c r="E52" s="323">
        <v>303000</v>
      </c>
      <c r="F52" s="382">
        <f t="shared" si="10"/>
        <v>6.9371320132013206E-2</v>
      </c>
    </row>
    <row r="53" spans="2:13" x14ac:dyDescent="0.25">
      <c r="B53" s="341" t="s">
        <v>90</v>
      </c>
      <c r="C53" s="318" t="s">
        <v>26</v>
      </c>
      <c r="D53" s="323">
        <v>52804.44</v>
      </c>
      <c r="E53" s="323">
        <v>176080</v>
      </c>
      <c r="F53" s="382">
        <f t="shared" si="10"/>
        <v>0.29988891412994095</v>
      </c>
    </row>
    <row r="54" spans="2:13" x14ac:dyDescent="0.25">
      <c r="B54" s="341" t="s">
        <v>91</v>
      </c>
      <c r="C54" s="318" t="s">
        <v>27</v>
      </c>
      <c r="D54" s="323">
        <v>97584.22</v>
      </c>
      <c r="E54" s="323">
        <v>248100</v>
      </c>
      <c r="F54" s="382">
        <f t="shared" si="10"/>
        <v>0.39332615880693267</v>
      </c>
    </row>
    <row r="55" spans="2:13" x14ac:dyDescent="0.25">
      <c r="B55" s="341" t="s">
        <v>92</v>
      </c>
      <c r="C55" s="318" t="s">
        <v>28</v>
      </c>
      <c r="D55" s="323">
        <v>94661.85</v>
      </c>
      <c r="E55" s="323">
        <v>574700</v>
      </c>
      <c r="F55" s="382">
        <f t="shared" si="10"/>
        <v>0.16471524273534019</v>
      </c>
    </row>
    <row r="56" spans="2:13" x14ac:dyDescent="0.25">
      <c r="B56" s="341" t="s">
        <v>93</v>
      </c>
      <c r="C56" s="318" t="s">
        <v>32</v>
      </c>
      <c r="D56" s="323">
        <v>41338.090000000004</v>
      </c>
      <c r="E56" s="323">
        <v>52380</v>
      </c>
      <c r="F56" s="382">
        <f t="shared" si="10"/>
        <v>0.78919606720122193</v>
      </c>
    </row>
    <row r="57" spans="2:13" x14ac:dyDescent="0.25">
      <c r="B57" s="341" t="s">
        <v>94</v>
      </c>
      <c r="C57" s="318" t="s">
        <v>29</v>
      </c>
      <c r="D57" s="323">
        <v>133850.80000000002</v>
      </c>
      <c r="E57" s="323">
        <v>231500</v>
      </c>
      <c r="F57" s="382">
        <f t="shared" si="10"/>
        <v>0.578189200863931</v>
      </c>
    </row>
    <row r="58" spans="2:13" x14ac:dyDescent="0.25">
      <c r="B58" s="341" t="s">
        <v>95</v>
      </c>
      <c r="C58" s="318" t="s">
        <v>30</v>
      </c>
      <c r="D58" s="323">
        <v>24307.440000000002</v>
      </c>
      <c r="E58" s="323">
        <v>237600</v>
      </c>
      <c r="F58" s="382">
        <f t="shared" si="10"/>
        <v>0.10230404040404041</v>
      </c>
    </row>
    <row r="59" spans="2:13" x14ac:dyDescent="0.25">
      <c r="B59" s="342" t="s">
        <v>0</v>
      </c>
      <c r="C59" s="319"/>
      <c r="D59" s="383">
        <v>654230.47000000009</v>
      </c>
      <c r="E59" s="377">
        <v>2044816.0999999999</v>
      </c>
      <c r="F59" s="380">
        <f t="shared" si="10"/>
        <v>0.31994587190505791</v>
      </c>
    </row>
    <row r="60" spans="2:13" x14ac:dyDescent="0.25">
      <c r="B60" s="341" t="s">
        <v>71</v>
      </c>
      <c r="C60" s="318" t="s">
        <v>13</v>
      </c>
      <c r="D60" s="384">
        <v>1974.2100000000007</v>
      </c>
      <c r="E60" s="323">
        <v>548400</v>
      </c>
      <c r="F60" s="380">
        <f>D60/E60</f>
        <v>3.5999452954048154E-3</v>
      </c>
    </row>
    <row r="61" spans="2:13" x14ac:dyDescent="0.25">
      <c r="B61" s="341" t="s">
        <v>72</v>
      </c>
      <c r="C61" s="318" t="s">
        <v>14</v>
      </c>
      <c r="D61" s="384">
        <v>8235.5</v>
      </c>
      <c r="E61" s="323">
        <v>6500</v>
      </c>
      <c r="F61" s="380">
        <f>D61/E61</f>
        <v>1.2669999999999999</v>
      </c>
    </row>
    <row r="62" spans="2:13" x14ac:dyDescent="0.25">
      <c r="B62" s="341" t="s">
        <v>73</v>
      </c>
      <c r="C62" s="318" t="s">
        <v>15</v>
      </c>
      <c r="D62" s="384">
        <v>9157.9</v>
      </c>
      <c r="E62" s="323">
        <v>111353</v>
      </c>
      <c r="F62" s="380">
        <f>D62/E62</f>
        <v>8.2242059037475418E-2</v>
      </c>
    </row>
    <row r="63" spans="2:13" x14ac:dyDescent="0.25">
      <c r="B63" s="341" t="s">
        <v>74</v>
      </c>
      <c r="C63" s="318" t="s">
        <v>16</v>
      </c>
      <c r="D63" s="384">
        <v>24838.170000000002</v>
      </c>
      <c r="E63" s="323">
        <v>70500</v>
      </c>
      <c r="F63" s="380">
        <f t="shared" si="10"/>
        <v>0.35231446808510641</v>
      </c>
    </row>
    <row r="64" spans="2:13" x14ac:dyDescent="0.25">
      <c r="B64" s="341" t="s">
        <v>75</v>
      </c>
      <c r="C64" s="318" t="s">
        <v>17</v>
      </c>
      <c r="D64" s="384">
        <v>39062.68</v>
      </c>
      <c r="E64" s="323">
        <v>116246.99999999997</v>
      </c>
      <c r="F64" s="380">
        <f t="shared" si="10"/>
        <v>0.33603172554990673</v>
      </c>
    </row>
    <row r="65" spans="2:17" x14ac:dyDescent="0.25">
      <c r="B65" s="341" t="s">
        <v>76</v>
      </c>
      <c r="C65" s="318" t="s">
        <v>8</v>
      </c>
      <c r="D65" s="384">
        <v>19375.549999999996</v>
      </c>
      <c r="E65" s="323">
        <v>196468.71000000002</v>
      </c>
      <c r="F65" s="380">
        <f t="shared" si="10"/>
        <v>9.8619011648216112E-2</v>
      </c>
    </row>
    <row r="66" spans="2:17" x14ac:dyDescent="0.25">
      <c r="B66" s="341" t="s">
        <v>77</v>
      </c>
      <c r="C66" s="318" t="s">
        <v>9</v>
      </c>
      <c r="D66" s="384">
        <v>317345.05000000005</v>
      </c>
      <c r="E66" s="323">
        <v>178947.86</v>
      </c>
      <c r="F66" s="380">
        <f t="shared" si="10"/>
        <v>1.773393937206067</v>
      </c>
    </row>
    <row r="67" spans="2:17" x14ac:dyDescent="0.25">
      <c r="B67" s="341" t="s">
        <v>78</v>
      </c>
      <c r="C67" s="318" t="s">
        <v>10</v>
      </c>
      <c r="D67" s="384">
        <v>68596.950000000012</v>
      </c>
      <c r="E67" s="323">
        <v>157432.53</v>
      </c>
      <c r="F67" s="380">
        <f t="shared" si="10"/>
        <v>0.43572284584386728</v>
      </c>
    </row>
    <row r="68" spans="2:17" x14ac:dyDescent="0.25">
      <c r="B68" s="341" t="s">
        <v>79</v>
      </c>
      <c r="C68" s="318" t="s">
        <v>114</v>
      </c>
      <c r="D68" s="384">
        <v>5983.58</v>
      </c>
      <c r="E68" s="323">
        <v>484000</v>
      </c>
      <c r="F68" s="380">
        <f t="shared" si="10"/>
        <v>1.2362768595041321E-2</v>
      </c>
    </row>
    <row r="69" spans="2:17" x14ac:dyDescent="0.25">
      <c r="B69" s="341" t="s">
        <v>80</v>
      </c>
      <c r="C69" s="318" t="s">
        <v>12</v>
      </c>
      <c r="D69" s="384">
        <v>159660.87999999998</v>
      </c>
      <c r="E69" s="323">
        <v>174967</v>
      </c>
      <c r="F69" s="380">
        <f t="shared" si="10"/>
        <v>0.91251996090691379</v>
      </c>
      <c r="N69" s="385"/>
    </row>
    <row r="70" spans="2:17" x14ac:dyDescent="0.25">
      <c r="B70" s="342" t="s">
        <v>120</v>
      </c>
      <c r="D70" s="377">
        <v>191182.02</v>
      </c>
      <c r="E70" s="377">
        <v>1336869</v>
      </c>
      <c r="F70" s="380">
        <f t="shared" si="10"/>
        <v>0.14300729540441134</v>
      </c>
    </row>
    <row r="71" spans="2:17" x14ac:dyDescent="0.25">
      <c r="B71" s="396" t="s">
        <v>97</v>
      </c>
      <c r="C71" s="318" t="s">
        <v>35</v>
      </c>
      <c r="D71" s="323">
        <v>54678.84</v>
      </c>
      <c r="E71" s="323">
        <v>142417</v>
      </c>
      <c r="F71" s="380">
        <f t="shared" si="10"/>
        <v>0.38393478306662826</v>
      </c>
      <c r="H71" s="386"/>
      <c r="I71" s="387"/>
      <c r="J71" s="380"/>
      <c r="K71" s="380"/>
      <c r="L71" s="380"/>
      <c r="M71" s="380"/>
      <c r="N71" s="380"/>
      <c r="O71" s="380"/>
      <c r="P71" s="380"/>
      <c r="Q71" s="380"/>
    </row>
    <row r="72" spans="2:17" x14ac:dyDescent="0.25">
      <c r="B72" s="396" t="s">
        <v>98</v>
      </c>
      <c r="C72" s="318" t="s">
        <v>34</v>
      </c>
      <c r="D72" s="323">
        <v>21032.240000000002</v>
      </c>
      <c r="E72" s="323">
        <v>79703</v>
      </c>
      <c r="F72" s="380">
        <f t="shared" si="10"/>
        <v>0.26388266439155367</v>
      </c>
      <c r="H72" s="386"/>
      <c r="I72" s="388"/>
      <c r="J72" s="389"/>
      <c r="K72" s="389"/>
      <c r="L72" s="390"/>
      <c r="M72" s="390"/>
      <c r="N72" s="390"/>
      <c r="O72" s="390"/>
      <c r="P72" s="390"/>
      <c r="Q72" s="390"/>
    </row>
    <row r="73" spans="2:17" x14ac:dyDescent="0.25">
      <c r="B73" s="396" t="s">
        <v>99</v>
      </c>
      <c r="C73" s="318" t="s">
        <v>36</v>
      </c>
      <c r="D73" s="323">
        <v>30721.79</v>
      </c>
      <c r="E73" s="323">
        <v>76607</v>
      </c>
      <c r="F73" s="380">
        <f t="shared" si="10"/>
        <v>0.40103110681791482</v>
      </c>
      <c r="H73" s="386"/>
      <c r="I73" s="388"/>
      <c r="J73" s="391"/>
      <c r="K73" s="389"/>
    </row>
    <row r="74" spans="2:17" x14ac:dyDescent="0.25">
      <c r="B74" s="396" t="s">
        <v>100</v>
      </c>
      <c r="C74" s="318" t="s">
        <v>37</v>
      </c>
      <c r="D74" s="323">
        <v>10938.59</v>
      </c>
      <c r="E74" s="323">
        <v>418859</v>
      </c>
      <c r="F74" s="380">
        <f t="shared" si="10"/>
        <v>2.6115208220427399E-2</v>
      </c>
      <c r="H74" s="386"/>
      <c r="I74" s="388"/>
      <c r="J74" s="391"/>
      <c r="K74" s="389"/>
    </row>
    <row r="75" spans="2:17" x14ac:dyDescent="0.25">
      <c r="B75" s="396" t="s">
        <v>101</v>
      </c>
      <c r="C75" s="318" t="s">
        <v>39</v>
      </c>
      <c r="D75" s="323">
        <v>11109.9</v>
      </c>
      <c r="E75" s="323">
        <v>40317</v>
      </c>
      <c r="F75" s="380">
        <f t="shared" si="10"/>
        <v>0.27556365801026861</v>
      </c>
      <c r="H75" s="386"/>
      <c r="I75" s="388"/>
      <c r="J75" s="391"/>
      <c r="K75" s="389"/>
    </row>
    <row r="76" spans="2:17" x14ac:dyDescent="0.25">
      <c r="B76" s="396" t="s">
        <v>102</v>
      </c>
      <c r="C76" s="318" t="s">
        <v>38</v>
      </c>
      <c r="D76" s="323">
        <v>39472.97</v>
      </c>
      <c r="E76" s="323">
        <v>182349</v>
      </c>
      <c r="F76" s="380">
        <f t="shared" si="10"/>
        <v>0.21646935272472018</v>
      </c>
      <c r="H76" s="386"/>
      <c r="I76" s="388"/>
      <c r="J76" s="391"/>
      <c r="K76" s="389"/>
    </row>
    <row r="77" spans="2:17" x14ac:dyDescent="0.25">
      <c r="B77" s="396" t="s">
        <v>103</v>
      </c>
      <c r="C77" s="318" t="s">
        <v>33</v>
      </c>
      <c r="D77" s="323">
        <v>3054.17</v>
      </c>
      <c r="E77" s="323">
        <v>268651</v>
      </c>
      <c r="F77" s="380">
        <f t="shared" si="10"/>
        <v>1.1368541341740772E-2</v>
      </c>
      <c r="H77" s="386"/>
      <c r="I77" s="388"/>
      <c r="J77" s="391"/>
      <c r="K77" s="389"/>
    </row>
    <row r="78" spans="2:17" x14ac:dyDescent="0.25">
      <c r="B78" s="396" t="s">
        <v>104</v>
      </c>
      <c r="C78" s="318" t="s">
        <v>40</v>
      </c>
      <c r="D78" s="323">
        <v>20173.52</v>
      </c>
      <c r="E78" s="323">
        <v>127966</v>
      </c>
      <c r="F78" s="380">
        <f t="shared" si="10"/>
        <v>0.15764750011721865</v>
      </c>
      <c r="H78" s="386"/>
      <c r="I78" s="388"/>
      <c r="J78" s="391"/>
      <c r="K78" s="389"/>
    </row>
    <row r="79" spans="2:17" x14ac:dyDescent="0.25">
      <c r="B79" s="342" t="s">
        <v>121</v>
      </c>
      <c r="D79" s="377">
        <v>622695.64</v>
      </c>
      <c r="E79" s="377">
        <v>3992730</v>
      </c>
      <c r="F79" s="380">
        <f t="shared" si="10"/>
        <v>0.15595736250635531</v>
      </c>
      <c r="H79" s="392"/>
      <c r="I79" s="393"/>
      <c r="J79" s="394"/>
      <c r="K79" s="389"/>
    </row>
    <row r="80" spans="2:17" x14ac:dyDescent="0.25">
      <c r="B80" s="396" t="s">
        <v>106</v>
      </c>
      <c r="C80" s="318" t="s">
        <v>41</v>
      </c>
      <c r="D80" s="323">
        <v>24619.94</v>
      </c>
      <c r="E80" s="323">
        <v>515109</v>
      </c>
      <c r="F80" s="380">
        <f t="shared" si="10"/>
        <v>4.7795592777450983E-2</v>
      </c>
      <c r="H80" s="386"/>
      <c r="I80" s="387"/>
      <c r="J80" s="391"/>
      <c r="K80" s="389"/>
    </row>
    <row r="81" spans="2:11" x14ac:dyDescent="0.25">
      <c r="B81" s="396" t="s">
        <v>107</v>
      </c>
      <c r="C81" s="318" t="s">
        <v>42</v>
      </c>
      <c r="D81" s="323">
        <v>93352.56</v>
      </c>
      <c r="E81" s="323">
        <v>254796</v>
      </c>
      <c r="F81" s="380">
        <f t="shared" si="10"/>
        <v>0.3663815758489144</v>
      </c>
      <c r="H81" s="386"/>
      <c r="I81" s="387"/>
      <c r="J81" s="391"/>
      <c r="K81" s="389"/>
    </row>
    <row r="82" spans="2:11" x14ac:dyDescent="0.25">
      <c r="B82" s="396" t="s">
        <v>108</v>
      </c>
      <c r="C82" s="318" t="s">
        <v>47</v>
      </c>
      <c r="D82" s="323">
        <v>71760.039999999994</v>
      </c>
      <c r="E82" s="323">
        <v>354344</v>
      </c>
      <c r="F82" s="380">
        <f t="shared" si="10"/>
        <v>0.20251518298602486</v>
      </c>
      <c r="H82" s="386"/>
      <c r="I82" s="387"/>
      <c r="J82" s="391"/>
      <c r="K82" s="389"/>
    </row>
    <row r="83" spans="2:11" x14ac:dyDescent="0.25">
      <c r="B83" s="396" t="s">
        <v>109</v>
      </c>
      <c r="C83" s="318" t="s">
        <v>44</v>
      </c>
      <c r="D83" s="323">
        <v>70421.14</v>
      </c>
      <c r="E83" s="323">
        <v>691233</v>
      </c>
      <c r="F83" s="380">
        <f t="shared" si="10"/>
        <v>0.10187757239599382</v>
      </c>
      <c r="H83" s="386"/>
      <c r="I83" s="387"/>
      <c r="J83" s="391"/>
      <c r="K83" s="389"/>
    </row>
    <row r="84" spans="2:11" x14ac:dyDescent="0.25">
      <c r="B84" s="396" t="s">
        <v>110</v>
      </c>
      <c r="C84" s="318" t="s">
        <v>48</v>
      </c>
      <c r="D84" s="323">
        <v>52975.7</v>
      </c>
      <c r="E84" s="323">
        <v>237783</v>
      </c>
      <c r="F84" s="380">
        <f t="shared" si="10"/>
        <v>0.22279010694624929</v>
      </c>
      <c r="H84" s="386"/>
      <c r="I84" s="387"/>
      <c r="J84" s="391"/>
      <c r="K84" s="389"/>
    </row>
    <row r="85" spans="2:11" x14ac:dyDescent="0.25">
      <c r="B85" s="396" t="s">
        <v>111</v>
      </c>
      <c r="C85" s="318" t="s">
        <v>45</v>
      </c>
      <c r="D85" s="323">
        <v>128783.18</v>
      </c>
      <c r="E85" s="323">
        <v>816803</v>
      </c>
      <c r="F85" s="380">
        <f t="shared" si="10"/>
        <v>0.15766736899839984</v>
      </c>
      <c r="H85" s="386"/>
      <c r="I85" s="387"/>
      <c r="J85" s="391"/>
      <c r="K85" s="389"/>
    </row>
    <row r="86" spans="2:11" x14ac:dyDescent="0.25">
      <c r="B86" s="396" t="s">
        <v>112</v>
      </c>
      <c r="C86" s="318" t="s">
        <v>46</v>
      </c>
      <c r="D86" s="323">
        <v>62555.46</v>
      </c>
      <c r="E86" s="323">
        <v>577253</v>
      </c>
      <c r="F86" s="380">
        <f t="shared" si="10"/>
        <v>0.10836749224343573</v>
      </c>
      <c r="H86" s="386"/>
      <c r="I86" s="387"/>
      <c r="J86" s="391"/>
      <c r="K86" s="389"/>
    </row>
    <row r="87" spans="2:11" x14ac:dyDescent="0.25">
      <c r="B87" s="396" t="s">
        <v>113</v>
      </c>
      <c r="C87" s="318" t="s">
        <v>43</v>
      </c>
      <c r="D87" s="323">
        <v>118227.62</v>
      </c>
      <c r="E87" s="323">
        <v>545409</v>
      </c>
      <c r="F87" s="380">
        <f t="shared" si="10"/>
        <v>0.21676873685619416</v>
      </c>
      <c r="H87" s="386"/>
      <c r="I87" s="387"/>
      <c r="J87" s="391"/>
      <c r="K87" s="389"/>
    </row>
    <row r="88" spans="2:11" x14ac:dyDescent="0.25">
      <c r="E88" s="395"/>
    </row>
  </sheetData>
  <conditionalFormatting sqref="C34:BE40">
    <cfRule type="cellIs" dxfId="10" priority="2" operator="greaterThanOrEqual">
      <formula>0</formula>
    </cfRule>
    <cfRule type="cellIs" dxfId="9" priority="3" operator="lessThan">
      <formula>0</formula>
    </cfRule>
  </conditionalFormatting>
  <conditionalFormatting sqref="BF24:BH29 C24:BE31">
    <cfRule type="colorScale" priority="1">
      <colorScale>
        <cfvo type="num" val="-30000"/>
        <cfvo type="num" val="0"/>
        <cfvo type="num" val="30000"/>
        <color rgb="FFF54E4E"/>
        <color theme="0"/>
        <color rgb="FF34DB64"/>
      </colorScale>
    </cfRule>
  </conditionalFormatting>
  <pageMargins left="0.7" right="0.7" top="0.75" bottom="0.75" header="0.3" footer="0.3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FA08-BBC1-4418-B767-4494D8E43108}">
  <dimension ref="B2:Q72"/>
  <sheetViews>
    <sheetView tabSelected="1" topLeftCell="A10" zoomScaleNormal="100" workbookViewId="0">
      <selection activeCell="AD59" sqref="AD59"/>
    </sheetView>
  </sheetViews>
  <sheetFormatPr defaultRowHeight="15" x14ac:dyDescent="0.25"/>
  <cols>
    <col min="2" max="2" width="8.5703125" bestFit="1" customWidth="1"/>
    <col min="3" max="3" width="10.85546875" bestFit="1" customWidth="1"/>
    <col min="4" max="4" width="8.85546875" bestFit="1" customWidth="1"/>
    <col min="5" max="16" width="10.140625" bestFit="1" customWidth="1"/>
    <col min="17" max="17" width="9.42578125" bestFit="1" customWidth="1"/>
    <col min="18" max="20" width="1.85546875" customWidth="1"/>
  </cols>
  <sheetData>
    <row r="2" spans="2:17" x14ac:dyDescent="0.25">
      <c r="C2" t="s">
        <v>180</v>
      </c>
    </row>
    <row r="3" spans="2:17" x14ac:dyDescent="0.25">
      <c r="C3" t="s">
        <v>182</v>
      </c>
      <c r="D3" t="s">
        <v>183</v>
      </c>
      <c r="E3" t="s">
        <v>185</v>
      </c>
      <c r="F3" t="s">
        <v>184</v>
      </c>
      <c r="G3" t="s">
        <v>186</v>
      </c>
      <c r="H3" t="s">
        <v>187</v>
      </c>
      <c r="I3" t="s">
        <v>188</v>
      </c>
      <c r="J3" t="s">
        <v>189</v>
      </c>
      <c r="K3" t="s">
        <v>190</v>
      </c>
      <c r="L3" t="s">
        <v>191</v>
      </c>
      <c r="M3" t="s">
        <v>192</v>
      </c>
      <c r="N3" s="364" t="s">
        <v>193</v>
      </c>
      <c r="O3" s="364" t="s">
        <v>194</v>
      </c>
      <c r="P3" s="364" t="s">
        <v>195</v>
      </c>
      <c r="Q3" s="364" t="s">
        <v>236</v>
      </c>
    </row>
    <row r="4" spans="2:17" x14ac:dyDescent="0.25">
      <c r="B4" t="s">
        <v>179</v>
      </c>
      <c r="C4" s="290">
        <v>45947</v>
      </c>
      <c r="D4" s="290">
        <v>-26630</v>
      </c>
      <c r="E4" s="89">
        <v>15242.159999999982</v>
      </c>
      <c r="F4" s="89">
        <v>7893.3099999999831</v>
      </c>
      <c r="G4" s="89">
        <v>-42725.759999999966</v>
      </c>
      <c r="H4" s="89">
        <v>-8635.1999999999898</v>
      </c>
      <c r="I4" s="89">
        <v>28033.989999999976</v>
      </c>
      <c r="J4" s="89">
        <v>17400.449999999997</v>
      </c>
      <c r="K4" s="89">
        <v>22680.60999999999</v>
      </c>
      <c r="L4" s="89">
        <v>-46690</v>
      </c>
      <c r="M4" s="89">
        <v>-59399</v>
      </c>
      <c r="N4" s="89">
        <v>64206</v>
      </c>
      <c r="O4" s="89">
        <v>31342.250000000033</v>
      </c>
      <c r="P4" s="89">
        <v>-60633.520000000019</v>
      </c>
      <c r="Q4" s="89">
        <v>42244.08</v>
      </c>
    </row>
    <row r="5" spans="2:17" x14ac:dyDescent="0.25">
      <c r="B5" t="s">
        <v>56</v>
      </c>
      <c r="C5" s="290">
        <v>-55926</v>
      </c>
      <c r="D5" s="290">
        <v>-84896</v>
      </c>
      <c r="E5" s="89">
        <v>-49394.089999999989</v>
      </c>
      <c r="F5" s="89">
        <v>-64346.84</v>
      </c>
      <c r="G5" s="89">
        <v>-73011.27999999997</v>
      </c>
      <c r="H5" s="89">
        <v>-71349.700000000012</v>
      </c>
      <c r="I5" s="89">
        <v>-54153.34</v>
      </c>
      <c r="J5" s="89">
        <v>-22278.700000000004</v>
      </c>
      <c r="K5" s="89">
        <v>-27262.090000000004</v>
      </c>
      <c r="L5" s="89">
        <v>-17299</v>
      </c>
      <c r="M5" s="89">
        <v>-45707</v>
      </c>
      <c r="N5" s="89">
        <v>-36099</v>
      </c>
      <c r="O5" s="89">
        <v>-42043.040000000008</v>
      </c>
      <c r="P5" s="89">
        <v>-69394.890000000014</v>
      </c>
      <c r="Q5" s="89">
        <v>-57781.670000000013</v>
      </c>
    </row>
    <row r="6" spans="2:17" x14ac:dyDescent="0.25">
      <c r="B6" t="s">
        <v>196</v>
      </c>
      <c r="D6" s="290">
        <v>-49121</v>
      </c>
      <c r="E6" s="89">
        <v>-67092.350000000035</v>
      </c>
      <c r="F6" s="89">
        <v>40964.99</v>
      </c>
      <c r="G6" s="89">
        <v>92178.379999999961</v>
      </c>
      <c r="H6" s="89">
        <v>190368.64999999997</v>
      </c>
      <c r="I6" s="89">
        <v>-91758.820000000153</v>
      </c>
      <c r="J6" s="89">
        <v>68766.289999999994</v>
      </c>
      <c r="K6" s="89">
        <v>102842.38000000002</v>
      </c>
      <c r="L6" s="89">
        <v>101925</v>
      </c>
      <c r="M6" s="89">
        <v>162910.27000000002</v>
      </c>
      <c r="N6" s="89">
        <v>-104344</v>
      </c>
      <c r="O6" s="89">
        <v>21641.270000000026</v>
      </c>
      <c r="P6" s="89">
        <v>77018.22000000003</v>
      </c>
      <c r="Q6" s="89">
        <v>-32665.420000000013</v>
      </c>
    </row>
    <row r="7" spans="2:17" x14ac:dyDescent="0.25">
      <c r="B7" t="s">
        <v>58</v>
      </c>
      <c r="C7" s="290">
        <v>-17578</v>
      </c>
      <c r="D7" s="290">
        <v>30444</v>
      </c>
      <c r="E7" s="89">
        <v>-11310.960000000017</v>
      </c>
      <c r="F7" s="89">
        <v>16513.819999999996</v>
      </c>
      <c r="G7" s="89">
        <v>56073.880000000005</v>
      </c>
      <c r="H7" s="89">
        <v>-13140.570000000007</v>
      </c>
      <c r="I7" s="89">
        <v>6716.0699999999961</v>
      </c>
      <c r="J7" s="89">
        <v>22788.320000000007</v>
      </c>
      <c r="K7" s="89">
        <v>27303.609999999986</v>
      </c>
      <c r="L7" s="89">
        <v>26962</v>
      </c>
      <c r="M7" s="89">
        <v>-13786</v>
      </c>
      <c r="N7" s="89">
        <v>9711</v>
      </c>
      <c r="O7" s="89">
        <v>-11205.550000000008</v>
      </c>
      <c r="P7" s="89">
        <v>15811.080000000009</v>
      </c>
      <c r="Q7" s="89">
        <v>-13144.939999999979</v>
      </c>
    </row>
    <row r="8" spans="2:17" x14ac:dyDescent="0.25">
      <c r="B8" t="s">
        <v>171</v>
      </c>
      <c r="C8" s="290">
        <v>45057</v>
      </c>
      <c r="D8" s="290">
        <v>-130203</v>
      </c>
      <c r="E8" s="89">
        <v>-112555.24000000006</v>
      </c>
      <c r="F8" s="89">
        <v>1025.2799999999806</v>
      </c>
      <c r="G8" s="89">
        <v>32515.22000000003</v>
      </c>
      <c r="H8" s="89">
        <v>97243.179999999964</v>
      </c>
      <c r="I8" s="89">
        <v>-111162.10000000018</v>
      </c>
      <c r="J8" s="89">
        <v>86676.359999999986</v>
      </c>
      <c r="K8" s="89">
        <v>125564.51</v>
      </c>
      <c r="L8" s="89">
        <v>64898</v>
      </c>
      <c r="M8" s="89">
        <v>44018.270000000019</v>
      </c>
      <c r="N8" s="89">
        <v>-66526</v>
      </c>
      <c r="O8" s="89">
        <v>-265.06999999995787</v>
      </c>
      <c r="P8" s="89">
        <v>-37199.109999999993</v>
      </c>
      <c r="Q8" s="89">
        <v>-61347.950000000004</v>
      </c>
    </row>
    <row r="9" spans="2:17" x14ac:dyDescent="0.25">
      <c r="C9" t="s">
        <v>1</v>
      </c>
    </row>
    <row r="10" spans="2:17" x14ac:dyDescent="0.25">
      <c r="C10" t="s">
        <v>182</v>
      </c>
      <c r="D10" t="s">
        <v>183</v>
      </c>
      <c r="E10" t="s">
        <v>185</v>
      </c>
      <c r="F10" t="s">
        <v>184</v>
      </c>
      <c r="G10" t="s">
        <v>186</v>
      </c>
      <c r="H10" t="s">
        <v>187</v>
      </c>
      <c r="I10" t="s">
        <v>188</v>
      </c>
      <c r="J10" t="s">
        <v>189</v>
      </c>
      <c r="K10" t="s">
        <v>190</v>
      </c>
      <c r="L10" t="s">
        <v>191</v>
      </c>
      <c r="M10" t="s">
        <v>192</v>
      </c>
      <c r="N10" s="364" t="s">
        <v>193</v>
      </c>
      <c r="O10" s="364" t="s">
        <v>194</v>
      </c>
      <c r="P10" s="364" t="s">
        <v>195</v>
      </c>
      <c r="Q10" s="364" t="s">
        <v>236</v>
      </c>
    </row>
    <row r="11" spans="2:17" x14ac:dyDescent="0.25">
      <c r="B11" t="s">
        <v>179</v>
      </c>
      <c r="C11" s="290">
        <v>-205166</v>
      </c>
      <c r="D11" s="290">
        <v>-188505</v>
      </c>
      <c r="E11" s="89">
        <v>-137713.04</v>
      </c>
      <c r="F11" s="89">
        <v>-107327.50000000003</v>
      </c>
      <c r="G11" s="89">
        <v>-111905.44</v>
      </c>
      <c r="H11" s="89">
        <v>-103621.66999999998</v>
      </c>
      <c r="I11" s="89">
        <v>-185385.96000000002</v>
      </c>
      <c r="J11" s="89">
        <v>-168442.43000000002</v>
      </c>
      <c r="K11" s="89">
        <v>-154264.45000000001</v>
      </c>
      <c r="L11" s="89">
        <v>-118513</v>
      </c>
      <c r="M11" s="89">
        <v>-157537</v>
      </c>
      <c r="N11" s="89">
        <v>-209923.67</v>
      </c>
      <c r="O11" s="89">
        <v>-112389</v>
      </c>
      <c r="P11" s="89">
        <v>-94156.75999999998</v>
      </c>
      <c r="Q11" s="89">
        <v>-78167.72</v>
      </c>
    </row>
    <row r="12" spans="2:17" x14ac:dyDescent="0.25">
      <c r="B12" t="s">
        <v>56</v>
      </c>
      <c r="C12" s="290">
        <v>-147862</v>
      </c>
      <c r="D12" s="290">
        <v>-192463</v>
      </c>
      <c r="E12" s="89">
        <v>-143703.69999999995</v>
      </c>
      <c r="F12" s="89">
        <v>-171098.37000000002</v>
      </c>
      <c r="G12" s="89">
        <v>-50759.709999999963</v>
      </c>
      <c r="H12" s="89">
        <v>-48326.279999999992</v>
      </c>
      <c r="I12" s="89">
        <v>-139930.34999999998</v>
      </c>
      <c r="J12" s="89">
        <v>-9338.4600000000064</v>
      </c>
      <c r="K12" s="89">
        <v>2933.7000000000044</v>
      </c>
      <c r="L12" s="89">
        <v>53783</v>
      </c>
      <c r="M12" s="89">
        <v>59359</v>
      </c>
      <c r="N12" s="89">
        <v>-108913.29999999999</v>
      </c>
      <c r="O12" s="89">
        <v>-35124</v>
      </c>
      <c r="P12" s="89">
        <v>-69254.540000000008</v>
      </c>
      <c r="Q12" s="89">
        <v>-14989.600000000013</v>
      </c>
    </row>
    <row r="13" spans="2:17" x14ac:dyDescent="0.25">
      <c r="B13" t="s">
        <v>196</v>
      </c>
      <c r="C13" s="290">
        <v>-46893</v>
      </c>
      <c r="D13" s="290">
        <v>-239552</v>
      </c>
      <c r="E13" s="89">
        <v>-614359.13000000035</v>
      </c>
      <c r="F13" s="89">
        <v>98622.329999999798</v>
      </c>
      <c r="G13" s="89">
        <v>10167.759999999755</v>
      </c>
      <c r="H13" s="89">
        <v>-60370.340000000171</v>
      </c>
      <c r="I13" s="89">
        <v>-36435.219999999827</v>
      </c>
      <c r="J13" s="89">
        <v>-76440.669999999882</v>
      </c>
      <c r="K13" s="89">
        <v>-68957.960000000268</v>
      </c>
      <c r="L13" s="89">
        <v>489453</v>
      </c>
      <c r="M13" s="89">
        <v>-70290</v>
      </c>
      <c r="N13" s="89">
        <v>139520.58999999959</v>
      </c>
      <c r="O13" s="89">
        <v>134125</v>
      </c>
      <c r="P13" s="89">
        <v>-7515.9400000001888</v>
      </c>
      <c r="Q13" s="89">
        <v>231237.40000000011</v>
      </c>
    </row>
    <row r="14" spans="2:17" x14ac:dyDescent="0.25">
      <c r="B14" t="s">
        <v>58</v>
      </c>
      <c r="C14" s="290">
        <v>1690</v>
      </c>
      <c r="D14" s="290">
        <v>16838</v>
      </c>
      <c r="E14" s="89">
        <v>10332.800000000003</v>
      </c>
      <c r="F14" s="89">
        <v>174.00999999999658</v>
      </c>
      <c r="G14" s="89">
        <v>54736.140000000014</v>
      </c>
      <c r="H14" s="89">
        <v>-3266.5599999999977</v>
      </c>
      <c r="I14" s="89">
        <v>16064.32</v>
      </c>
      <c r="J14" s="89">
        <v>13510.53999999999</v>
      </c>
      <c r="K14" s="89">
        <v>11112.489999999994</v>
      </c>
      <c r="L14" s="89">
        <v>25302</v>
      </c>
      <c r="M14" s="89">
        <v>-113345</v>
      </c>
      <c r="N14" s="89">
        <v>46528.119999999995</v>
      </c>
      <c r="O14" s="89">
        <v>53155</v>
      </c>
      <c r="P14" s="89">
        <v>-9125.4200000000073</v>
      </c>
      <c r="Q14" s="89">
        <v>36360.74</v>
      </c>
    </row>
    <row r="15" spans="2:17" x14ac:dyDescent="0.25">
      <c r="B15" t="s">
        <v>171</v>
      </c>
      <c r="C15" s="290">
        <v>-398231</v>
      </c>
      <c r="D15" s="290">
        <v>-603682</v>
      </c>
      <c r="E15" s="89">
        <v>-885443.0700000003</v>
      </c>
      <c r="F15" s="89">
        <v>-179629.53000000026</v>
      </c>
      <c r="G15" s="89">
        <v>-97761.250000000204</v>
      </c>
      <c r="H15" s="89">
        <v>-215584.85000000015</v>
      </c>
      <c r="I15" s="89">
        <v>-345687.20999999979</v>
      </c>
      <c r="J15" s="89">
        <v>-240711.0199999999</v>
      </c>
      <c r="K15" s="89">
        <v>-209176.22000000026</v>
      </c>
      <c r="L15" s="89">
        <v>450025</v>
      </c>
      <c r="M15" s="89">
        <v>-281813</v>
      </c>
      <c r="N15" s="89">
        <v>-132788.26000000039</v>
      </c>
      <c r="O15" s="89">
        <v>39767</v>
      </c>
      <c r="P15" s="89">
        <v>-180052.66000000018</v>
      </c>
      <c r="Q15" s="89">
        <v>174440.82000000009</v>
      </c>
    </row>
    <row r="20" spans="2:17" x14ac:dyDescent="0.25">
      <c r="C20" t="s">
        <v>197</v>
      </c>
    </row>
    <row r="21" spans="2:17" x14ac:dyDescent="0.25">
      <c r="C21" t="s">
        <v>182</v>
      </c>
      <c r="D21" t="s">
        <v>183</v>
      </c>
      <c r="E21" t="s">
        <v>185</v>
      </c>
      <c r="F21" t="s">
        <v>184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s">
        <v>192</v>
      </c>
      <c r="N21" s="364" t="s">
        <v>193</v>
      </c>
      <c r="O21" s="364" t="s">
        <v>194</v>
      </c>
      <c r="P21" s="364" t="s">
        <v>195</v>
      </c>
      <c r="Q21" s="364" t="s">
        <v>236</v>
      </c>
    </row>
    <row r="22" spans="2:17" x14ac:dyDescent="0.25">
      <c r="B22" t="s">
        <v>179</v>
      </c>
      <c r="C22" s="290">
        <v>12490</v>
      </c>
      <c r="D22" s="290">
        <v>17061</v>
      </c>
      <c r="E22" s="89">
        <v>18383.07</v>
      </c>
      <c r="F22" s="89">
        <v>17628.13</v>
      </c>
      <c r="G22" s="89">
        <v>14534.050000000001</v>
      </c>
      <c r="H22" s="89">
        <v>19662.030000000006</v>
      </c>
      <c r="I22" s="89">
        <v>20056.850000000006</v>
      </c>
      <c r="J22" s="89">
        <v>27736.63</v>
      </c>
      <c r="K22" s="89">
        <v>26728.44000000001</v>
      </c>
      <c r="L22" s="89">
        <v>12790</v>
      </c>
      <c r="M22" s="89">
        <v>9751</v>
      </c>
      <c r="N22" s="89">
        <v>18755</v>
      </c>
      <c r="O22" s="89">
        <v>6612.5800000000017</v>
      </c>
      <c r="P22" s="89">
        <v>-12607.899999999985</v>
      </c>
      <c r="Q22" s="89">
        <v>15365.240000000007</v>
      </c>
    </row>
    <row r="23" spans="2:17" x14ac:dyDescent="0.25">
      <c r="B23" t="s">
        <v>56</v>
      </c>
      <c r="C23" s="290">
        <v>-20514</v>
      </c>
      <c r="D23" s="290">
        <v>-35940</v>
      </c>
      <c r="E23" s="89">
        <v>-1994.2699999999968</v>
      </c>
      <c r="F23" s="89">
        <v>-21991.459999999992</v>
      </c>
      <c r="G23" s="89">
        <v>-21264.139999999985</v>
      </c>
      <c r="H23" s="89">
        <v>-30628.510000000009</v>
      </c>
      <c r="I23" s="89">
        <v>-22498.269999999997</v>
      </c>
      <c r="J23" s="89">
        <v>-4803.7400000000016</v>
      </c>
      <c r="K23" s="89">
        <v>-14645.950000000003</v>
      </c>
      <c r="L23" s="89">
        <v>802</v>
      </c>
      <c r="M23" s="89">
        <v>-8470</v>
      </c>
      <c r="N23" s="89">
        <v>6910</v>
      </c>
      <c r="O23" s="89">
        <v>-29589.870000000003</v>
      </c>
      <c r="P23" s="89">
        <v>-49708.94000000001</v>
      </c>
      <c r="Q23" s="89">
        <v>-30403.500000000015</v>
      </c>
    </row>
    <row r="24" spans="2:17" x14ac:dyDescent="0.25">
      <c r="B24" t="s">
        <v>196</v>
      </c>
      <c r="C24" s="290">
        <v>88673</v>
      </c>
      <c r="D24" s="290">
        <v>-35618</v>
      </c>
      <c r="E24" s="89">
        <v>-63109.580000000031</v>
      </c>
      <c r="F24" s="89">
        <v>46048.31</v>
      </c>
      <c r="G24" s="89">
        <v>107646.21999999996</v>
      </c>
      <c r="H24" s="89">
        <v>225674.91999999998</v>
      </c>
      <c r="I24" s="89">
        <v>-51024.450000000157</v>
      </c>
      <c r="J24" s="89">
        <v>85226.689999999988</v>
      </c>
      <c r="K24" s="89">
        <v>112214.15000000002</v>
      </c>
      <c r="L24" s="89">
        <v>110522</v>
      </c>
      <c r="M24" s="89">
        <v>198237.69</v>
      </c>
      <c r="N24" s="89">
        <v>-90728</v>
      </c>
      <c r="O24" s="89">
        <v>27878.390000000029</v>
      </c>
      <c r="P24" s="89">
        <v>79031.030000000028</v>
      </c>
      <c r="Q24" s="89">
        <v>-16043.610000000011</v>
      </c>
    </row>
    <row r="25" spans="2:17" x14ac:dyDescent="0.25">
      <c r="B25" t="s">
        <v>58</v>
      </c>
      <c r="C25" s="290">
        <v>16423</v>
      </c>
      <c r="D25" s="290">
        <v>33205</v>
      </c>
      <c r="E25" s="89">
        <v>14644.729999999996</v>
      </c>
      <c r="F25" s="89">
        <v>29933.749999999996</v>
      </c>
      <c r="G25" s="89">
        <v>28930.42</v>
      </c>
      <c r="H25" s="89">
        <v>39047.22</v>
      </c>
      <c r="I25" s="89">
        <v>22199.749999999996</v>
      </c>
      <c r="J25" s="89">
        <v>18284.809999999998</v>
      </c>
      <c r="K25" s="89">
        <v>16024.299999999994</v>
      </c>
      <c r="L25" s="89">
        <v>25908</v>
      </c>
      <c r="M25" s="89">
        <v>-1737</v>
      </c>
      <c r="N25" s="89">
        <v>911</v>
      </c>
      <c r="O25" s="89">
        <v>1638.7999999999993</v>
      </c>
      <c r="P25" s="89">
        <v>784.55000000000018</v>
      </c>
      <c r="Q25" s="89">
        <v>4644.0700000000015</v>
      </c>
    </row>
    <row r="26" spans="2:17" x14ac:dyDescent="0.25">
      <c r="B26" t="s">
        <v>171</v>
      </c>
      <c r="C26" s="290">
        <v>97071</v>
      </c>
      <c r="D26" s="290">
        <v>-21291</v>
      </c>
      <c r="E26" s="89">
        <v>-32076.050000000032</v>
      </c>
      <c r="F26" s="89">
        <v>71618.73000000001</v>
      </c>
      <c r="G26" s="89">
        <v>129846.54999999997</v>
      </c>
      <c r="H26" s="89">
        <v>253755.65999999997</v>
      </c>
      <c r="I26" s="89">
        <v>-31266.120000000152</v>
      </c>
      <c r="J26" s="89">
        <v>126444.38999999998</v>
      </c>
      <c r="K26" s="89">
        <v>140320.94000000003</v>
      </c>
      <c r="L26" s="89">
        <v>150022</v>
      </c>
      <c r="M26" s="89">
        <v>197781.69</v>
      </c>
      <c r="N26" s="89">
        <v>-64152</v>
      </c>
      <c r="O26" s="89">
        <v>6539.9000000000269</v>
      </c>
      <c r="P26" s="89">
        <v>17498.740000000031</v>
      </c>
      <c r="Q26" s="89">
        <v>-26437.800000000017</v>
      </c>
    </row>
    <row r="27" spans="2:17" x14ac:dyDescent="0.25">
      <c r="C27" s="89"/>
      <c r="D27" s="89"/>
      <c r="E27" s="89"/>
      <c r="F27" s="89"/>
      <c r="G27" s="89"/>
      <c r="H27" s="89"/>
      <c r="I27" s="89"/>
      <c r="J27" s="89"/>
    </row>
    <row r="28" spans="2:17" x14ac:dyDescent="0.25">
      <c r="C28" s="89" t="s">
        <v>199</v>
      </c>
      <c r="D28" s="89"/>
      <c r="E28" s="89"/>
      <c r="F28" s="89"/>
      <c r="G28" s="89"/>
      <c r="H28" s="89"/>
      <c r="I28" s="89"/>
      <c r="J28" s="89"/>
    </row>
    <row r="29" spans="2:17" x14ac:dyDescent="0.25">
      <c r="C29" s="89" t="s">
        <v>182</v>
      </c>
      <c r="D29" s="89" t="s">
        <v>183</v>
      </c>
      <c r="E29" s="89" t="s">
        <v>185</v>
      </c>
      <c r="F29" s="89" t="s">
        <v>184</v>
      </c>
      <c r="G29" s="89" t="s">
        <v>186</v>
      </c>
      <c r="H29" s="89" t="s">
        <v>187</v>
      </c>
      <c r="I29" s="89" t="s">
        <v>188</v>
      </c>
      <c r="J29" s="89" t="s">
        <v>189</v>
      </c>
      <c r="K29" t="s">
        <v>190</v>
      </c>
      <c r="L29" t="s">
        <v>191</v>
      </c>
      <c r="M29" t="s">
        <v>192</v>
      </c>
      <c r="N29" s="364" t="s">
        <v>193</v>
      </c>
      <c r="O29" s="364" t="s">
        <v>194</v>
      </c>
      <c r="P29" s="364" t="s">
        <v>195</v>
      </c>
      <c r="Q29" s="364" t="s">
        <v>236</v>
      </c>
    </row>
    <row r="30" spans="2:17" x14ac:dyDescent="0.25">
      <c r="B30" t="s">
        <v>179</v>
      </c>
      <c r="C30" s="290">
        <v>-93363</v>
      </c>
      <c r="D30" s="290">
        <v>-104277</v>
      </c>
      <c r="E30" s="89">
        <v>-69780.780000000028</v>
      </c>
      <c r="F30" s="89">
        <v>-63944.12</v>
      </c>
      <c r="G30" s="89">
        <v>-67478.729999999981</v>
      </c>
      <c r="H30" s="89">
        <v>-60856.6</v>
      </c>
      <c r="I30" s="89">
        <v>-82416.140000000014</v>
      </c>
      <c r="J30" s="89">
        <v>-97396.530000000013</v>
      </c>
      <c r="K30" s="89">
        <v>-88420.69</v>
      </c>
      <c r="L30" s="89">
        <v>-66108</v>
      </c>
      <c r="M30" s="89">
        <v>-77491</v>
      </c>
      <c r="N30" s="89">
        <v>-101201.72000000002</v>
      </c>
      <c r="O30" s="89">
        <v>-58392</v>
      </c>
      <c r="P30" s="89">
        <v>-62800.89999999998</v>
      </c>
      <c r="Q30" s="89">
        <v>-52674.090000000011</v>
      </c>
    </row>
    <row r="31" spans="2:17" x14ac:dyDescent="0.25">
      <c r="B31" t="s">
        <v>56</v>
      </c>
      <c r="C31" s="290">
        <v>-101300</v>
      </c>
      <c r="D31" s="290">
        <v>-141250</v>
      </c>
      <c r="E31" s="89">
        <v>-98805.379999999961</v>
      </c>
      <c r="F31" s="89">
        <v>-100227.92000000001</v>
      </c>
      <c r="G31" s="89">
        <v>-14308.269999999968</v>
      </c>
      <c r="H31" s="89">
        <v>204.81000000001313</v>
      </c>
      <c r="I31" s="89">
        <v>-59539.459999999963</v>
      </c>
      <c r="J31" s="89">
        <v>37866.979999999989</v>
      </c>
      <c r="K31" s="89">
        <v>46308.18</v>
      </c>
      <c r="L31" s="89">
        <v>74625</v>
      </c>
      <c r="M31" s="89">
        <v>89269</v>
      </c>
      <c r="N31" s="89">
        <v>-57767.699999999983</v>
      </c>
      <c r="O31" s="89">
        <v>-8723</v>
      </c>
      <c r="P31" s="89">
        <v>-41435.81</v>
      </c>
      <c r="Q31" s="89">
        <v>-1659.5800000000108</v>
      </c>
    </row>
    <row r="32" spans="2:17" x14ac:dyDescent="0.25">
      <c r="B32" t="s">
        <v>196</v>
      </c>
      <c r="C32" s="290">
        <v>-7194</v>
      </c>
      <c r="D32" s="290">
        <v>-189885</v>
      </c>
      <c r="E32" s="89">
        <v>-591812.03000000026</v>
      </c>
      <c r="F32" s="89">
        <v>122474.9699999998</v>
      </c>
      <c r="G32" s="89">
        <v>49262.409999999763</v>
      </c>
      <c r="H32" s="89">
        <v>-41200.560000000172</v>
      </c>
      <c r="I32" s="89">
        <v>4074.9800000001705</v>
      </c>
      <c r="J32" s="89">
        <v>-9773.8699999998789</v>
      </c>
      <c r="K32" s="89">
        <v>-75219.970000000263</v>
      </c>
      <c r="L32" s="89">
        <v>487305</v>
      </c>
      <c r="M32" s="89">
        <v>-70813</v>
      </c>
      <c r="N32" s="89">
        <v>144097.2599999996</v>
      </c>
      <c r="O32" s="89">
        <v>138736</v>
      </c>
      <c r="P32" s="89">
        <v>-12917.390000000189</v>
      </c>
      <c r="Q32" s="89">
        <v>231978.13000000012</v>
      </c>
    </row>
    <row r="33" spans="2:17" x14ac:dyDescent="0.25">
      <c r="B33" t="s">
        <v>58</v>
      </c>
      <c r="C33" s="290">
        <v>2337</v>
      </c>
      <c r="D33" s="290">
        <v>-10297</v>
      </c>
      <c r="E33" s="89">
        <v>-3356.2999999999984</v>
      </c>
      <c r="F33" s="89">
        <v>-21044.020000000004</v>
      </c>
      <c r="G33" s="89">
        <v>24217.300000000007</v>
      </c>
      <c r="H33" s="89">
        <v>-21965.03</v>
      </c>
      <c r="I33" s="89">
        <v>-5960.5399999999972</v>
      </c>
      <c r="J33" s="89">
        <v>463.73000000000411</v>
      </c>
      <c r="K33" s="89">
        <v>-17995.149999999998</v>
      </c>
      <c r="L33" s="89">
        <v>6348</v>
      </c>
      <c r="M33" s="89">
        <v>-101809</v>
      </c>
      <c r="N33" s="89">
        <v>17612.330000000002</v>
      </c>
      <c r="O33" s="89">
        <v>50839</v>
      </c>
      <c r="P33" s="89">
        <v>-17715.310000000001</v>
      </c>
      <c r="Q33" s="89">
        <v>24146.440000000002</v>
      </c>
    </row>
    <row r="34" spans="2:17" x14ac:dyDescent="0.25">
      <c r="B34" t="s">
        <v>171</v>
      </c>
      <c r="C34" s="290">
        <v>-199520</v>
      </c>
      <c r="D34" s="290">
        <v>-445709</v>
      </c>
      <c r="E34" s="89">
        <v>-763754.49000000022</v>
      </c>
      <c r="F34" s="89">
        <v>-62741.090000000215</v>
      </c>
      <c r="G34" s="89">
        <v>-8307.2900000001719</v>
      </c>
      <c r="H34" s="89">
        <v>-123817.38000000015</v>
      </c>
      <c r="I34" s="89">
        <v>-143841.15999999983</v>
      </c>
      <c r="J34" s="89">
        <v>-68839.689999999886</v>
      </c>
      <c r="K34" s="89">
        <v>-135327.63000000027</v>
      </c>
      <c r="L34" s="89">
        <v>502170</v>
      </c>
      <c r="M34" s="89">
        <v>-160844</v>
      </c>
      <c r="N34" s="89">
        <v>2740.1699999996199</v>
      </c>
      <c r="O34" s="89">
        <v>122460</v>
      </c>
      <c r="P34" s="89">
        <v>-134869.41000000018</v>
      </c>
      <c r="Q34" s="89">
        <v>201790.90000000011</v>
      </c>
    </row>
    <row r="35" spans="2:17" x14ac:dyDescent="0.25">
      <c r="C35" s="89"/>
      <c r="D35" s="89"/>
      <c r="E35" s="89"/>
      <c r="F35" s="89"/>
      <c r="G35" s="89"/>
      <c r="H35" s="89"/>
      <c r="I35" s="89"/>
      <c r="J35" s="89"/>
    </row>
    <row r="36" spans="2:17" x14ac:dyDescent="0.25">
      <c r="C36" s="89"/>
      <c r="D36" s="89"/>
      <c r="E36" s="89"/>
      <c r="F36" s="89"/>
      <c r="G36" s="89"/>
      <c r="H36" s="89"/>
      <c r="I36" s="89"/>
      <c r="J36" s="89"/>
      <c r="N36" s="286"/>
    </row>
    <row r="37" spans="2:17" x14ac:dyDescent="0.25">
      <c r="C37" s="89" t="s">
        <v>200</v>
      </c>
      <c r="D37" s="89"/>
      <c r="E37" s="89"/>
      <c r="F37" s="89"/>
      <c r="G37" s="89"/>
      <c r="H37" s="89"/>
      <c r="I37" s="89"/>
      <c r="J37" s="89"/>
    </row>
    <row r="38" spans="2:17" x14ac:dyDescent="0.25">
      <c r="C38" s="89" t="s">
        <v>182</v>
      </c>
      <c r="D38" s="89" t="s">
        <v>183</v>
      </c>
      <c r="E38" s="89" t="s">
        <v>185</v>
      </c>
      <c r="F38" s="89" t="s">
        <v>184</v>
      </c>
      <c r="G38" s="89" t="s">
        <v>186</v>
      </c>
      <c r="H38" s="89" t="s">
        <v>187</v>
      </c>
      <c r="I38" s="89" t="s">
        <v>188</v>
      </c>
      <c r="J38" s="89" t="s">
        <v>189</v>
      </c>
      <c r="K38" t="s">
        <v>190</v>
      </c>
      <c r="L38" t="s">
        <v>191</v>
      </c>
      <c r="M38" t="s">
        <v>192</v>
      </c>
      <c r="N38" s="364" t="s">
        <v>193</v>
      </c>
      <c r="O38" s="364" t="s">
        <v>194</v>
      </c>
      <c r="P38" s="364" t="s">
        <v>195</v>
      </c>
      <c r="Q38" s="364" t="s">
        <v>236</v>
      </c>
    </row>
    <row r="39" spans="2:17" x14ac:dyDescent="0.25">
      <c r="B39" t="s">
        <v>179</v>
      </c>
      <c r="C39" s="290">
        <v>33458</v>
      </c>
      <c r="D39" s="290">
        <v>-43691</v>
      </c>
      <c r="E39" s="89">
        <v>-3140.910000000018</v>
      </c>
      <c r="F39" s="89">
        <v>-9734.8200000000179</v>
      </c>
      <c r="G39" s="12">
        <v>-57259.809999999969</v>
      </c>
      <c r="H39" s="12">
        <v>-28297.229999999996</v>
      </c>
      <c r="I39" s="89">
        <v>7977.1399999999685</v>
      </c>
      <c r="J39" s="89">
        <v>-10336.180000000002</v>
      </c>
      <c r="K39" s="89">
        <v>-4047.8300000000199</v>
      </c>
      <c r="L39" s="89">
        <v>-59480</v>
      </c>
      <c r="M39" s="89">
        <v>-69150</v>
      </c>
      <c r="N39" s="89">
        <v>45451</v>
      </c>
      <c r="O39" s="89">
        <v>24729.670000000031</v>
      </c>
      <c r="P39" s="89">
        <v>-48025.620000000032</v>
      </c>
      <c r="Q39" s="89">
        <v>26878.839999999997</v>
      </c>
    </row>
    <row r="40" spans="2:17" x14ac:dyDescent="0.25">
      <c r="B40" t="s">
        <v>56</v>
      </c>
      <c r="C40" s="290">
        <v>-35412</v>
      </c>
      <c r="D40" s="290">
        <v>-48956</v>
      </c>
      <c r="E40" s="89">
        <v>-47399.819999999992</v>
      </c>
      <c r="F40" s="89">
        <v>-42355.380000000005</v>
      </c>
      <c r="G40" s="12">
        <v>-51747.139999999992</v>
      </c>
      <c r="H40" s="12">
        <v>-40721.19</v>
      </c>
      <c r="I40" s="89">
        <v>-31655.07</v>
      </c>
      <c r="J40" s="89">
        <v>-17474.960000000003</v>
      </c>
      <c r="K40" s="89">
        <v>-12616.14</v>
      </c>
      <c r="L40" s="89">
        <v>-18101</v>
      </c>
      <c r="M40" s="89">
        <v>-37237</v>
      </c>
      <c r="N40" s="89">
        <v>-43009</v>
      </c>
      <c r="O40" s="89">
        <v>-12453.170000000002</v>
      </c>
      <c r="P40" s="89">
        <v>-19685.95</v>
      </c>
      <c r="Q40" s="89">
        <v>-27378.17</v>
      </c>
    </row>
    <row r="41" spans="2:17" x14ac:dyDescent="0.25">
      <c r="B41" t="s">
        <v>196</v>
      </c>
      <c r="C41" s="290">
        <v>-16059</v>
      </c>
      <c r="D41" s="290">
        <v>-13504</v>
      </c>
      <c r="E41" s="89">
        <v>-3982.7700000000018</v>
      </c>
      <c r="F41" s="89">
        <v>-5083.32</v>
      </c>
      <c r="G41" s="12">
        <v>-15467.84</v>
      </c>
      <c r="H41" s="12">
        <v>-35306.270000000004</v>
      </c>
      <c r="I41" s="89">
        <v>-40734.370000000003</v>
      </c>
      <c r="J41" s="89">
        <v>-16460.399999999998</v>
      </c>
      <c r="K41" s="89">
        <v>-9371.77</v>
      </c>
      <c r="L41" s="89">
        <v>-8597</v>
      </c>
      <c r="M41" s="89">
        <v>-35327.419999999991</v>
      </c>
      <c r="N41" s="89">
        <v>-13616</v>
      </c>
      <c r="O41" s="89">
        <v>-6237.1200000000008</v>
      </c>
      <c r="P41" s="89">
        <v>-2012.8100000000004</v>
      </c>
      <c r="Q41" s="89">
        <v>-16621.810000000001</v>
      </c>
    </row>
    <row r="42" spans="2:17" x14ac:dyDescent="0.25">
      <c r="B42" t="s">
        <v>58</v>
      </c>
      <c r="C42" s="290">
        <v>-34001</v>
      </c>
      <c r="D42" s="290">
        <v>-2762</v>
      </c>
      <c r="E42" s="89">
        <v>-25955.690000000013</v>
      </c>
      <c r="F42" s="89">
        <v>-13419.93</v>
      </c>
      <c r="G42" s="12">
        <v>27143.460000000003</v>
      </c>
      <c r="H42" s="12">
        <v>-52187.790000000008</v>
      </c>
      <c r="I42" s="89">
        <v>-15483.68</v>
      </c>
      <c r="J42" s="89">
        <v>4503.5100000000093</v>
      </c>
      <c r="K42" s="89">
        <v>11279.30999999999</v>
      </c>
      <c r="L42" s="89">
        <v>1054</v>
      </c>
      <c r="M42" s="89">
        <v>-12049</v>
      </c>
      <c r="N42" s="89">
        <v>8800</v>
      </c>
      <c r="O42" s="89">
        <v>-12844.350000000008</v>
      </c>
      <c r="P42" s="89">
        <v>15026.530000000008</v>
      </c>
      <c r="Q42" s="89">
        <v>-17789.00999999998</v>
      </c>
    </row>
    <row r="43" spans="2:17" x14ac:dyDescent="0.25">
      <c r="B43" t="s">
        <v>171</v>
      </c>
      <c r="C43" s="290">
        <v>-52014</v>
      </c>
      <c r="D43" s="290">
        <v>-108912</v>
      </c>
      <c r="E43" s="89">
        <v>-80479.190000000031</v>
      </c>
      <c r="F43" s="89">
        <v>-70593.450000000026</v>
      </c>
      <c r="G43" s="89">
        <v>-97331.329999999944</v>
      </c>
      <c r="H43" s="89">
        <v>-156512.48000000001</v>
      </c>
      <c r="I43" s="89">
        <v>-79895.98000000004</v>
      </c>
      <c r="J43" s="89">
        <v>-39768.03</v>
      </c>
      <c r="K43" s="89">
        <v>-14756.430000000029</v>
      </c>
      <c r="L43" s="89">
        <v>-85124</v>
      </c>
      <c r="M43" s="89">
        <v>-153763.41999999998</v>
      </c>
      <c r="N43" s="89">
        <v>-2374</v>
      </c>
      <c r="O43" s="89">
        <v>-6804.9699999999793</v>
      </c>
      <c r="P43" s="89">
        <v>-54697.850000000028</v>
      </c>
      <c r="Q43" s="89">
        <v>-34910.14999999998</v>
      </c>
    </row>
    <row r="44" spans="2:17" x14ac:dyDescent="0.25"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</row>
    <row r="45" spans="2:17" x14ac:dyDescent="0.25">
      <c r="C45" s="89" t="s">
        <v>201</v>
      </c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  <row r="46" spans="2:17" x14ac:dyDescent="0.25">
      <c r="C46" s="89" t="s">
        <v>182</v>
      </c>
      <c r="D46" s="89" t="s">
        <v>183</v>
      </c>
      <c r="E46" s="89" t="s">
        <v>185</v>
      </c>
      <c r="F46" s="89" t="s">
        <v>184</v>
      </c>
      <c r="G46" s="89" t="s">
        <v>186</v>
      </c>
      <c r="H46" s="89" t="s">
        <v>187</v>
      </c>
      <c r="I46" s="89" t="s">
        <v>188</v>
      </c>
      <c r="J46" s="89" t="s">
        <v>189</v>
      </c>
      <c r="K46" t="s">
        <v>190</v>
      </c>
      <c r="L46" s="89" t="s">
        <v>191</v>
      </c>
      <c r="M46" t="s">
        <v>192</v>
      </c>
      <c r="N46" s="364" t="s">
        <v>193</v>
      </c>
      <c r="O46" s="364" t="s">
        <v>194</v>
      </c>
      <c r="P46" s="364" t="s">
        <v>195</v>
      </c>
      <c r="Q46" s="364" t="s">
        <v>236</v>
      </c>
    </row>
    <row r="47" spans="2:17" x14ac:dyDescent="0.25">
      <c r="B47" t="s">
        <v>179</v>
      </c>
      <c r="C47" s="290">
        <v>-111803</v>
      </c>
      <c r="D47" s="290">
        <v>-84228</v>
      </c>
      <c r="E47" s="89">
        <v>-67932.260000000009</v>
      </c>
      <c r="F47" s="89">
        <v>-43383.38</v>
      </c>
      <c r="G47" s="89">
        <v>-44426.710000000006</v>
      </c>
      <c r="H47" s="89">
        <v>-42765.069999999992</v>
      </c>
      <c r="I47" s="89">
        <v>-102969.81999999999</v>
      </c>
      <c r="J47" s="89">
        <v>-71045.900000000009</v>
      </c>
      <c r="K47" s="89">
        <v>-65843.760000000024</v>
      </c>
      <c r="L47" s="89">
        <v>-52405</v>
      </c>
      <c r="M47" s="89">
        <v>-80046</v>
      </c>
      <c r="N47" s="89">
        <v>-108721.95</v>
      </c>
      <c r="O47" s="89">
        <v>-53997</v>
      </c>
      <c r="P47" s="89">
        <v>-31355.860000000008</v>
      </c>
      <c r="Q47" s="89">
        <v>-25493.629999999997</v>
      </c>
    </row>
    <row r="48" spans="2:17" x14ac:dyDescent="0.25">
      <c r="B48" t="s">
        <v>56</v>
      </c>
      <c r="C48" s="290">
        <v>-46563</v>
      </c>
      <c r="D48" s="290">
        <v>-51213</v>
      </c>
      <c r="E48" s="89">
        <v>-44898.319999999992</v>
      </c>
      <c r="F48" s="89">
        <v>-70870.45</v>
      </c>
      <c r="G48" s="89">
        <v>-36451.439999999995</v>
      </c>
      <c r="H48" s="89">
        <v>-48531.090000000004</v>
      </c>
      <c r="I48" s="89">
        <v>-80390.89</v>
      </c>
      <c r="J48" s="89">
        <v>-47205.439999999995</v>
      </c>
      <c r="K48" s="89">
        <v>-43374.479999999996</v>
      </c>
      <c r="L48" s="89">
        <v>-20842</v>
      </c>
      <c r="M48" s="89">
        <v>-29910</v>
      </c>
      <c r="N48" s="89">
        <v>-51145.600000000006</v>
      </c>
      <c r="O48" s="89">
        <v>-26401</v>
      </c>
      <c r="P48" s="89">
        <v>-27818.730000000003</v>
      </c>
      <c r="Q48" s="89">
        <v>-13330.020000000002</v>
      </c>
    </row>
    <row r="49" spans="2:17" x14ac:dyDescent="0.25">
      <c r="B49" t="s">
        <v>196</v>
      </c>
      <c r="C49" s="290">
        <v>-39699</v>
      </c>
      <c r="D49" s="290">
        <v>-49667</v>
      </c>
      <c r="E49" s="89">
        <v>-22547.100000000002</v>
      </c>
      <c r="F49" s="89">
        <v>-23852.639999999999</v>
      </c>
      <c r="G49" s="89">
        <v>-39094.65</v>
      </c>
      <c r="H49" s="89">
        <v>-19169.78</v>
      </c>
      <c r="I49" s="89">
        <v>-40510.199999999997</v>
      </c>
      <c r="J49" s="89">
        <v>-66666.8</v>
      </c>
      <c r="K49" s="89">
        <v>6262.0100000000011</v>
      </c>
      <c r="L49" s="89">
        <v>2148</v>
      </c>
      <c r="M49" s="89">
        <v>523</v>
      </c>
      <c r="N49" s="89">
        <v>-4576.67</v>
      </c>
      <c r="O49" s="89">
        <v>-4611</v>
      </c>
      <c r="P49" s="89">
        <v>5401.45</v>
      </c>
      <c r="Q49" s="89">
        <v>-740.72999999999956</v>
      </c>
    </row>
    <row r="50" spans="2:17" x14ac:dyDescent="0.25">
      <c r="B50" t="s">
        <v>58</v>
      </c>
      <c r="C50" s="415">
        <v>-647</v>
      </c>
      <c r="D50" s="290">
        <v>27135</v>
      </c>
      <c r="E50" s="89">
        <v>13689.100000000002</v>
      </c>
      <c r="F50" s="89">
        <v>21218.030000000002</v>
      </c>
      <c r="G50" s="89">
        <v>30518.84</v>
      </c>
      <c r="H50" s="89">
        <v>18698.47</v>
      </c>
      <c r="I50" s="89">
        <v>22024.859999999997</v>
      </c>
      <c r="J50" s="89">
        <v>13046.809999999987</v>
      </c>
      <c r="K50" s="89">
        <v>29107.639999999992</v>
      </c>
      <c r="L50" s="89">
        <v>18954</v>
      </c>
      <c r="M50" s="89">
        <v>-11536</v>
      </c>
      <c r="N50" s="89">
        <v>28915.78999999999</v>
      </c>
      <c r="O50" s="89">
        <v>2316</v>
      </c>
      <c r="P50" s="89">
        <v>8589.889999999994</v>
      </c>
      <c r="Q50" s="89">
        <v>12214.299999999994</v>
      </c>
    </row>
    <row r="51" spans="2:17" x14ac:dyDescent="0.25">
      <c r="B51" t="s">
        <v>171</v>
      </c>
      <c r="C51" s="290">
        <v>-198711</v>
      </c>
      <c r="D51" s="290">
        <v>-157973</v>
      </c>
      <c r="E51" s="89">
        <v>-121688.57999999999</v>
      </c>
      <c r="F51" s="89">
        <v>-116888.43999999997</v>
      </c>
      <c r="G51" s="89">
        <v>-89453.959999999992</v>
      </c>
      <c r="H51" s="89">
        <v>-91767.47</v>
      </c>
      <c r="I51" s="89">
        <v>-201846.05</v>
      </c>
      <c r="J51" s="89">
        <v>-171871.33000000002</v>
      </c>
      <c r="K51" s="89">
        <v>-73848.590000000026</v>
      </c>
      <c r="L51" s="89">
        <v>-52145</v>
      </c>
      <c r="M51" s="89">
        <v>-120969</v>
      </c>
      <c r="N51" s="89">
        <v>-135528.43000000002</v>
      </c>
      <c r="O51" s="89">
        <v>-82693</v>
      </c>
      <c r="P51" s="89">
        <v>-45183.250000000022</v>
      </c>
      <c r="Q51" s="89">
        <v>-27350.080000000009</v>
      </c>
    </row>
    <row r="52" spans="2:17" x14ac:dyDescent="0.25">
      <c r="K52" s="89"/>
      <c r="L52" s="89"/>
      <c r="M52" s="89"/>
      <c r="N52" s="89"/>
      <c r="O52" s="89"/>
      <c r="P52" s="89"/>
      <c r="Q52" s="89"/>
    </row>
    <row r="53" spans="2:17" x14ac:dyDescent="0.25">
      <c r="J53" s="89"/>
      <c r="K53" s="89"/>
      <c r="L53" s="89"/>
      <c r="M53" s="89"/>
      <c r="N53" s="89"/>
      <c r="O53" s="89"/>
      <c r="P53" s="89"/>
      <c r="Q53" s="89"/>
    </row>
    <row r="54" spans="2:17" x14ac:dyDescent="0.25">
      <c r="J54" s="89"/>
      <c r="K54" s="89"/>
      <c r="L54" s="89"/>
      <c r="M54" s="89"/>
      <c r="N54" s="89"/>
      <c r="O54" s="89"/>
      <c r="P54" s="89"/>
      <c r="Q54" s="89"/>
    </row>
    <row r="55" spans="2:17" x14ac:dyDescent="0.25">
      <c r="J55" s="89"/>
      <c r="K55" s="89"/>
      <c r="L55" s="89"/>
      <c r="M55" s="89"/>
      <c r="N55" s="89"/>
      <c r="O55" s="89"/>
      <c r="P55" s="89"/>
      <c r="Q55" s="89"/>
    </row>
    <row r="56" spans="2:17" x14ac:dyDescent="0.25">
      <c r="J56" s="89"/>
      <c r="K56" s="89"/>
      <c r="L56" s="89"/>
      <c r="M56" s="89"/>
      <c r="N56" s="89"/>
      <c r="O56" s="89"/>
      <c r="P56" s="89"/>
      <c r="Q56" s="89"/>
    </row>
    <row r="57" spans="2:17" x14ac:dyDescent="0.25">
      <c r="J57" s="89"/>
      <c r="K57" s="89"/>
      <c r="L57" s="89"/>
      <c r="M57" s="89"/>
      <c r="N57" s="89"/>
      <c r="O57" s="89"/>
      <c r="P57" s="89"/>
      <c r="Q57" s="89"/>
    </row>
    <row r="58" spans="2:17" x14ac:dyDescent="0.25">
      <c r="J58" s="89"/>
      <c r="K58" s="89"/>
      <c r="L58" s="89"/>
      <c r="M58" s="89"/>
      <c r="N58" s="89"/>
      <c r="O58" s="89"/>
      <c r="P58" s="89"/>
      <c r="Q58" s="89"/>
    </row>
    <row r="59" spans="2:17" x14ac:dyDescent="0.25">
      <c r="J59" s="89"/>
      <c r="K59" s="89"/>
      <c r="L59" s="89"/>
      <c r="M59" s="89"/>
      <c r="N59" s="89"/>
      <c r="O59" s="89"/>
      <c r="P59" s="89"/>
      <c r="Q59" s="89"/>
    </row>
    <row r="60" spans="2:17" x14ac:dyDescent="0.25">
      <c r="J60" s="89"/>
      <c r="K60" s="89"/>
      <c r="L60" s="89"/>
      <c r="M60" s="89"/>
      <c r="N60" s="89"/>
      <c r="O60" s="89"/>
      <c r="P60" s="89"/>
      <c r="Q60" s="89"/>
    </row>
    <row r="61" spans="2:17" x14ac:dyDescent="0.25">
      <c r="J61" s="89"/>
      <c r="K61" s="89"/>
      <c r="L61" s="89"/>
      <c r="M61" s="89"/>
      <c r="N61" s="89"/>
      <c r="O61" s="89"/>
      <c r="P61" s="89"/>
      <c r="Q61" s="89"/>
    </row>
    <row r="62" spans="2:17" x14ac:dyDescent="0.25">
      <c r="J62" s="89"/>
      <c r="K62" s="89"/>
      <c r="L62" s="89"/>
      <c r="M62" s="89"/>
      <c r="N62" s="89"/>
      <c r="O62" s="89"/>
      <c r="P62" s="89"/>
      <c r="Q62" s="89"/>
    </row>
    <row r="63" spans="2:17" x14ac:dyDescent="0.25">
      <c r="J63" s="89"/>
      <c r="K63" s="89"/>
      <c r="L63" s="89"/>
      <c r="M63" s="89"/>
      <c r="N63" s="89"/>
      <c r="O63" s="89"/>
      <c r="P63" s="89"/>
      <c r="Q63" s="89"/>
    </row>
    <row r="64" spans="2:17" x14ac:dyDescent="0.25">
      <c r="J64" s="89"/>
      <c r="K64" s="89"/>
      <c r="L64" s="89"/>
      <c r="M64" s="89"/>
      <c r="N64" s="89"/>
      <c r="O64" s="89"/>
      <c r="P64" s="89"/>
      <c r="Q64" s="89"/>
    </row>
    <row r="65" spans="10:17" x14ac:dyDescent="0.25">
      <c r="J65" s="89"/>
      <c r="K65" s="89"/>
      <c r="L65" s="89"/>
      <c r="M65" s="89"/>
      <c r="N65" s="89"/>
      <c r="O65" s="89"/>
      <c r="P65" s="89"/>
      <c r="Q65" s="89"/>
    </row>
    <row r="66" spans="10:17" x14ac:dyDescent="0.25">
      <c r="J66" s="89"/>
      <c r="K66" s="89"/>
      <c r="L66" s="89"/>
      <c r="M66" s="89"/>
      <c r="N66" s="89"/>
      <c r="O66" s="89"/>
      <c r="P66" s="89"/>
      <c r="Q66" s="89"/>
    </row>
    <row r="67" spans="10:17" x14ac:dyDescent="0.25">
      <c r="J67" s="89"/>
      <c r="K67" s="89"/>
      <c r="L67" s="89"/>
      <c r="M67" s="89"/>
      <c r="N67" s="89"/>
      <c r="O67" s="89"/>
      <c r="P67" s="89"/>
      <c r="Q67" s="89"/>
    </row>
    <row r="68" spans="10:17" x14ac:dyDescent="0.25">
      <c r="J68" s="89"/>
      <c r="K68" s="89"/>
      <c r="L68" s="89"/>
      <c r="M68" s="89"/>
      <c r="N68" s="89"/>
      <c r="O68" s="89"/>
      <c r="P68" s="89"/>
      <c r="Q68" s="89"/>
    </row>
    <row r="69" spans="10:17" x14ac:dyDescent="0.25">
      <c r="J69" s="89"/>
      <c r="K69" s="89"/>
      <c r="L69" s="89"/>
      <c r="M69" s="89"/>
      <c r="N69" s="89"/>
      <c r="O69" s="89"/>
      <c r="P69" s="89"/>
      <c r="Q69" s="89"/>
    </row>
    <row r="70" spans="10:17" x14ac:dyDescent="0.25">
      <c r="J70" s="89"/>
      <c r="K70" s="89"/>
      <c r="L70" s="89"/>
      <c r="M70" s="89"/>
      <c r="N70" s="89"/>
      <c r="O70" s="89"/>
      <c r="P70" s="89"/>
      <c r="Q70" s="89"/>
    </row>
    <row r="71" spans="10:17" x14ac:dyDescent="0.25">
      <c r="J71" s="89"/>
      <c r="K71" s="89"/>
      <c r="L71" s="89"/>
      <c r="M71" s="89"/>
      <c r="N71" s="89"/>
      <c r="O71" s="89"/>
      <c r="P71" s="89"/>
      <c r="Q71" s="89"/>
    </row>
    <row r="72" spans="10:17" x14ac:dyDescent="0.25">
      <c r="J72" s="89"/>
      <c r="K72" s="89"/>
      <c r="L72" s="89"/>
      <c r="M72" s="89"/>
      <c r="N72" s="89"/>
      <c r="O72" s="89"/>
      <c r="P72" s="89"/>
      <c r="Q72" s="8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0DA6-454A-4F39-AD62-A7BFC3AFDC5F}">
  <dimension ref="C3:W53"/>
  <sheetViews>
    <sheetView zoomScale="85" zoomScaleNormal="85" workbookViewId="0">
      <selection activeCell="V41" sqref="V41"/>
    </sheetView>
  </sheetViews>
  <sheetFormatPr defaultRowHeight="15" x14ac:dyDescent="0.25"/>
  <cols>
    <col min="5" max="9" width="10.7109375" bestFit="1" customWidth="1"/>
    <col min="10" max="10" width="11.140625" bestFit="1" customWidth="1"/>
    <col min="11" max="11" width="10.42578125" bestFit="1" customWidth="1"/>
    <col min="12" max="12" width="10.7109375" bestFit="1" customWidth="1"/>
    <col min="13" max="16" width="11" customWidth="1"/>
    <col min="17" max="19" width="12.140625" customWidth="1"/>
    <col min="20" max="22" width="11.140625" bestFit="1" customWidth="1"/>
  </cols>
  <sheetData>
    <row r="3" spans="3:23" x14ac:dyDescent="0.25">
      <c r="D3" t="s">
        <v>120</v>
      </c>
      <c r="T3" t="s">
        <v>247</v>
      </c>
    </row>
    <row r="4" spans="3:23" x14ac:dyDescent="0.25">
      <c r="D4" s="112"/>
      <c r="E4" s="10" t="s">
        <v>202</v>
      </c>
      <c r="F4" s="10" t="s">
        <v>184</v>
      </c>
      <c r="G4" s="10" t="s">
        <v>203</v>
      </c>
      <c r="H4" s="10" t="s">
        <v>204</v>
      </c>
      <c r="I4" s="10" t="s">
        <v>188</v>
      </c>
      <c r="J4" s="10" t="s">
        <v>205</v>
      </c>
      <c r="K4" s="9" t="s">
        <v>190</v>
      </c>
      <c r="L4" s="10" t="s">
        <v>191</v>
      </c>
      <c r="M4" s="10" t="s">
        <v>192</v>
      </c>
      <c r="N4" s="365" t="s">
        <v>193</v>
      </c>
      <c r="O4" s="365" t="s">
        <v>194</v>
      </c>
      <c r="P4" s="365" t="s">
        <v>195</v>
      </c>
      <c r="Q4" s="365" t="s">
        <v>236</v>
      </c>
      <c r="R4" s="365"/>
      <c r="S4" s="365"/>
      <c r="T4" s="352" t="s">
        <v>206</v>
      </c>
      <c r="U4" s="352" t="s">
        <v>207</v>
      </c>
      <c r="V4" s="352" t="s">
        <v>208</v>
      </c>
    </row>
    <row r="5" spans="3:23" x14ac:dyDescent="0.25">
      <c r="C5" t="s">
        <v>179</v>
      </c>
      <c r="E5" s="91">
        <v>105085.04</v>
      </c>
      <c r="F5" s="91">
        <v>111614.55000000002</v>
      </c>
      <c r="G5" s="91">
        <v>125747.93999999999</v>
      </c>
      <c r="H5" s="91">
        <v>106587.07</v>
      </c>
      <c r="I5" s="91">
        <v>131618.74</v>
      </c>
      <c r="J5" s="91">
        <v>137087.01</v>
      </c>
      <c r="K5" s="91">
        <v>132500</v>
      </c>
      <c r="L5" s="91">
        <v>154572</v>
      </c>
      <c r="M5" s="91">
        <v>155823</v>
      </c>
      <c r="N5" s="91">
        <v>129179.18</v>
      </c>
      <c r="O5" s="91">
        <v>118356</v>
      </c>
      <c r="P5" s="91">
        <v>103972.39000000001</v>
      </c>
      <c r="Q5" s="91">
        <v>117854.08000000002</v>
      </c>
      <c r="R5" s="91"/>
      <c r="S5" s="91"/>
      <c r="T5" s="353">
        <v>103972.39000000001</v>
      </c>
      <c r="U5" s="353">
        <v>155823</v>
      </c>
      <c r="V5" s="353">
        <v>127075.99666666666</v>
      </c>
    </row>
    <row r="6" spans="3:23" x14ac:dyDescent="0.25">
      <c r="C6" t="s">
        <v>63</v>
      </c>
      <c r="E6" s="91">
        <v>398526.58999999997</v>
      </c>
      <c r="F6" s="91">
        <v>508657.21000000008</v>
      </c>
      <c r="G6" s="91">
        <v>475707.81999999995</v>
      </c>
      <c r="H6" s="91">
        <v>476312.27</v>
      </c>
      <c r="I6" s="91">
        <v>439203.28000000009</v>
      </c>
      <c r="J6" s="91">
        <v>352087.03999999998</v>
      </c>
      <c r="K6" s="91">
        <v>319651</v>
      </c>
      <c r="L6" s="91">
        <v>384196</v>
      </c>
      <c r="M6" s="91">
        <v>394393</v>
      </c>
      <c r="N6" s="91">
        <v>393152.62</v>
      </c>
      <c r="O6" s="91">
        <v>317704</v>
      </c>
      <c r="P6" s="91">
        <v>309994.75</v>
      </c>
      <c r="Q6" s="91">
        <v>388302.58999999997</v>
      </c>
      <c r="R6" s="91"/>
      <c r="S6" s="91"/>
      <c r="T6" s="353">
        <v>309994.75</v>
      </c>
      <c r="U6" s="353">
        <v>508657.21000000008</v>
      </c>
      <c r="V6" s="353">
        <v>396613.46500000003</v>
      </c>
    </row>
    <row r="7" spans="3:23" x14ac:dyDescent="0.25">
      <c r="C7" t="s">
        <v>209</v>
      </c>
      <c r="E7" s="91">
        <v>673896.79</v>
      </c>
      <c r="F7" s="91">
        <v>884534.58</v>
      </c>
      <c r="G7" s="91">
        <v>725309.34</v>
      </c>
      <c r="H7" s="91">
        <v>874903.89999999991</v>
      </c>
      <c r="I7" s="91">
        <v>705903.60000000009</v>
      </c>
      <c r="J7" s="91">
        <v>524689.39999999991</v>
      </c>
      <c r="K7" s="91">
        <v>676714</v>
      </c>
      <c r="L7" s="91">
        <v>755396</v>
      </c>
      <c r="M7" s="91">
        <v>788188</v>
      </c>
      <c r="N7" s="91">
        <v>588813.75</v>
      </c>
      <c r="O7" s="91">
        <v>557966</v>
      </c>
      <c r="P7" s="91">
        <v>603390.71999999997</v>
      </c>
      <c r="Q7" s="91">
        <v>675220.45000000007</v>
      </c>
      <c r="R7" s="91"/>
      <c r="S7" s="103"/>
      <c r="T7" s="353">
        <v>524689.39999999991</v>
      </c>
      <c r="U7" s="353">
        <v>884534.58</v>
      </c>
      <c r="V7" s="353">
        <v>696752.47833333339</v>
      </c>
    </row>
    <row r="8" spans="3:23" x14ac:dyDescent="0.25">
      <c r="C8" t="s">
        <v>198</v>
      </c>
      <c r="E8" s="91">
        <v>112617.68</v>
      </c>
      <c r="F8" s="91">
        <v>120673.56</v>
      </c>
      <c r="G8" s="91">
        <v>125080.44</v>
      </c>
      <c r="H8" s="91">
        <v>68787.790000000008</v>
      </c>
      <c r="I8" s="91">
        <v>75850.850000000006</v>
      </c>
      <c r="J8" s="91">
        <v>85529.99</v>
      </c>
      <c r="K8" s="91">
        <v>96311</v>
      </c>
      <c r="L8" s="91">
        <v>449806</v>
      </c>
      <c r="M8" s="91">
        <v>662431</v>
      </c>
      <c r="N8" s="91">
        <v>152281.06</v>
      </c>
      <c r="O8" s="91">
        <v>114688</v>
      </c>
      <c r="P8" s="91">
        <v>152208.68</v>
      </c>
      <c r="Q8" s="91">
        <v>148246.68999999997</v>
      </c>
      <c r="R8" s="91"/>
      <c r="S8" s="91"/>
      <c r="T8" s="353">
        <v>68787.790000000008</v>
      </c>
      <c r="U8" s="353">
        <v>662431</v>
      </c>
      <c r="V8" s="353">
        <v>187657.92166666666</v>
      </c>
      <c r="W8" s="89"/>
    </row>
    <row r="9" spans="3:23" x14ac:dyDescent="0.25">
      <c r="C9" t="s">
        <v>210</v>
      </c>
      <c r="E9" s="91">
        <v>78148.02</v>
      </c>
      <c r="F9" s="91">
        <v>86700.73000000001</v>
      </c>
      <c r="G9" s="91">
        <v>94936.59</v>
      </c>
      <c r="H9" s="91">
        <v>75673.7</v>
      </c>
      <c r="I9" s="91">
        <v>78493.710000000006</v>
      </c>
      <c r="J9" s="91">
        <v>63233.930000000008</v>
      </c>
      <c r="K9" s="91">
        <v>75800</v>
      </c>
      <c r="L9" s="91">
        <v>63130</v>
      </c>
      <c r="M9" s="91">
        <v>82271</v>
      </c>
      <c r="N9" s="91">
        <v>53613.63</v>
      </c>
      <c r="O9" s="91">
        <v>76187</v>
      </c>
      <c r="P9" s="91">
        <v>69372.81</v>
      </c>
      <c r="Q9" s="91">
        <v>60563.229999999989</v>
      </c>
      <c r="R9" s="91"/>
      <c r="S9" s="91"/>
      <c r="T9" s="353">
        <v>53613.63</v>
      </c>
      <c r="U9" s="353">
        <v>94936.59</v>
      </c>
      <c r="V9" s="353">
        <v>73331.36083333334</v>
      </c>
      <c r="W9" s="89"/>
    </row>
    <row r="10" spans="3:23" x14ac:dyDescent="0.25">
      <c r="C10" t="s">
        <v>211</v>
      </c>
      <c r="E10" s="91">
        <v>1368274.1199999999</v>
      </c>
      <c r="F10" s="91">
        <v>1712180.6300000001</v>
      </c>
      <c r="G10" s="91">
        <v>1546782.13</v>
      </c>
      <c r="H10" s="91">
        <v>1602264.73</v>
      </c>
      <c r="I10" s="91">
        <v>1431070.1800000002</v>
      </c>
      <c r="J10" s="91">
        <v>1162627.3699999999</v>
      </c>
      <c r="K10" s="91">
        <v>1300976</v>
      </c>
      <c r="L10" s="91">
        <v>1807100</v>
      </c>
      <c r="M10" s="91">
        <v>2083106</v>
      </c>
      <c r="N10" s="91">
        <v>1317040.24</v>
      </c>
      <c r="O10" s="91">
        <v>1184901</v>
      </c>
      <c r="P10" s="91">
        <v>1238939.3500000001</v>
      </c>
      <c r="Q10" s="91">
        <v>1390187.04</v>
      </c>
      <c r="R10" s="91"/>
      <c r="S10" s="91"/>
      <c r="T10" s="353">
        <v>1162627.3699999999</v>
      </c>
      <c r="U10" s="353">
        <v>2083106</v>
      </c>
      <c r="V10" s="353">
        <v>1481431.2224999999</v>
      </c>
      <c r="W10" s="89"/>
    </row>
    <row r="11" spans="3:23" x14ac:dyDescent="0.25">
      <c r="D11" t="s">
        <v>121</v>
      </c>
      <c r="E11" s="91"/>
      <c r="F11" s="91"/>
      <c r="G11" s="91"/>
      <c r="H11" s="91"/>
      <c r="I11" s="91"/>
      <c r="J11" s="91"/>
      <c r="K11" s="91"/>
      <c r="L11" s="91"/>
      <c r="T11" s="353"/>
      <c r="U11" s="353"/>
      <c r="V11" s="353"/>
      <c r="W11" s="89"/>
    </row>
    <row r="12" spans="3:23" x14ac:dyDescent="0.25">
      <c r="E12" s="10" t="s">
        <v>202</v>
      </c>
      <c r="F12" s="10" t="s">
        <v>184</v>
      </c>
      <c r="G12" s="10" t="s">
        <v>203</v>
      </c>
      <c r="H12" s="10" t="s">
        <v>204</v>
      </c>
      <c r="I12" s="10" t="s">
        <v>188</v>
      </c>
      <c r="J12" s="10" t="s">
        <v>205</v>
      </c>
      <c r="K12" s="9" t="s">
        <v>190</v>
      </c>
      <c r="L12" s="10" t="s">
        <v>191</v>
      </c>
      <c r="M12" s="10" t="s">
        <v>192</v>
      </c>
      <c r="N12" s="365" t="s">
        <v>193</v>
      </c>
      <c r="O12" s="365" t="s">
        <v>194</v>
      </c>
      <c r="P12" s="365" t="s">
        <v>195</v>
      </c>
      <c r="Q12" s="365" t="s">
        <v>236</v>
      </c>
      <c r="R12" s="365"/>
      <c r="S12" s="365"/>
      <c r="T12" s="353"/>
      <c r="U12" s="353"/>
      <c r="V12" s="353"/>
      <c r="W12" s="89"/>
    </row>
    <row r="13" spans="3:23" x14ac:dyDescent="0.25">
      <c r="C13" t="s">
        <v>179</v>
      </c>
      <c r="E13" s="91">
        <v>152188.79999999999</v>
      </c>
      <c r="F13" s="91">
        <v>183753.8</v>
      </c>
      <c r="G13" s="91">
        <v>180755.05</v>
      </c>
      <c r="H13" s="91">
        <v>153748.25</v>
      </c>
      <c r="I13" s="91">
        <v>205641.45999999996</v>
      </c>
      <c r="J13" s="91">
        <v>208489.62</v>
      </c>
      <c r="K13" s="91">
        <v>180417</v>
      </c>
      <c r="L13" s="91">
        <v>230375</v>
      </c>
      <c r="M13" s="91">
        <v>247902</v>
      </c>
      <c r="N13" s="91">
        <v>233009.81</v>
      </c>
      <c r="O13" s="91">
        <v>182316</v>
      </c>
      <c r="P13" s="91">
        <v>238110.20999999996</v>
      </c>
      <c r="Q13" s="91">
        <v>184602.98000000004</v>
      </c>
      <c r="R13" s="91"/>
      <c r="S13" s="412"/>
      <c r="T13" s="353">
        <v>153748.25</v>
      </c>
      <c r="U13" s="353">
        <v>247902</v>
      </c>
      <c r="V13" s="353">
        <v>202426.76500000001</v>
      </c>
      <c r="W13" s="89"/>
    </row>
    <row r="14" spans="3:23" x14ac:dyDescent="0.25">
      <c r="C14" t="s">
        <v>63</v>
      </c>
      <c r="E14" s="91">
        <v>686014.27999999991</v>
      </c>
      <c r="F14" s="91">
        <v>714016.54999999993</v>
      </c>
      <c r="G14" s="91">
        <v>589308.07999999996</v>
      </c>
      <c r="H14" s="91">
        <v>697597.23</v>
      </c>
      <c r="I14" s="91">
        <v>718216.87999999989</v>
      </c>
      <c r="J14" s="91">
        <v>719099.12000000011</v>
      </c>
      <c r="K14" s="91">
        <v>549051</v>
      </c>
      <c r="L14" s="91">
        <v>600661</v>
      </c>
      <c r="M14" s="91">
        <v>570807</v>
      </c>
      <c r="N14" s="91">
        <v>629049.53</v>
      </c>
      <c r="O14" s="91">
        <v>527214</v>
      </c>
      <c r="P14" s="91">
        <v>610512.06000000006</v>
      </c>
      <c r="Q14" s="91">
        <v>414774.67999999993</v>
      </c>
      <c r="R14" s="91"/>
      <c r="S14" s="412"/>
      <c r="T14" s="353">
        <v>414774.67999999993</v>
      </c>
      <c r="U14" s="353">
        <v>719099.12000000011</v>
      </c>
      <c r="V14" s="353">
        <v>611692.26083333325</v>
      </c>
      <c r="W14" s="89"/>
    </row>
    <row r="15" spans="3:23" x14ac:dyDescent="0.25">
      <c r="C15" t="s">
        <v>209</v>
      </c>
      <c r="E15" s="91">
        <v>905456.23999999987</v>
      </c>
      <c r="F15" s="91">
        <v>1049415.2200000002</v>
      </c>
      <c r="G15" s="91">
        <v>799303.27999999991</v>
      </c>
      <c r="H15" s="91">
        <v>711124.03000000014</v>
      </c>
      <c r="I15" s="91">
        <v>893782.51000000013</v>
      </c>
      <c r="J15" s="91">
        <v>703118.87</v>
      </c>
      <c r="K15" s="91">
        <v>809930</v>
      </c>
      <c r="L15" s="91">
        <v>890503</v>
      </c>
      <c r="M15" s="91">
        <v>1257955</v>
      </c>
      <c r="N15" s="91">
        <v>769801.97</v>
      </c>
      <c r="O15" s="91">
        <v>829075</v>
      </c>
      <c r="P15" s="91">
        <v>574531.10000000009</v>
      </c>
      <c r="Q15" s="91">
        <v>741833.74</v>
      </c>
      <c r="R15" s="91"/>
      <c r="S15" s="441"/>
      <c r="T15" s="353">
        <v>574531.10000000009</v>
      </c>
      <c r="U15" s="353">
        <v>1257955</v>
      </c>
      <c r="V15" s="353">
        <v>835864.47666666657</v>
      </c>
      <c r="W15" s="89"/>
    </row>
    <row r="16" spans="3:23" x14ac:dyDescent="0.25">
      <c r="C16" t="s">
        <v>198</v>
      </c>
      <c r="E16" s="91">
        <v>200166.03999999998</v>
      </c>
      <c r="F16" s="91">
        <v>169276.31</v>
      </c>
      <c r="G16" s="91">
        <v>111977.58000000002</v>
      </c>
      <c r="H16" s="91">
        <v>169249.68</v>
      </c>
      <c r="I16" s="91">
        <v>114841.43</v>
      </c>
      <c r="J16" s="91">
        <v>160526.71000000002</v>
      </c>
      <c r="K16" s="91">
        <v>142890</v>
      </c>
      <c r="L16" s="91">
        <v>664489</v>
      </c>
      <c r="M16" s="91">
        <v>686395</v>
      </c>
      <c r="N16" s="91">
        <v>175844.7</v>
      </c>
      <c r="O16" s="91">
        <v>133802</v>
      </c>
      <c r="P16" s="91">
        <v>238857.82000000004</v>
      </c>
      <c r="Q16" s="91">
        <v>253845.50999999998</v>
      </c>
      <c r="R16" s="91"/>
      <c r="S16" s="91"/>
      <c r="T16" s="353">
        <v>111977.58000000002</v>
      </c>
      <c r="U16" s="353">
        <v>686395</v>
      </c>
      <c r="V16" s="353">
        <v>251832.9783333333</v>
      </c>
      <c r="W16" s="89"/>
    </row>
    <row r="17" spans="3:23" x14ac:dyDescent="0.25">
      <c r="C17" t="s">
        <v>210</v>
      </c>
      <c r="E17" s="91">
        <v>84304.91</v>
      </c>
      <c r="F17" s="91">
        <v>84459.86</v>
      </c>
      <c r="G17" s="91">
        <v>101622.18000000001</v>
      </c>
      <c r="H17" s="91">
        <v>65715.349999999991</v>
      </c>
      <c r="I17" s="91">
        <v>61376.299999999996</v>
      </c>
      <c r="J17" s="91">
        <v>78222.449999999983</v>
      </c>
      <c r="K17" s="91">
        <v>54297</v>
      </c>
      <c r="L17" s="91">
        <v>54442</v>
      </c>
      <c r="M17" s="91">
        <v>60054</v>
      </c>
      <c r="N17" s="91">
        <v>60122.509999999995</v>
      </c>
      <c r="O17" s="91">
        <v>112541</v>
      </c>
      <c r="P17" s="91">
        <v>61412.079999999994</v>
      </c>
      <c r="Q17" s="91">
        <v>66323.08</v>
      </c>
      <c r="R17" s="91"/>
      <c r="S17" s="91"/>
      <c r="T17" s="353">
        <v>54297</v>
      </c>
      <c r="U17" s="353">
        <v>112541</v>
      </c>
      <c r="V17" s="353">
        <v>71715.650833333333</v>
      </c>
      <c r="W17" s="89"/>
    </row>
    <row r="18" spans="3:23" x14ac:dyDescent="0.25">
      <c r="C18" t="s">
        <v>211</v>
      </c>
      <c r="E18" s="91">
        <v>2028130.2699999998</v>
      </c>
      <c r="F18" s="91">
        <v>2200921.7399999998</v>
      </c>
      <c r="G18" s="91">
        <v>1782966.1699999997</v>
      </c>
      <c r="H18" s="91">
        <v>1797434.5400000003</v>
      </c>
      <c r="I18" s="91">
        <v>1993858.58</v>
      </c>
      <c r="J18" s="91">
        <v>1869456.77</v>
      </c>
      <c r="K18" s="91">
        <v>1736585</v>
      </c>
      <c r="L18" s="91">
        <v>2440470</v>
      </c>
      <c r="M18" s="91">
        <v>2823113</v>
      </c>
      <c r="N18" s="91">
        <v>1867828.52</v>
      </c>
      <c r="O18" s="91">
        <v>1784948</v>
      </c>
      <c r="P18" s="91">
        <v>1723423.2700000003</v>
      </c>
      <c r="Q18" s="91">
        <v>1661379.99</v>
      </c>
      <c r="R18" s="91"/>
      <c r="S18" s="412"/>
      <c r="T18" s="353">
        <v>1661379.99</v>
      </c>
      <c r="U18" s="353">
        <v>2823113</v>
      </c>
      <c r="V18" s="353">
        <v>1973532.1316666666</v>
      </c>
      <c r="W18" s="89"/>
    </row>
    <row r="19" spans="3:23" x14ac:dyDescent="0.25">
      <c r="D19" t="s">
        <v>212</v>
      </c>
      <c r="M19" s="89"/>
      <c r="N19" s="89"/>
      <c r="O19" s="89"/>
      <c r="P19" s="89"/>
      <c r="Q19" s="89"/>
      <c r="R19" s="89"/>
      <c r="S19" s="89"/>
      <c r="T19" s="353"/>
      <c r="U19" s="353"/>
      <c r="V19" s="353"/>
      <c r="W19" s="89"/>
    </row>
    <row r="20" spans="3:23" x14ac:dyDescent="0.25">
      <c r="E20" s="10" t="s">
        <v>202</v>
      </c>
      <c r="F20" s="10" t="s">
        <v>184</v>
      </c>
      <c r="G20" s="10" t="s">
        <v>203</v>
      </c>
      <c r="H20" s="10" t="s">
        <v>204</v>
      </c>
      <c r="I20" s="10" t="s">
        <v>188</v>
      </c>
      <c r="J20" s="10" t="s">
        <v>205</v>
      </c>
      <c r="K20" s="9" t="s">
        <v>190</v>
      </c>
      <c r="L20" s="10" t="s">
        <v>191</v>
      </c>
      <c r="M20" s="10" t="s">
        <v>192</v>
      </c>
      <c r="N20" s="365" t="s">
        <v>193</v>
      </c>
      <c r="O20" s="365" t="s">
        <v>194</v>
      </c>
      <c r="P20" s="365" t="s">
        <v>195</v>
      </c>
      <c r="Q20" s="365" t="s">
        <v>236</v>
      </c>
      <c r="R20" s="365"/>
      <c r="S20" s="365"/>
      <c r="T20" s="353"/>
      <c r="U20" s="353"/>
      <c r="V20" s="353"/>
      <c r="W20" s="89"/>
    </row>
    <row r="21" spans="3:23" x14ac:dyDescent="0.25">
      <c r="C21" t="s">
        <v>179</v>
      </c>
      <c r="E21" s="91">
        <v>102391.27</v>
      </c>
      <c r="F21" s="91">
        <v>121820.55</v>
      </c>
      <c r="G21" s="91">
        <v>139256.21</v>
      </c>
      <c r="H21" s="91">
        <v>114783.94999999998</v>
      </c>
      <c r="I21" s="91">
        <v>134312.57</v>
      </c>
      <c r="J21" s="91">
        <v>135986.18</v>
      </c>
      <c r="K21" s="91">
        <v>90241</v>
      </c>
      <c r="L21" s="91">
        <v>121046</v>
      </c>
      <c r="M21" s="91">
        <v>141837</v>
      </c>
      <c r="N21" s="91">
        <v>125041.87</v>
      </c>
      <c r="O21" s="91">
        <v>99903</v>
      </c>
      <c r="P21" s="91">
        <v>131446.65</v>
      </c>
      <c r="Q21" s="91">
        <v>124127.35</v>
      </c>
      <c r="R21" s="91"/>
      <c r="S21" s="412"/>
      <c r="T21" s="353">
        <v>90241</v>
      </c>
      <c r="U21" s="353">
        <v>141837</v>
      </c>
      <c r="V21" s="353">
        <v>123316.86083333334</v>
      </c>
      <c r="W21" s="89"/>
    </row>
    <row r="22" spans="3:23" x14ac:dyDescent="0.25">
      <c r="C22" t="s">
        <v>63</v>
      </c>
      <c r="E22" s="91">
        <v>227335.75</v>
      </c>
      <c r="F22" s="91">
        <v>263989.94</v>
      </c>
      <c r="G22" s="91">
        <v>234720.97999999998</v>
      </c>
      <c r="H22" s="91">
        <v>271008.88</v>
      </c>
      <c r="I22" s="91">
        <v>359797.14</v>
      </c>
      <c r="J22" s="91">
        <v>434961.16999999993</v>
      </c>
      <c r="K22" s="91">
        <v>432618</v>
      </c>
      <c r="L22" s="91">
        <v>487535</v>
      </c>
      <c r="M22" s="91">
        <v>375991</v>
      </c>
      <c r="N22" s="91">
        <v>499995.12</v>
      </c>
      <c r="O22" s="91">
        <v>344069</v>
      </c>
      <c r="P22" s="91">
        <v>354540.73000000004</v>
      </c>
      <c r="Q22" s="91">
        <v>253780.31</v>
      </c>
      <c r="R22" s="91"/>
      <c r="S22" s="412"/>
      <c r="T22" s="353">
        <v>234720.97999999998</v>
      </c>
      <c r="U22" s="353">
        <v>499995.12</v>
      </c>
      <c r="V22" s="353">
        <v>359417.27249999996</v>
      </c>
      <c r="W22" s="89"/>
    </row>
    <row r="23" spans="3:23" x14ac:dyDescent="0.25">
      <c r="C23" t="s">
        <v>209</v>
      </c>
      <c r="E23" s="91">
        <v>1037689.34</v>
      </c>
      <c r="F23" s="91">
        <v>826782.15999999992</v>
      </c>
      <c r="G23" s="91">
        <v>675433.49</v>
      </c>
      <c r="H23" s="91">
        <v>747472.92999999993</v>
      </c>
      <c r="I23" s="91">
        <v>845112.53</v>
      </c>
      <c r="J23" s="91">
        <v>556958.61</v>
      </c>
      <c r="K23" s="91">
        <v>521729</v>
      </c>
      <c r="L23" s="91">
        <v>355329</v>
      </c>
      <c r="M23" s="91">
        <v>993389</v>
      </c>
      <c r="N23" s="91">
        <v>542335.06999999995</v>
      </c>
      <c r="O23" s="91">
        <v>720064</v>
      </c>
      <c r="P23" s="91">
        <v>436185.29999999993</v>
      </c>
      <c r="Q23" s="91">
        <v>414079.16000000003</v>
      </c>
      <c r="R23" s="91"/>
      <c r="S23" s="412"/>
      <c r="T23" s="353">
        <v>355329</v>
      </c>
      <c r="U23" s="353">
        <v>993389</v>
      </c>
      <c r="V23" s="353">
        <v>636239.18750000012</v>
      </c>
      <c r="W23" s="89"/>
    </row>
    <row r="24" spans="3:23" x14ac:dyDescent="0.25">
      <c r="C24" t="s">
        <v>198</v>
      </c>
      <c r="E24" s="91">
        <v>131974.84999999998</v>
      </c>
      <c r="F24" s="91">
        <v>112343.67000000001</v>
      </c>
      <c r="G24" s="91">
        <v>128773.20999999999</v>
      </c>
      <c r="H24" s="91">
        <v>81985.539999999994</v>
      </c>
      <c r="I24" s="91">
        <v>172502.57</v>
      </c>
      <c r="J24" s="91">
        <v>114545.29999999999</v>
      </c>
      <c r="K24" s="91">
        <v>74733</v>
      </c>
      <c r="L24" s="91">
        <v>163044</v>
      </c>
      <c r="M24" s="91">
        <v>351442</v>
      </c>
      <c r="N24" s="91">
        <v>167130.46999999997</v>
      </c>
      <c r="O24" s="91">
        <v>144113</v>
      </c>
      <c r="P24" s="91">
        <v>181287.24</v>
      </c>
      <c r="Q24" s="91">
        <v>185009.2</v>
      </c>
      <c r="R24" s="91"/>
      <c r="S24" s="91"/>
      <c r="T24" s="353">
        <v>74733</v>
      </c>
      <c r="U24" s="353">
        <v>351442</v>
      </c>
      <c r="V24" s="353">
        <v>156409.1</v>
      </c>
      <c r="W24" s="89"/>
    </row>
    <row r="25" spans="3:23" x14ac:dyDescent="0.25">
      <c r="C25" t="s">
        <v>210</v>
      </c>
      <c r="E25" s="91">
        <v>78281.239999999991</v>
      </c>
      <c r="F25" s="91">
        <v>72952.26999999999</v>
      </c>
      <c r="G25" s="91">
        <v>69052.33</v>
      </c>
      <c r="H25" s="91">
        <v>58012.289999999994</v>
      </c>
      <c r="I25" s="91">
        <v>75247.86</v>
      </c>
      <c r="J25" s="91">
        <v>57386.479999999996</v>
      </c>
      <c r="K25" s="91">
        <v>61660</v>
      </c>
      <c r="L25" s="91">
        <v>46656</v>
      </c>
      <c r="M25" s="91">
        <v>57363</v>
      </c>
      <c r="N25" s="91">
        <v>50281.81</v>
      </c>
      <c r="O25" s="91">
        <v>49564</v>
      </c>
      <c r="P25" s="91">
        <v>46095.25</v>
      </c>
      <c r="Q25" s="91">
        <v>47368.01</v>
      </c>
      <c r="R25" s="91"/>
      <c r="S25" s="91"/>
      <c r="T25" s="353">
        <v>46095.25</v>
      </c>
      <c r="U25" s="353">
        <v>75247.86</v>
      </c>
      <c r="V25" s="353">
        <v>57636.60833333333</v>
      </c>
      <c r="W25" s="89"/>
    </row>
    <row r="26" spans="3:23" x14ac:dyDescent="0.25">
      <c r="C26" t="s">
        <v>211</v>
      </c>
      <c r="E26" s="91">
        <v>1577672.45</v>
      </c>
      <c r="F26" s="91">
        <v>1397888.5899999999</v>
      </c>
      <c r="G26" s="91">
        <v>1247236.22</v>
      </c>
      <c r="H26" s="91">
        <v>1273263.5899999999</v>
      </c>
      <c r="I26" s="91">
        <v>1586972.6700000002</v>
      </c>
      <c r="J26" s="91">
        <v>1299837.74</v>
      </c>
      <c r="K26" s="91">
        <v>1180981</v>
      </c>
      <c r="L26" s="91">
        <v>1173610</v>
      </c>
      <c r="M26" s="91">
        <v>1920022</v>
      </c>
      <c r="N26" s="91">
        <v>1384784.34</v>
      </c>
      <c r="O26" s="91">
        <v>1357713</v>
      </c>
      <c r="P26" s="91">
        <v>1149555.17</v>
      </c>
      <c r="Q26" s="91">
        <v>1024364.03</v>
      </c>
      <c r="R26" s="91"/>
      <c r="S26" s="412"/>
      <c r="T26" s="353">
        <v>1024364.03</v>
      </c>
      <c r="U26" s="353">
        <v>1920022</v>
      </c>
      <c r="V26" s="353">
        <v>1333019.0291666666</v>
      </c>
      <c r="W26" s="89"/>
    </row>
    <row r="28" spans="3:23" x14ac:dyDescent="0.25">
      <c r="N28" s="416" t="s">
        <v>237</v>
      </c>
      <c r="O28" s="89"/>
    </row>
    <row r="29" spans="3:23" x14ac:dyDescent="0.25">
      <c r="O29" s="89"/>
    </row>
    <row r="30" spans="3:23" x14ac:dyDescent="0.25">
      <c r="D30" t="s">
        <v>120</v>
      </c>
    </row>
    <row r="31" spans="3:23" x14ac:dyDescent="0.25">
      <c r="D31" s="112"/>
      <c r="E31" s="10" t="s">
        <v>202</v>
      </c>
      <c r="F31" s="10" t="s">
        <v>184</v>
      </c>
      <c r="G31" s="10" t="s">
        <v>203</v>
      </c>
      <c r="H31" s="10" t="s">
        <v>204</v>
      </c>
      <c r="I31" s="10" t="s">
        <v>188</v>
      </c>
      <c r="J31" s="10" t="s">
        <v>205</v>
      </c>
      <c r="K31" s="9" t="s">
        <v>190</v>
      </c>
      <c r="L31" s="10" t="s">
        <v>191</v>
      </c>
      <c r="M31" s="10" t="s">
        <v>192</v>
      </c>
      <c r="N31" s="365" t="s">
        <v>193</v>
      </c>
      <c r="O31" s="365" t="s">
        <v>194</v>
      </c>
      <c r="P31" s="365" t="s">
        <v>195</v>
      </c>
      <c r="Q31" s="365" t="s">
        <v>236</v>
      </c>
      <c r="R31" s="365"/>
      <c r="S31" s="365"/>
    </row>
    <row r="32" spans="3:23" x14ac:dyDescent="0.25">
      <c r="C32" t="s">
        <v>179</v>
      </c>
      <c r="E32" s="103">
        <v>7.6801160282122416E-2</v>
      </c>
      <c r="F32" s="103">
        <v>6.5188536795910371E-2</v>
      </c>
      <c r="G32" s="103">
        <v>8.1296478386390453E-2</v>
      </c>
      <c r="H32" s="103">
        <v>6.6522758695437306E-2</v>
      </c>
      <c r="I32" s="103">
        <v>9.197224695157856E-2</v>
      </c>
      <c r="J32" s="103">
        <v>0.11791139064617069</v>
      </c>
      <c r="K32" s="103">
        <v>0.10184661361931351</v>
      </c>
      <c r="L32" s="103">
        <v>8.5535941563831555E-2</v>
      </c>
      <c r="M32" s="103">
        <v>7.4803202525459578E-2</v>
      </c>
      <c r="N32" s="103">
        <v>9.8082940882656705E-2</v>
      </c>
      <c r="O32" s="103">
        <v>9.9886825987993935E-2</v>
      </c>
      <c r="P32" s="103">
        <v>8.3920484081807564E-2</v>
      </c>
      <c r="Q32" s="103">
        <v>8.4775700397840006E-2</v>
      </c>
      <c r="R32" s="103"/>
      <c r="S32" s="103"/>
    </row>
    <row r="33" spans="3:19" x14ac:dyDescent="0.25">
      <c r="C33" t="s">
        <v>63</v>
      </c>
      <c r="E33" s="103">
        <v>0.29126224356271535</v>
      </c>
      <c r="F33" s="103">
        <v>0.29708151177951364</v>
      </c>
      <c r="G33" s="103">
        <v>0.30754675191392339</v>
      </c>
      <c r="H33" s="103">
        <v>0.29727438985691212</v>
      </c>
      <c r="I33" s="103">
        <v>0.30690547964600873</v>
      </c>
      <c r="J33" s="103">
        <v>0.30283739148511529</v>
      </c>
      <c r="K33" s="103">
        <v>0.24570091992473342</v>
      </c>
      <c r="L33" s="103">
        <v>0.21260361905815947</v>
      </c>
      <c r="M33" s="103">
        <v>0.1893292996131738</v>
      </c>
      <c r="N33" s="103">
        <v>0.29851223072728589</v>
      </c>
      <c r="O33" s="103">
        <v>0.26812704183725056</v>
      </c>
      <c r="P33" s="103">
        <v>0.2502097862982558</v>
      </c>
      <c r="Q33" s="103">
        <v>0.27931679610536431</v>
      </c>
      <c r="R33" s="103"/>
      <c r="S33" s="103"/>
    </row>
    <row r="34" spans="3:19" x14ac:dyDescent="0.25">
      <c r="C34" t="s">
        <v>209</v>
      </c>
      <c r="E34" s="103">
        <v>0.49251592217500983</v>
      </c>
      <c r="F34" s="103">
        <v>0.51661288797549354</v>
      </c>
      <c r="G34" s="103">
        <v>0.46891499839088524</v>
      </c>
      <c r="H34" s="103">
        <v>0.54604203888329983</v>
      </c>
      <c r="I34" s="103">
        <v>0.49326972909183253</v>
      </c>
      <c r="J34" s="103">
        <v>0.45129627388696342</v>
      </c>
      <c r="K34" s="103">
        <v>0.52015871161343485</v>
      </c>
      <c r="L34" s="103">
        <v>0.41801560511316471</v>
      </c>
      <c r="M34" s="103">
        <v>0.37837152790112455</v>
      </c>
      <c r="N34" s="103">
        <v>0.4470734698280745</v>
      </c>
      <c r="O34" s="103">
        <v>0.47089672470527072</v>
      </c>
      <c r="P34" s="103">
        <v>0.4870219999066136</v>
      </c>
      <c r="Q34" s="103">
        <v>0.48570475092330023</v>
      </c>
      <c r="R34" s="103"/>
      <c r="S34" s="103"/>
    </row>
    <row r="35" spans="3:19" x14ac:dyDescent="0.25">
      <c r="C35" t="s">
        <v>198</v>
      </c>
      <c r="E35" s="103">
        <v>8.2306372936440539E-2</v>
      </c>
      <c r="F35" s="103">
        <v>7.0479456364367338E-2</v>
      </c>
      <c r="G35" s="103">
        <v>8.0864937326370595E-2</v>
      </c>
      <c r="H35" s="103">
        <v>4.2931600947116906E-2</v>
      </c>
      <c r="I35" s="103">
        <v>5.3002886273543902E-2</v>
      </c>
      <c r="J35" s="103">
        <v>7.3566124630284613E-2</v>
      </c>
      <c r="K35" s="103">
        <v>7.4029805315393979E-2</v>
      </c>
      <c r="L35" s="103">
        <v>0.24891040894250457</v>
      </c>
      <c r="M35" s="103">
        <v>0.31800158033244585</v>
      </c>
      <c r="N35" s="103">
        <v>0.11562369574979729</v>
      </c>
      <c r="O35" s="103">
        <v>9.6791208717015173E-2</v>
      </c>
      <c r="P35" s="103">
        <v>0.12285402025530949</v>
      </c>
      <c r="Q35" s="103">
        <v>0.10663794563931482</v>
      </c>
      <c r="R35" s="103"/>
      <c r="S35" s="103"/>
    </row>
    <row r="36" spans="3:19" x14ac:dyDescent="0.25">
      <c r="C36" t="s">
        <v>210</v>
      </c>
      <c r="E36" s="103">
        <v>5.7114301043711922E-2</v>
      </c>
      <c r="F36" s="103">
        <v>5.0637607084715125E-2</v>
      </c>
      <c r="G36" s="103">
        <v>6.1376833982430351E-2</v>
      </c>
      <c r="H36" s="103">
        <v>4.7229211617233813E-2</v>
      </c>
      <c r="I36" s="103">
        <v>5.4849658037036307E-2</v>
      </c>
      <c r="J36" s="103">
        <v>5.4388819351465993E-2</v>
      </c>
      <c r="K36" s="103">
        <v>5.8263949527124249E-2</v>
      </c>
      <c r="L36" s="103">
        <v>3.493442532233966E-2</v>
      </c>
      <c r="M36" s="103">
        <v>3.9494389627796188E-2</v>
      </c>
      <c r="N36" s="103">
        <v>4.0707662812185602E-2</v>
      </c>
      <c r="O36" s="103">
        <v>6.4298198752469615E-2</v>
      </c>
      <c r="P36" s="103">
        <v>5.5993709458013415E-2</v>
      </c>
      <c r="Q36" s="103">
        <v>4.3564806934180592E-2</v>
      </c>
      <c r="R36" s="103"/>
      <c r="S36" s="103"/>
    </row>
    <row r="37" spans="3:19" x14ac:dyDescent="0.25">
      <c r="E37" s="91"/>
      <c r="F37" s="91"/>
      <c r="G37" s="91"/>
      <c r="H37" s="91"/>
      <c r="I37" s="91"/>
      <c r="J37" s="91"/>
    </row>
    <row r="38" spans="3:19" x14ac:dyDescent="0.25">
      <c r="D38" t="s">
        <v>121</v>
      </c>
      <c r="E38" s="91"/>
      <c r="F38" s="91"/>
      <c r="G38" s="91"/>
      <c r="H38" s="91"/>
      <c r="I38" s="91"/>
      <c r="J38" s="91"/>
    </row>
    <row r="39" spans="3:19" x14ac:dyDescent="0.25">
      <c r="E39" s="10" t="s">
        <v>202</v>
      </c>
      <c r="F39" s="10" t="s">
        <v>184</v>
      </c>
      <c r="G39" s="10" t="s">
        <v>203</v>
      </c>
      <c r="H39" s="10" t="s">
        <v>204</v>
      </c>
      <c r="I39" s="10" t="s">
        <v>188</v>
      </c>
      <c r="J39" s="10" t="s">
        <v>205</v>
      </c>
      <c r="K39" s="9" t="s">
        <v>190</v>
      </c>
      <c r="L39" s="10" t="s">
        <v>191</v>
      </c>
      <c r="M39" s="10" t="s">
        <v>192</v>
      </c>
      <c r="N39" s="365" t="s">
        <v>193</v>
      </c>
      <c r="O39" s="365" t="s">
        <v>194</v>
      </c>
      <c r="P39" s="365" t="s">
        <v>195</v>
      </c>
      <c r="Q39" s="365" t="s">
        <v>236</v>
      </c>
      <c r="R39" s="365"/>
      <c r="S39" s="365"/>
    </row>
    <row r="40" spans="3:19" x14ac:dyDescent="0.25">
      <c r="C40" t="s">
        <v>179</v>
      </c>
      <c r="E40" s="103">
        <v>7.5038966801673934E-2</v>
      </c>
      <c r="F40" s="103">
        <v>8.3489474732527297E-2</v>
      </c>
      <c r="G40" s="103">
        <v>0.1013788444454894</v>
      </c>
      <c r="H40" s="103">
        <v>8.5537607394592499E-2</v>
      </c>
      <c r="I40" s="103">
        <v>0.10313743515350018</v>
      </c>
      <c r="J40" s="103">
        <v>0.11152417287509675</v>
      </c>
      <c r="K40" s="103">
        <v>0.10389183368507732</v>
      </c>
      <c r="L40" s="103">
        <v>9.439780042368888E-2</v>
      </c>
      <c r="M40" s="103">
        <v>8.781157537796043E-2</v>
      </c>
      <c r="N40" s="103">
        <v>0.17691927924692719</v>
      </c>
      <c r="O40" s="103">
        <v>0.15386601918641304</v>
      </c>
      <c r="P40" s="103">
        <v>0.1921887540338435</v>
      </c>
      <c r="Q40" s="103">
        <v>0.13279003090116567</v>
      </c>
      <c r="R40" s="103"/>
      <c r="S40" s="103"/>
    </row>
    <row r="41" spans="3:19" x14ac:dyDescent="0.25">
      <c r="C41" t="s">
        <v>63</v>
      </c>
      <c r="E41" s="103">
        <v>0.33824961352211363</v>
      </c>
      <c r="F41" s="103">
        <v>0.32441705537426335</v>
      </c>
      <c r="G41" s="103">
        <v>0.33052117864917202</v>
      </c>
      <c r="H41" s="103">
        <v>0.38810716856481453</v>
      </c>
      <c r="I41" s="103">
        <v>0.36021455443444733</v>
      </c>
      <c r="J41" s="103">
        <v>0.38465672570754345</v>
      </c>
      <c r="K41" s="103">
        <v>0.31616707503519842</v>
      </c>
      <c r="L41" s="103">
        <v>0.24612513163448024</v>
      </c>
      <c r="M41" s="103">
        <v>0.20219063140582755</v>
      </c>
      <c r="N41" s="103">
        <v>0.47762362219092108</v>
      </c>
      <c r="O41" s="103">
        <v>0.44494350160899521</v>
      </c>
      <c r="P41" s="103">
        <v>0.49276993260404556</v>
      </c>
      <c r="Q41" s="103">
        <v>0.29835890284231098</v>
      </c>
      <c r="R41" s="103"/>
      <c r="S41" s="103"/>
    </row>
    <row r="42" spans="3:19" x14ac:dyDescent="0.25">
      <c r="C42" t="s">
        <v>209</v>
      </c>
      <c r="E42" s="103">
        <v>0.44644875794886685</v>
      </c>
      <c r="F42" s="103">
        <v>0.47680714899022275</v>
      </c>
      <c r="G42" s="103">
        <v>0.44829974536196615</v>
      </c>
      <c r="H42" s="103">
        <v>0.39563278337802499</v>
      </c>
      <c r="I42" s="103">
        <v>0.44826775527881224</v>
      </c>
      <c r="J42" s="103">
        <v>0.37610865428035545</v>
      </c>
      <c r="K42" s="103">
        <v>0.46639237353771912</v>
      </c>
      <c r="L42" s="103">
        <v>0.36488995972087346</v>
      </c>
      <c r="M42" s="103">
        <v>0.44559144462159328</v>
      </c>
      <c r="N42" s="103">
        <v>0.58449388759754217</v>
      </c>
      <c r="O42" s="103">
        <v>0.69969980614414196</v>
      </c>
      <c r="P42" s="103">
        <v>0.46372818814738592</v>
      </c>
      <c r="Q42" s="103">
        <v>0.53362153340172125</v>
      </c>
      <c r="R42" s="103"/>
      <c r="S42" s="103"/>
    </row>
    <row r="43" spans="3:19" x14ac:dyDescent="0.25">
      <c r="C43" t="s">
        <v>198</v>
      </c>
      <c r="E43" s="103">
        <v>9.8694863422160745E-2</v>
      </c>
      <c r="F43" s="103">
        <v>7.6911553429428167E-2</v>
      </c>
      <c r="G43" s="103">
        <v>6.2804096838247933E-2</v>
      </c>
      <c r="H43" s="103">
        <v>9.4161804635177399E-2</v>
      </c>
      <c r="I43" s="103">
        <v>5.7597580466313705E-2</v>
      </c>
      <c r="J43" s="103">
        <v>8.5868104882682053E-2</v>
      </c>
      <c r="K43" s="103">
        <v>8.2282180256077295E-2</v>
      </c>
      <c r="L43" s="103">
        <v>0.27227911017140138</v>
      </c>
      <c r="M43" s="103">
        <v>0.24313408637911413</v>
      </c>
      <c r="N43" s="103">
        <v>0.1335150549386403</v>
      </c>
      <c r="O43" s="103">
        <v>0.1129225142016084</v>
      </c>
      <c r="P43" s="103">
        <v>0.19279218147361291</v>
      </c>
      <c r="Q43" s="103">
        <v>0.18259809845443528</v>
      </c>
      <c r="R43" s="103"/>
      <c r="S43" s="103"/>
    </row>
    <row r="44" spans="3:19" x14ac:dyDescent="0.25">
      <c r="C44" t="s">
        <v>210</v>
      </c>
      <c r="E44" s="103">
        <v>4.1567798305184811E-2</v>
      </c>
      <c r="F44" s="103">
        <v>3.8374767473558606E-2</v>
      </c>
      <c r="G44" s="103">
        <v>5.6996134705124567E-2</v>
      </c>
      <c r="H44" s="103">
        <v>3.6560636027390452E-2</v>
      </c>
      <c r="I44" s="103">
        <v>3.0782674666926475E-2</v>
      </c>
      <c r="J44" s="103">
        <v>4.1842342254322352E-2</v>
      </c>
      <c r="K44" s="103">
        <v>3.1266537485927844E-2</v>
      </c>
      <c r="L44" s="103">
        <v>2.2307998049556028E-2</v>
      </c>
      <c r="M44" s="103">
        <v>2.1272262215504656E-2</v>
      </c>
      <c r="N44" s="103">
        <v>4.564971378551045E-2</v>
      </c>
      <c r="O44" s="103">
        <v>9.4979242991608578E-2</v>
      </c>
      <c r="P44" s="103">
        <v>4.9568269826928968E-2</v>
      </c>
      <c r="Q44" s="103">
        <v>4.7708026396217879E-2</v>
      </c>
      <c r="R44" s="103"/>
      <c r="S44" s="103"/>
    </row>
    <row r="45" spans="3:19" x14ac:dyDescent="0.25">
      <c r="E45" s="91"/>
      <c r="F45" s="91"/>
      <c r="G45" s="91"/>
      <c r="H45" s="91"/>
      <c r="I45" s="91"/>
    </row>
    <row r="46" spans="3:19" x14ac:dyDescent="0.25">
      <c r="D46" t="s">
        <v>212</v>
      </c>
    </row>
    <row r="47" spans="3:19" x14ac:dyDescent="0.25">
      <c r="E47" s="10" t="s">
        <v>202</v>
      </c>
      <c r="F47" s="10" t="s">
        <v>184</v>
      </c>
      <c r="G47" s="10" t="s">
        <v>203</v>
      </c>
      <c r="H47" s="10" t="s">
        <v>204</v>
      </c>
      <c r="I47" s="10" t="s">
        <v>188</v>
      </c>
      <c r="J47" s="10" t="s">
        <v>205</v>
      </c>
      <c r="K47" s="9" t="s">
        <v>190</v>
      </c>
      <c r="L47" s="10" t="s">
        <v>191</v>
      </c>
      <c r="M47" s="10" t="s">
        <v>192</v>
      </c>
      <c r="N47" s="365" t="s">
        <v>193</v>
      </c>
      <c r="O47" s="365" t="s">
        <v>194</v>
      </c>
      <c r="P47" s="365" t="s">
        <v>195</v>
      </c>
      <c r="Q47" s="365" t="s">
        <v>236</v>
      </c>
      <c r="R47" s="365"/>
      <c r="S47" s="365"/>
    </row>
    <row r="48" spans="3:19" x14ac:dyDescent="0.25">
      <c r="C48" t="s">
        <v>179</v>
      </c>
      <c r="E48" s="103">
        <v>6.4900207898033593E-2</v>
      </c>
      <c r="F48" s="103">
        <v>8.7146107974169829E-2</v>
      </c>
      <c r="G48" s="103">
        <v>0.1116518328821464</v>
      </c>
      <c r="H48" s="103">
        <v>9.0149401036434249E-2</v>
      </c>
      <c r="I48" s="103">
        <v>8.4634456874421157E-2</v>
      </c>
      <c r="J48" s="103">
        <v>0.1046178117585661</v>
      </c>
      <c r="K48" s="103">
        <v>7.6411898243917559E-2</v>
      </c>
      <c r="L48" s="103">
        <v>0.10313988462947657</v>
      </c>
      <c r="M48" s="103">
        <v>7.3872591043227631E-2</v>
      </c>
      <c r="N48" s="103">
        <v>9.0296998881428711E-2</v>
      </c>
      <c r="O48" s="103">
        <v>7.3581824730263312E-2</v>
      </c>
      <c r="P48" s="103">
        <v>0.11434566468001706</v>
      </c>
      <c r="Q48" s="103">
        <v>0.1211750377451266</v>
      </c>
      <c r="R48" s="103"/>
      <c r="S48" s="103"/>
    </row>
    <row r="49" spans="3:19" x14ac:dyDescent="0.25">
      <c r="C49" t="s">
        <v>63</v>
      </c>
      <c r="E49" s="103">
        <v>0.14409565813233285</v>
      </c>
      <c r="F49" s="103">
        <v>0.18884905556028611</v>
      </c>
      <c r="G49" s="103">
        <v>0.18819288298089995</v>
      </c>
      <c r="H49" s="103">
        <v>0.21284585699964925</v>
      </c>
      <c r="I49" s="103">
        <v>0.2267191784720527</v>
      </c>
      <c r="J49" s="103">
        <v>0.33462728201752312</v>
      </c>
      <c r="K49" s="103">
        <v>0.36632088069156066</v>
      </c>
      <c r="L49" s="103">
        <v>0.41541483116197031</v>
      </c>
      <c r="M49" s="103">
        <v>0.19582640198914386</v>
      </c>
      <c r="N49" s="103">
        <v>0.36106352849137502</v>
      </c>
      <c r="O49" s="103">
        <v>0.25341806405330142</v>
      </c>
      <c r="P49" s="103">
        <v>0.30841558478659192</v>
      </c>
      <c r="Q49" s="103">
        <v>0.24774426138332872</v>
      </c>
      <c r="R49" s="103"/>
      <c r="S49" s="103"/>
    </row>
    <row r="50" spans="3:19" x14ac:dyDescent="0.25">
      <c r="C50" t="s">
        <v>209</v>
      </c>
      <c r="E50" s="103">
        <v>0.65773433515936719</v>
      </c>
      <c r="F50" s="103">
        <v>0.59145068206043516</v>
      </c>
      <c r="G50" s="103">
        <v>0.54154415913290266</v>
      </c>
      <c r="H50" s="103">
        <v>0.58705277985684023</v>
      </c>
      <c r="I50" s="103">
        <v>0.53253124390604656</v>
      </c>
      <c r="J50" s="103">
        <v>0.42848318129307433</v>
      </c>
      <c r="K50" s="103">
        <v>0.44177594728450331</v>
      </c>
      <c r="L50" s="103">
        <v>0.30276582510373973</v>
      </c>
      <c r="M50" s="103">
        <v>0.5173841758063189</v>
      </c>
      <c r="N50" s="103">
        <v>0.39163865039086154</v>
      </c>
      <c r="O50" s="103">
        <v>0.53035067057618213</v>
      </c>
      <c r="P50" s="103">
        <v>0.37943833526493553</v>
      </c>
      <c r="Q50" s="103">
        <v>0.4042304765426018</v>
      </c>
      <c r="R50" s="103"/>
      <c r="S50" s="103"/>
    </row>
    <row r="51" spans="3:19" x14ac:dyDescent="0.25">
      <c r="C51" t="s">
        <v>198</v>
      </c>
      <c r="E51" s="103">
        <v>8.3651616024606357E-2</v>
      </c>
      <c r="F51" s="103">
        <v>8.0366683585277723E-2</v>
      </c>
      <c r="G51" s="103">
        <v>0.10324684926164186</v>
      </c>
      <c r="H51" s="103">
        <v>6.4390076527673271E-2</v>
      </c>
      <c r="I51" s="103">
        <v>0.10869914350824957</v>
      </c>
      <c r="J51" s="103">
        <v>8.8122768307988958E-2</v>
      </c>
      <c r="K51" s="103">
        <v>6.3280442276378704E-2</v>
      </c>
      <c r="L51" s="103">
        <v>0.13892519661557076</v>
      </c>
      <c r="M51" s="103">
        <v>0.18304061099299904</v>
      </c>
      <c r="N51" s="103">
        <v>0.12069061237362054</v>
      </c>
      <c r="O51" s="103">
        <v>0.10614393469017384</v>
      </c>
      <c r="P51" s="103">
        <v>0.15770207879627038</v>
      </c>
      <c r="Q51" s="103">
        <v>0.18060884078485262</v>
      </c>
      <c r="R51" s="103"/>
      <c r="S51" s="103"/>
    </row>
    <row r="52" spans="3:19" x14ac:dyDescent="0.25">
      <c r="C52" t="s">
        <v>210</v>
      </c>
      <c r="E52" s="103">
        <v>4.9618182785659971E-2</v>
      </c>
      <c r="F52" s="103">
        <v>5.218747081983121E-2</v>
      </c>
      <c r="G52" s="103">
        <v>5.536427574240909E-2</v>
      </c>
      <c r="H52" s="103">
        <v>4.5561885579403084E-2</v>
      </c>
      <c r="I52" s="103">
        <v>4.7415977239229953E-2</v>
      </c>
      <c r="J52" s="103">
        <v>4.4148956622847402E-2</v>
      </c>
      <c r="K52" s="103">
        <v>5.2210831503639768E-2</v>
      </c>
      <c r="L52" s="103">
        <v>3.9754262489242596E-2</v>
      </c>
      <c r="M52" s="103">
        <v>2.9876220168310572E-2</v>
      </c>
      <c r="N52" s="103">
        <v>3.631020986271407E-2</v>
      </c>
      <c r="O52" s="103">
        <v>3.6505505950079287E-2</v>
      </c>
      <c r="P52" s="103">
        <v>4.009833647218515E-2</v>
      </c>
      <c r="Q52" s="103">
        <v>4.6241383544090277E-2</v>
      </c>
      <c r="R52" s="103"/>
      <c r="S52" s="103"/>
    </row>
    <row r="53" spans="3:19" x14ac:dyDescent="0.25">
      <c r="E53" s="91"/>
      <c r="F53" s="91"/>
      <c r="G53" s="91"/>
      <c r="H53" s="91"/>
      <c r="I53" s="9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BBE6-3F70-4852-A1B8-014C323809B2}">
  <dimension ref="B1:AB112"/>
  <sheetViews>
    <sheetView topLeftCell="A20" zoomScale="70" zoomScaleNormal="70" workbookViewId="0">
      <pane xSplit="2" topLeftCell="C1" activePane="topRight" state="frozen"/>
      <selection activeCell="Z60" sqref="Z60"/>
      <selection pane="topRight" activeCell="AF78" sqref="AF78"/>
    </sheetView>
  </sheetViews>
  <sheetFormatPr defaultRowHeight="15" x14ac:dyDescent="0.25"/>
  <cols>
    <col min="2" max="2" width="13.85546875" bestFit="1" customWidth="1"/>
    <col min="3" max="8" width="10.5703125" style="91" bestFit="1" customWidth="1"/>
    <col min="9" max="9" width="10.5703125" bestFit="1" customWidth="1"/>
    <col min="10" max="10" width="10.140625" bestFit="1" customWidth="1"/>
    <col min="11" max="11" width="10.5703125" bestFit="1" customWidth="1"/>
    <col min="12" max="12" width="10.140625" bestFit="1" customWidth="1"/>
    <col min="13" max="15" width="10.5703125" bestFit="1" customWidth="1"/>
    <col min="16" max="16" width="10.140625" bestFit="1" customWidth="1"/>
    <col min="17" max="17" width="10.5703125" bestFit="1" customWidth="1"/>
    <col min="18" max="18" width="10.140625" bestFit="1" customWidth="1"/>
    <col min="19" max="21" width="10.5703125" customWidth="1"/>
    <col min="22" max="22" width="16.42578125" bestFit="1" customWidth="1"/>
    <col min="23" max="23" width="6.28515625" bestFit="1" customWidth="1"/>
    <col min="24" max="24" width="12" bestFit="1" customWidth="1"/>
    <col min="26" max="26" width="7.42578125" bestFit="1" customWidth="1"/>
    <col min="27" max="27" width="5.140625" bestFit="1" customWidth="1"/>
    <col min="28" max="28" width="13.85546875" bestFit="1" customWidth="1"/>
  </cols>
  <sheetData>
    <row r="1" spans="2:28" x14ac:dyDescent="0.25">
      <c r="C1"/>
      <c r="D1"/>
      <c r="E1"/>
      <c r="F1"/>
      <c r="G1"/>
      <c r="H1"/>
      <c r="V1">
        <v>1</v>
      </c>
    </row>
    <row r="2" spans="2:28" x14ac:dyDescent="0.25">
      <c r="B2" s="10" t="s">
        <v>62</v>
      </c>
      <c r="C2" s="10" t="s">
        <v>181</v>
      </c>
      <c r="D2" s="10" t="s">
        <v>182</v>
      </c>
      <c r="E2" s="10" t="s">
        <v>213</v>
      </c>
      <c r="F2" s="10" t="s">
        <v>202</v>
      </c>
      <c r="G2" s="10" t="s">
        <v>184</v>
      </c>
      <c r="H2" s="10" t="s">
        <v>214</v>
      </c>
      <c r="I2" s="9" t="s">
        <v>215</v>
      </c>
      <c r="J2" s="9" t="s">
        <v>188</v>
      </c>
      <c r="K2" s="9" t="s">
        <v>205</v>
      </c>
      <c r="L2" s="9" t="s">
        <v>190</v>
      </c>
      <c r="M2" s="9" t="s">
        <v>191</v>
      </c>
      <c r="N2" s="9" t="s">
        <v>192</v>
      </c>
      <c r="O2" s="365" t="s">
        <v>193</v>
      </c>
      <c r="P2" s="365" t="s">
        <v>194</v>
      </c>
      <c r="Q2" s="365" t="s">
        <v>195</v>
      </c>
      <c r="R2" s="365" t="s">
        <v>236</v>
      </c>
      <c r="S2" s="365"/>
      <c r="T2" s="365"/>
      <c r="U2" s="365"/>
      <c r="V2" s="9" t="s">
        <v>216</v>
      </c>
    </row>
    <row r="3" spans="2:28" ht="15.75" x14ac:dyDescent="0.25">
      <c r="B3" s="11" t="s">
        <v>2</v>
      </c>
      <c r="C3" s="236">
        <v>4697.08</v>
      </c>
      <c r="D3" s="236">
        <v>5734.33</v>
      </c>
      <c r="E3" s="236">
        <v>3082.76</v>
      </c>
      <c r="F3" s="237">
        <v>2907.44</v>
      </c>
      <c r="G3" s="237">
        <v>4753.3900000000003</v>
      </c>
      <c r="H3" s="237">
        <v>1359.13</v>
      </c>
      <c r="I3" s="237">
        <v>3470.4199999999996</v>
      </c>
      <c r="J3" s="237">
        <v>1349.8600000000001</v>
      </c>
      <c r="K3" s="237">
        <v>3948.41</v>
      </c>
      <c r="L3" s="237">
        <v>8289.1899999999987</v>
      </c>
      <c r="M3" s="237">
        <v>6599</v>
      </c>
      <c r="N3" s="237">
        <v>4056</v>
      </c>
      <c r="O3" s="237">
        <v>2612</v>
      </c>
      <c r="P3" s="237">
        <v>4387.67</v>
      </c>
      <c r="Q3" s="237">
        <v>4450</v>
      </c>
      <c r="R3" s="237">
        <v>5277.51</v>
      </c>
      <c r="S3" s="237"/>
      <c r="T3" s="237"/>
      <c r="U3" s="237"/>
      <c r="V3" t="s">
        <v>119</v>
      </c>
      <c r="W3">
        <v>682</v>
      </c>
      <c r="Z3" s="157" t="s">
        <v>2</v>
      </c>
      <c r="AA3" s="166">
        <v>42</v>
      </c>
      <c r="AB3" s="175" t="s">
        <v>119</v>
      </c>
    </row>
    <row r="4" spans="2:28" ht="15.75" x14ac:dyDescent="0.25">
      <c r="B4" s="11" t="s">
        <v>3</v>
      </c>
      <c r="C4" s="236">
        <v>31216.78</v>
      </c>
      <c r="D4" s="236">
        <v>37027.949999999997</v>
      </c>
      <c r="E4" s="236">
        <v>37402.33</v>
      </c>
      <c r="F4" s="237">
        <v>34664.04</v>
      </c>
      <c r="G4" s="237">
        <v>51252.470000000008</v>
      </c>
      <c r="H4" s="237">
        <v>32171.559999999998</v>
      </c>
      <c r="I4" s="237">
        <v>33359.5</v>
      </c>
      <c r="J4" s="237">
        <v>35614.57</v>
      </c>
      <c r="K4" s="237">
        <v>28934.680000000004</v>
      </c>
      <c r="L4" s="237">
        <v>34394.529999999992</v>
      </c>
      <c r="M4" s="237">
        <v>35713</v>
      </c>
      <c r="N4" s="237">
        <v>48747</v>
      </c>
      <c r="O4" s="237">
        <v>39142</v>
      </c>
      <c r="P4" s="237">
        <v>40159.969999999994</v>
      </c>
      <c r="Q4" s="237">
        <v>47791</v>
      </c>
      <c r="R4" s="237">
        <v>1587.3299999999995</v>
      </c>
      <c r="S4" s="237"/>
      <c r="T4" s="237"/>
      <c r="U4" s="237"/>
      <c r="V4" t="s">
        <v>141</v>
      </c>
      <c r="W4">
        <v>1625</v>
      </c>
      <c r="Z4" s="157" t="s">
        <v>3</v>
      </c>
      <c r="AA4" s="166">
        <v>235</v>
      </c>
      <c r="AB4" s="175" t="s">
        <v>119</v>
      </c>
    </row>
    <row r="5" spans="2:28" ht="15.75" x14ac:dyDescent="0.25">
      <c r="B5" s="11" t="s">
        <v>4</v>
      </c>
      <c r="C5" s="236">
        <v>45892.85</v>
      </c>
      <c r="D5" s="236">
        <v>26926.59</v>
      </c>
      <c r="E5" s="236">
        <v>29791.93</v>
      </c>
      <c r="F5" s="237">
        <v>33569.68</v>
      </c>
      <c r="G5" s="237">
        <v>68984.460000000006</v>
      </c>
      <c r="H5" s="237">
        <v>51908.580000000009</v>
      </c>
      <c r="I5" s="237">
        <v>33959.000000000007</v>
      </c>
      <c r="J5" s="237">
        <v>44595.26</v>
      </c>
      <c r="K5" s="237">
        <v>41911.180000000008</v>
      </c>
      <c r="L5" s="237">
        <v>66293.290000000008</v>
      </c>
      <c r="M5" s="237">
        <v>42893</v>
      </c>
      <c r="N5" s="237">
        <v>60629</v>
      </c>
      <c r="O5" s="237">
        <v>38539</v>
      </c>
      <c r="P5" s="237">
        <v>59954.73</v>
      </c>
      <c r="Q5" s="237">
        <v>40109</v>
      </c>
      <c r="R5" s="237">
        <v>46080.4</v>
      </c>
      <c r="S5" s="237"/>
      <c r="T5" s="237"/>
      <c r="U5" s="237"/>
      <c r="V5" t="s">
        <v>142</v>
      </c>
      <c r="W5">
        <v>361</v>
      </c>
      <c r="Z5" s="157" t="s">
        <v>4</v>
      </c>
      <c r="AA5" s="166">
        <v>289</v>
      </c>
      <c r="AB5" s="175" t="s">
        <v>119</v>
      </c>
    </row>
    <row r="6" spans="2:28" ht="15.75" x14ac:dyDescent="0.25">
      <c r="B6" s="11" t="s">
        <v>5</v>
      </c>
      <c r="C6" s="236">
        <v>6643.67</v>
      </c>
      <c r="D6" s="236">
        <v>2121.69</v>
      </c>
      <c r="E6" s="236">
        <v>996.72</v>
      </c>
      <c r="F6" s="237">
        <v>3433.25</v>
      </c>
      <c r="G6" s="237">
        <v>3127.01</v>
      </c>
      <c r="H6" s="237">
        <v>2495.98</v>
      </c>
      <c r="I6" s="237">
        <v>-447.19999999999993</v>
      </c>
      <c r="J6" s="237">
        <v>2135.0200000000004</v>
      </c>
      <c r="K6" s="237">
        <v>2131.44</v>
      </c>
      <c r="L6" s="237">
        <v>2639.1400000000003</v>
      </c>
      <c r="M6" s="237">
        <v>2835</v>
      </c>
      <c r="N6" s="237">
        <v>3512</v>
      </c>
      <c r="O6" s="237">
        <v>3807</v>
      </c>
      <c r="P6" s="237">
        <v>2258.2100000000005</v>
      </c>
      <c r="Q6" s="237">
        <v>3996</v>
      </c>
      <c r="R6" s="237">
        <v>7483.2300000000005</v>
      </c>
      <c r="S6" s="237"/>
      <c r="T6" s="237"/>
      <c r="U6" s="237"/>
      <c r="V6" t="s">
        <v>217</v>
      </c>
      <c r="W6">
        <v>1294</v>
      </c>
      <c r="Z6" s="157" t="s">
        <v>12</v>
      </c>
      <c r="AA6" s="166">
        <v>367</v>
      </c>
      <c r="AB6" t="s">
        <v>141</v>
      </c>
    </row>
    <row r="7" spans="2:28" ht="15.75" x14ac:dyDescent="0.25">
      <c r="B7" s="11" t="s">
        <v>6</v>
      </c>
      <c r="C7" s="236">
        <v>7948.45</v>
      </c>
      <c r="D7" s="236">
        <v>9861.75</v>
      </c>
      <c r="E7" s="236">
        <v>10384.790000000001</v>
      </c>
      <c r="F7" s="237">
        <v>8713.8199999999979</v>
      </c>
      <c r="G7" s="237">
        <v>11293.93</v>
      </c>
      <c r="H7" s="237">
        <v>6350.6399999999994</v>
      </c>
      <c r="I7" s="237">
        <v>6586.75</v>
      </c>
      <c r="J7" s="237">
        <v>11199.999999999998</v>
      </c>
      <c r="K7" s="237">
        <v>8103.130000000001</v>
      </c>
      <c r="L7" s="237">
        <v>5376.4000000000005</v>
      </c>
      <c r="M7" s="237">
        <v>10267</v>
      </c>
      <c r="N7" s="237">
        <v>13925</v>
      </c>
      <c r="O7" s="237">
        <v>7100</v>
      </c>
      <c r="P7" s="237">
        <v>3438.31</v>
      </c>
      <c r="Q7" s="237">
        <v>7548</v>
      </c>
      <c r="R7" s="237">
        <v>11149.25</v>
      </c>
      <c r="S7" s="237"/>
      <c r="T7" s="237"/>
      <c r="U7" s="237"/>
      <c r="V7" t="s">
        <v>144</v>
      </c>
      <c r="W7">
        <v>974</v>
      </c>
      <c r="Z7" s="158" t="s">
        <v>5</v>
      </c>
      <c r="AA7" s="167">
        <v>26</v>
      </c>
      <c r="AB7" s="175" t="s">
        <v>119</v>
      </c>
    </row>
    <row r="8" spans="2:28" ht="15.75" x14ac:dyDescent="0.25">
      <c r="B8" s="11" t="s">
        <v>241</v>
      </c>
      <c r="C8" s="236"/>
      <c r="D8" s="236"/>
      <c r="E8" s="236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>
        <v>27854.83</v>
      </c>
      <c r="S8" s="237"/>
      <c r="T8" s="237"/>
      <c r="U8" s="237"/>
      <c r="V8" t="s">
        <v>145</v>
      </c>
      <c r="W8">
        <v>1310</v>
      </c>
      <c r="Z8" s="158" t="s">
        <v>243</v>
      </c>
      <c r="AA8" s="167"/>
      <c r="AB8" s="436"/>
    </row>
    <row r="9" spans="2:28" ht="15.75" x14ac:dyDescent="0.25">
      <c r="B9" s="11" t="s">
        <v>242</v>
      </c>
      <c r="C9" s="236"/>
      <c r="D9" s="236"/>
      <c r="E9" s="236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>
        <v>0</v>
      </c>
      <c r="S9" s="237"/>
      <c r="T9" s="237"/>
      <c r="U9" s="237"/>
      <c r="V9" t="s">
        <v>121</v>
      </c>
      <c r="W9">
        <v>2078</v>
      </c>
      <c r="Z9" s="158" t="s">
        <v>242</v>
      </c>
      <c r="AA9" s="167"/>
      <c r="AB9" s="436"/>
    </row>
    <row r="10" spans="2:28" ht="15.75" x14ac:dyDescent="0.25">
      <c r="B10" s="238" t="s">
        <v>7</v>
      </c>
      <c r="C10" s="239">
        <v>3467.86</v>
      </c>
      <c r="D10" s="239">
        <v>612.87</v>
      </c>
      <c r="E10" s="239">
        <v>1673.3</v>
      </c>
      <c r="F10" s="240">
        <v>1931.23</v>
      </c>
      <c r="G10" s="240">
        <v>1973.6699999999998</v>
      </c>
      <c r="H10" s="240">
        <v>1590.94</v>
      </c>
      <c r="I10" s="240">
        <v>1904.1499999999999</v>
      </c>
      <c r="J10" s="240">
        <v>1969.5500000000002</v>
      </c>
      <c r="K10" s="240">
        <v>942.57</v>
      </c>
      <c r="L10" s="240">
        <v>7761.53</v>
      </c>
      <c r="M10" s="240">
        <v>-3</v>
      </c>
      <c r="N10" s="240">
        <v>4666</v>
      </c>
      <c r="O10" s="345">
        <v>2715</v>
      </c>
      <c r="P10" s="345">
        <v>-624.66</v>
      </c>
      <c r="Q10" s="345">
        <v>5110</v>
      </c>
      <c r="R10" s="345">
        <v>2499.8300000000004</v>
      </c>
      <c r="S10" s="345"/>
      <c r="T10" s="237"/>
      <c r="U10" s="237"/>
      <c r="V10" t="s">
        <v>218</v>
      </c>
      <c r="W10">
        <v>1491</v>
      </c>
      <c r="Z10" s="158" t="s">
        <v>8</v>
      </c>
      <c r="AA10" s="167">
        <v>206</v>
      </c>
      <c r="AB10" t="s">
        <v>141</v>
      </c>
    </row>
    <row r="11" spans="2:28" ht="15.75" x14ac:dyDescent="0.25">
      <c r="B11" s="11" t="s">
        <v>8</v>
      </c>
      <c r="C11" s="236">
        <v>28933.24</v>
      </c>
      <c r="D11" s="236">
        <v>32505.42</v>
      </c>
      <c r="E11" s="236">
        <v>32935.31</v>
      </c>
      <c r="F11" s="237">
        <v>23220.9</v>
      </c>
      <c r="G11" s="237">
        <v>19996.689999999999</v>
      </c>
      <c r="H11" s="237">
        <v>31012.759999999995</v>
      </c>
      <c r="I11" s="237">
        <v>24726.650000000005</v>
      </c>
      <c r="J11" s="237">
        <v>15315.110000000004</v>
      </c>
      <c r="K11" s="237">
        <v>21509.250000000004</v>
      </c>
      <c r="L11" s="237">
        <v>22271.67</v>
      </c>
      <c r="M11" s="237">
        <v>32374</v>
      </c>
      <c r="N11" s="237">
        <v>33943</v>
      </c>
      <c r="O11" s="237">
        <v>15865</v>
      </c>
      <c r="P11" s="237">
        <v>17964.740000000002</v>
      </c>
      <c r="Q11" s="237">
        <v>29239.710000000006</v>
      </c>
      <c r="R11" s="237">
        <v>33757.069999999992</v>
      </c>
      <c r="S11" s="237"/>
      <c r="T11" s="237"/>
      <c r="U11" s="237"/>
      <c r="V11" s="89"/>
      <c r="Z11" s="158" t="s">
        <v>9</v>
      </c>
      <c r="AA11" s="167">
        <v>349</v>
      </c>
      <c r="AB11" t="s">
        <v>141</v>
      </c>
    </row>
    <row r="12" spans="2:28" ht="15.75" x14ac:dyDescent="0.25">
      <c r="B12" s="11" t="s">
        <v>9</v>
      </c>
      <c r="C12" s="236">
        <v>42929.67</v>
      </c>
      <c r="D12" s="236">
        <v>30770.74</v>
      </c>
      <c r="E12" s="236">
        <v>45212.81</v>
      </c>
      <c r="F12" s="237">
        <v>40361.919999999998</v>
      </c>
      <c r="G12" s="237">
        <v>46884.149999999994</v>
      </c>
      <c r="H12" s="237">
        <v>51646.540000000008</v>
      </c>
      <c r="I12" s="237">
        <v>50862.930000000008</v>
      </c>
      <c r="J12" s="237">
        <v>39924.79</v>
      </c>
      <c r="K12" s="237">
        <v>42725.670000000006</v>
      </c>
      <c r="L12" s="237">
        <v>41279.250000000015</v>
      </c>
      <c r="M12" s="237">
        <v>48281</v>
      </c>
      <c r="N12" s="237">
        <v>64046</v>
      </c>
      <c r="O12" s="237">
        <v>32600</v>
      </c>
      <c r="P12" s="237">
        <v>31392.9</v>
      </c>
      <c r="Q12" s="237">
        <v>61416.9</v>
      </c>
      <c r="R12" s="237">
        <v>33806.979999999996</v>
      </c>
      <c r="S12" s="237"/>
      <c r="T12" s="237"/>
      <c r="U12" s="237"/>
      <c r="V12" s="103"/>
      <c r="Z12" s="158" t="s">
        <v>10</v>
      </c>
      <c r="AA12" s="167">
        <v>608</v>
      </c>
      <c r="AB12" t="s">
        <v>141</v>
      </c>
    </row>
    <row r="13" spans="2:28" ht="15.75" x14ac:dyDescent="0.25">
      <c r="B13" s="11" t="s">
        <v>10</v>
      </c>
      <c r="C13" s="236">
        <v>84076.29</v>
      </c>
      <c r="D13" s="236">
        <v>49046.2</v>
      </c>
      <c r="E13" s="236">
        <v>73152.539999999979</v>
      </c>
      <c r="F13" s="237">
        <v>58959.040000000001</v>
      </c>
      <c r="G13" s="237">
        <v>70949.450000000012</v>
      </c>
      <c r="H13" s="237">
        <v>69861.83</v>
      </c>
      <c r="I13" s="237">
        <v>74734.319999999978</v>
      </c>
      <c r="J13" s="237">
        <v>63433.850000000013</v>
      </c>
      <c r="K13" s="237">
        <v>70218.75</v>
      </c>
      <c r="L13" s="237">
        <v>66887.23</v>
      </c>
      <c r="M13" s="237">
        <v>83005</v>
      </c>
      <c r="N13" s="237">
        <v>87605</v>
      </c>
      <c r="O13" s="237">
        <v>64571</v>
      </c>
      <c r="P13" s="237">
        <v>62672.049999999996</v>
      </c>
      <c r="Q13" s="237">
        <v>101205.34000000003</v>
      </c>
      <c r="R13" s="237">
        <v>49977.430000000008</v>
      </c>
      <c r="S13" s="237"/>
      <c r="T13" s="237"/>
      <c r="U13" s="237"/>
      <c r="V13" s="89"/>
      <c r="Z13" s="158" t="s">
        <v>11</v>
      </c>
      <c r="AA13" s="167">
        <v>95</v>
      </c>
      <c r="AB13" t="s">
        <v>141</v>
      </c>
    </row>
    <row r="14" spans="2:28" ht="15.75" x14ac:dyDescent="0.25">
      <c r="B14" s="11" t="s">
        <v>114</v>
      </c>
      <c r="C14" s="236">
        <v>9544.07</v>
      </c>
      <c r="D14" s="236">
        <v>4370.8999999999996</v>
      </c>
      <c r="E14" s="236">
        <v>16131.260000000002</v>
      </c>
      <c r="F14" s="237">
        <v>13957.490000000002</v>
      </c>
      <c r="G14" s="237">
        <v>10863.439999999999</v>
      </c>
      <c r="H14" s="237">
        <v>20550.899999999998</v>
      </c>
      <c r="I14" s="237">
        <v>10507.17</v>
      </c>
      <c r="J14" s="237">
        <v>9733.1299999999992</v>
      </c>
      <c r="K14" s="237">
        <v>12404.77</v>
      </c>
      <c r="L14" s="237">
        <v>18914.939999999999</v>
      </c>
      <c r="M14" s="237">
        <v>13747</v>
      </c>
      <c r="N14" s="237">
        <v>13459</v>
      </c>
      <c r="O14" s="237">
        <v>17958</v>
      </c>
      <c r="P14" s="237">
        <v>7648.7300000000005</v>
      </c>
      <c r="Q14" s="237">
        <v>5719.8300000000008</v>
      </c>
      <c r="R14" s="237">
        <v>7829.880000000001</v>
      </c>
      <c r="S14" s="237"/>
      <c r="T14" s="237"/>
      <c r="U14" s="237"/>
      <c r="V14" s="89"/>
      <c r="Z14" s="159" t="s">
        <v>18</v>
      </c>
      <c r="AA14" s="168">
        <v>165</v>
      </c>
      <c r="AB14" t="s">
        <v>217</v>
      </c>
    </row>
    <row r="15" spans="2:28" ht="15.75" x14ac:dyDescent="0.25">
      <c r="B15" s="238" t="s">
        <v>12</v>
      </c>
      <c r="C15" s="239">
        <v>39819.87000000001</v>
      </c>
      <c r="D15" s="239">
        <v>24111.109999999997</v>
      </c>
      <c r="E15" s="239">
        <v>46690.899999999994</v>
      </c>
      <c r="F15" s="240">
        <v>42770.65</v>
      </c>
      <c r="G15" s="240">
        <v>37170.18</v>
      </c>
      <c r="H15" s="240">
        <v>52812.239999999991</v>
      </c>
      <c r="I15" s="240">
        <v>43595.249999999993</v>
      </c>
      <c r="J15" s="240">
        <v>39745.07</v>
      </c>
      <c r="K15" s="345">
        <v>33909.740000000005</v>
      </c>
      <c r="L15" s="345">
        <v>30823.829999999998</v>
      </c>
      <c r="M15" s="345">
        <v>52505</v>
      </c>
      <c r="N15" s="240">
        <v>48284</v>
      </c>
      <c r="O15" s="345">
        <v>32411</v>
      </c>
      <c r="P15" s="345">
        <v>44173.5</v>
      </c>
      <c r="Q15" s="345">
        <v>56515.16</v>
      </c>
      <c r="R15" s="345">
        <v>49847.8</v>
      </c>
      <c r="S15" s="345"/>
      <c r="T15" s="237"/>
      <c r="U15" s="237"/>
      <c r="V15" s="89"/>
      <c r="Z15" s="159" t="s">
        <v>19</v>
      </c>
      <c r="AA15" s="168">
        <v>159</v>
      </c>
      <c r="AB15" t="s">
        <v>217</v>
      </c>
    </row>
    <row r="16" spans="2:28" ht="15.75" x14ac:dyDescent="0.25">
      <c r="B16" s="11" t="s">
        <v>13</v>
      </c>
      <c r="C16" s="236">
        <v>11397.230000000001</v>
      </c>
      <c r="D16" s="236">
        <v>9518.51</v>
      </c>
      <c r="E16" s="236">
        <v>12510.5</v>
      </c>
      <c r="F16" s="237">
        <v>17695.07</v>
      </c>
      <c r="G16" s="237">
        <v>12658.78</v>
      </c>
      <c r="H16" s="237">
        <v>12764.69</v>
      </c>
      <c r="I16" s="237">
        <v>10301.199999999999</v>
      </c>
      <c r="J16" s="237">
        <v>7866.1400000000021</v>
      </c>
      <c r="K16" s="237">
        <v>8050.95</v>
      </c>
      <c r="L16" s="237">
        <v>10684.329999999998</v>
      </c>
      <c r="M16" s="237">
        <v>8962</v>
      </c>
      <c r="N16" s="237">
        <v>17818</v>
      </c>
      <c r="O16" s="237">
        <v>5461</v>
      </c>
      <c r="P16" s="237">
        <v>11630.88</v>
      </c>
      <c r="Q16" s="237">
        <v>19661.649999999998</v>
      </c>
      <c r="R16" s="237">
        <v>5161.99</v>
      </c>
      <c r="S16" s="237"/>
      <c r="T16" s="433"/>
      <c r="U16" s="237"/>
      <c r="V16" s="89"/>
      <c r="W16" s="89"/>
      <c r="Z16" s="159" t="s">
        <v>20</v>
      </c>
      <c r="AA16" s="168">
        <v>210</v>
      </c>
      <c r="AB16" t="s">
        <v>217</v>
      </c>
    </row>
    <row r="17" spans="2:28" ht="15.75" x14ac:dyDescent="0.25">
      <c r="B17" s="11" t="s">
        <v>14</v>
      </c>
      <c r="C17" s="236">
        <v>2707.01</v>
      </c>
      <c r="D17" s="236">
        <v>4101.5600000000004</v>
      </c>
      <c r="E17" s="236">
        <v>4293.88</v>
      </c>
      <c r="F17" s="237">
        <v>3773.7800000000007</v>
      </c>
      <c r="G17" s="237">
        <v>4111.57</v>
      </c>
      <c r="H17" s="237">
        <v>4095.99</v>
      </c>
      <c r="I17" s="237">
        <v>4607.7</v>
      </c>
      <c r="J17" s="237">
        <v>4622.9399999999987</v>
      </c>
      <c r="K17" s="237">
        <v>4028.9400000000005</v>
      </c>
      <c r="L17" s="237">
        <v>1482.97</v>
      </c>
      <c r="M17" s="237">
        <v>10724</v>
      </c>
      <c r="N17" s="237">
        <v>5821</v>
      </c>
      <c r="O17" s="237">
        <v>4116</v>
      </c>
      <c r="P17" s="237">
        <v>3498.1000000000004</v>
      </c>
      <c r="Q17" s="237">
        <v>11482.320000000002</v>
      </c>
      <c r="R17" s="237">
        <v>4084.48</v>
      </c>
      <c r="S17" s="237"/>
      <c r="T17" s="237"/>
      <c r="U17" s="237"/>
      <c r="V17" s="89"/>
      <c r="Z17" s="159" t="s">
        <v>21</v>
      </c>
      <c r="AA17" s="168">
        <v>264</v>
      </c>
      <c r="AB17" t="s">
        <v>217</v>
      </c>
    </row>
    <row r="18" spans="2:28" ht="15.75" x14ac:dyDescent="0.25">
      <c r="B18" s="11" t="s">
        <v>15</v>
      </c>
      <c r="C18" s="236">
        <v>5010.6999999999989</v>
      </c>
      <c r="D18" s="236">
        <v>4972.6099999999997</v>
      </c>
      <c r="E18" s="236">
        <v>6232.7300000000005</v>
      </c>
      <c r="F18" s="237">
        <v>2623.02</v>
      </c>
      <c r="G18" s="237">
        <v>5024.1399999999994</v>
      </c>
      <c r="H18" s="237">
        <v>3500.9500000000003</v>
      </c>
      <c r="I18" s="237">
        <v>4331.33</v>
      </c>
      <c r="J18" s="237">
        <v>3344.76</v>
      </c>
      <c r="K18" s="237">
        <v>4334.0199999999995</v>
      </c>
      <c r="L18" s="237">
        <v>1306.32</v>
      </c>
      <c r="M18" s="237">
        <v>2443</v>
      </c>
      <c r="N18" s="237">
        <v>6844</v>
      </c>
      <c r="O18" s="237">
        <v>5263</v>
      </c>
      <c r="P18" s="237">
        <v>7833.5</v>
      </c>
      <c r="Q18" s="237">
        <v>5414.43</v>
      </c>
      <c r="R18" s="237">
        <v>10284.379999999999</v>
      </c>
      <c r="S18" s="237"/>
      <c r="T18" s="237"/>
      <c r="U18" s="237"/>
      <c r="V18" s="89"/>
      <c r="W18" s="103"/>
      <c r="Z18" s="159" t="s">
        <v>22</v>
      </c>
      <c r="AA18" s="168">
        <v>141</v>
      </c>
      <c r="AB18" t="s">
        <v>217</v>
      </c>
    </row>
    <row r="19" spans="2:28" ht="15.75" x14ac:dyDescent="0.25">
      <c r="B19" s="11" t="s">
        <v>16</v>
      </c>
      <c r="C19" s="236">
        <v>10381.590000000004</v>
      </c>
      <c r="D19" s="236">
        <v>19468.7</v>
      </c>
      <c r="E19" s="236">
        <v>10954.929999999998</v>
      </c>
      <c r="F19" s="237">
        <v>10375.570000000002</v>
      </c>
      <c r="G19" s="237">
        <v>13474.310000000003</v>
      </c>
      <c r="H19" s="237">
        <v>14574.34</v>
      </c>
      <c r="I19" s="237">
        <v>12606.960000000001</v>
      </c>
      <c r="J19" s="237">
        <v>15902.959999999997</v>
      </c>
      <c r="K19" s="237">
        <v>6291.1600000000008</v>
      </c>
      <c r="L19" s="237">
        <v>12191.519999999999</v>
      </c>
      <c r="M19" s="237">
        <v>15627</v>
      </c>
      <c r="N19" s="237">
        <v>12592</v>
      </c>
      <c r="O19" s="237">
        <v>16288</v>
      </c>
      <c r="P19" s="237">
        <v>15939.160000000005</v>
      </c>
      <c r="Q19" s="237">
        <v>27547.769999999993</v>
      </c>
      <c r="R19" s="237">
        <v>18269.779999999995</v>
      </c>
      <c r="S19" s="237"/>
      <c r="T19" s="433"/>
      <c r="U19" s="237"/>
      <c r="V19" s="89"/>
      <c r="Z19" s="159" t="s">
        <v>23</v>
      </c>
      <c r="AA19" s="168">
        <v>155</v>
      </c>
      <c r="AB19" t="s">
        <v>217</v>
      </c>
    </row>
    <row r="20" spans="2:28" ht="15.75" x14ac:dyDescent="0.25">
      <c r="B20" s="238" t="s">
        <v>17</v>
      </c>
      <c r="C20" s="239">
        <v>39.479999999999997</v>
      </c>
      <c r="D20" s="239">
        <v>224.4</v>
      </c>
      <c r="E20" s="239">
        <v>60.04999999999999</v>
      </c>
      <c r="F20" s="240">
        <v>65.47999999999999</v>
      </c>
      <c r="G20" s="240">
        <v>19.060000000000002</v>
      </c>
      <c r="H20" s="240">
        <v>34.18</v>
      </c>
      <c r="I20" s="240">
        <v>897.33</v>
      </c>
      <c r="J20" s="240">
        <v>612.90000000000009</v>
      </c>
      <c r="K20" s="345">
        <v>162.4</v>
      </c>
      <c r="L20" s="345">
        <v>12.97</v>
      </c>
      <c r="M20" s="240">
        <v>58</v>
      </c>
      <c r="N20" s="240">
        <v>718</v>
      </c>
      <c r="O20" s="345">
        <v>2103</v>
      </c>
      <c r="P20" s="345">
        <v>1766.16</v>
      </c>
      <c r="Q20" s="345">
        <v>1309.3299999999997</v>
      </c>
      <c r="R20" s="345">
        <v>310.12999999999994</v>
      </c>
      <c r="S20" s="345"/>
      <c r="T20" s="237"/>
      <c r="U20" s="237"/>
      <c r="V20" s="89"/>
      <c r="Z20" s="159" t="s">
        <v>24</v>
      </c>
      <c r="AA20" s="168">
        <v>200</v>
      </c>
      <c r="AB20" t="s">
        <v>217</v>
      </c>
    </row>
    <row r="21" spans="2:28" ht="15.75" x14ac:dyDescent="0.25">
      <c r="B21" s="11" t="s">
        <v>18</v>
      </c>
      <c r="C21" s="236">
        <v>50210.999999999985</v>
      </c>
      <c r="D21" s="236">
        <v>35146.25</v>
      </c>
      <c r="E21" s="236">
        <v>27223.260000000002</v>
      </c>
      <c r="F21" s="237">
        <v>24266.649999999994</v>
      </c>
      <c r="G21" s="237">
        <v>22005.33</v>
      </c>
      <c r="H21" s="237">
        <v>9665.84</v>
      </c>
      <c r="I21" s="237">
        <v>15263.89</v>
      </c>
      <c r="J21" s="237">
        <v>15724.329999999998</v>
      </c>
      <c r="K21" s="237">
        <v>16588.93</v>
      </c>
      <c r="L21" s="237">
        <v>19629.000000000004</v>
      </c>
      <c r="M21" s="237">
        <v>13224</v>
      </c>
      <c r="N21" s="237">
        <v>21942</v>
      </c>
      <c r="O21" s="237">
        <v>23070.409999999996</v>
      </c>
      <c r="P21" s="237">
        <v>21224</v>
      </c>
      <c r="Q21" s="237">
        <v>18611.770000000004</v>
      </c>
      <c r="R21" s="237">
        <v>18566.96</v>
      </c>
      <c r="S21" s="237"/>
      <c r="T21" s="237"/>
      <c r="U21" s="237"/>
      <c r="V21" s="12"/>
      <c r="W21" s="103"/>
      <c r="Z21" s="159" t="s">
        <v>6</v>
      </c>
      <c r="AA21" s="168">
        <v>71</v>
      </c>
      <c r="AB21" s="176" t="s">
        <v>119</v>
      </c>
    </row>
    <row r="22" spans="2:28" x14ac:dyDescent="0.25">
      <c r="B22" s="11" t="s">
        <v>19</v>
      </c>
      <c r="C22" s="236">
        <v>41854.560000000005</v>
      </c>
      <c r="D22" s="236">
        <v>29399.170000000006</v>
      </c>
      <c r="E22" s="236">
        <v>31614.92</v>
      </c>
      <c r="F22" s="237">
        <v>25841.18</v>
      </c>
      <c r="G22" s="237">
        <v>19469.620000000003</v>
      </c>
      <c r="H22" s="237">
        <v>14652.49</v>
      </c>
      <c r="I22" s="237">
        <v>14195.800000000001</v>
      </c>
      <c r="J22" s="237">
        <v>40212.200000000012</v>
      </c>
      <c r="K22" s="237">
        <v>27872.61</v>
      </c>
      <c r="L22" s="237">
        <v>17326.380000000005</v>
      </c>
      <c r="M22" s="237">
        <v>13154</v>
      </c>
      <c r="N22" s="237">
        <v>15412</v>
      </c>
      <c r="O22" s="237">
        <v>28050.6</v>
      </c>
      <c r="P22" s="237">
        <v>25656</v>
      </c>
      <c r="Q22" s="237">
        <v>20400.350000000002</v>
      </c>
      <c r="R22" s="237">
        <v>21303.61</v>
      </c>
      <c r="S22" s="237"/>
      <c r="T22" s="237"/>
      <c r="U22" s="237"/>
      <c r="V22" s="12"/>
      <c r="W22" s="103"/>
      <c r="Z22" s="160" t="s">
        <v>31</v>
      </c>
      <c r="AA22" s="169">
        <v>4</v>
      </c>
      <c r="AB22" t="s">
        <v>144</v>
      </c>
    </row>
    <row r="23" spans="2:28" x14ac:dyDescent="0.25">
      <c r="B23" s="11" t="s">
        <v>20</v>
      </c>
      <c r="C23" s="236">
        <v>25961.96</v>
      </c>
      <c r="D23" s="236">
        <v>20949.32</v>
      </c>
      <c r="E23" s="236">
        <v>26220.289999999997</v>
      </c>
      <c r="F23" s="237">
        <v>15642.77</v>
      </c>
      <c r="G23" s="237">
        <v>12557.210000000001</v>
      </c>
      <c r="H23" s="237">
        <v>18823.310000000001</v>
      </c>
      <c r="I23" s="237">
        <v>11643.51</v>
      </c>
      <c r="J23" s="237">
        <v>19786.849999999999</v>
      </c>
      <c r="K23" s="237">
        <v>15872.210000000001</v>
      </c>
      <c r="L23" s="237">
        <v>18666.87</v>
      </c>
      <c r="M23" s="237">
        <v>18742</v>
      </c>
      <c r="N23" s="237">
        <v>24683</v>
      </c>
      <c r="O23" s="237">
        <v>27812.43</v>
      </c>
      <c r="P23" s="237">
        <v>21627</v>
      </c>
      <c r="Q23" s="237">
        <v>19461.829999999998</v>
      </c>
      <c r="R23" s="237">
        <v>18071.27</v>
      </c>
      <c r="S23" s="237"/>
      <c r="T23" s="237"/>
      <c r="U23" s="237"/>
      <c r="V23" s="12"/>
      <c r="W23" s="103"/>
      <c r="Z23" s="160" t="s">
        <v>7</v>
      </c>
      <c r="AA23" s="169">
        <v>19</v>
      </c>
      <c r="AB23" s="176" t="s">
        <v>119</v>
      </c>
    </row>
    <row r="24" spans="2:28" x14ac:dyDescent="0.25">
      <c r="B24" s="11" t="s">
        <v>21</v>
      </c>
      <c r="C24" s="236">
        <v>44109.439999999995</v>
      </c>
      <c r="D24" s="236">
        <v>31404.769999999997</v>
      </c>
      <c r="E24" s="236">
        <v>29881.940000000002</v>
      </c>
      <c r="F24" s="237">
        <v>36678.550000000003</v>
      </c>
      <c r="G24" s="237">
        <v>27165.419999999991</v>
      </c>
      <c r="H24" s="237">
        <v>25061.809999999998</v>
      </c>
      <c r="I24" s="237">
        <v>26299.68</v>
      </c>
      <c r="J24" s="237">
        <v>41279.51999999999</v>
      </c>
      <c r="K24" s="237">
        <v>37032.290000000008</v>
      </c>
      <c r="L24" s="237">
        <v>37792.840000000011</v>
      </c>
      <c r="M24" s="237">
        <v>20385</v>
      </c>
      <c r="N24" s="237">
        <v>42266</v>
      </c>
      <c r="O24" s="237">
        <v>67575.3</v>
      </c>
      <c r="P24" s="237">
        <v>34042</v>
      </c>
      <c r="Q24" s="237">
        <v>32755.11</v>
      </c>
      <c r="R24" s="237">
        <v>39337.979999999996</v>
      </c>
      <c r="S24" s="237"/>
      <c r="T24" s="237"/>
      <c r="U24" s="237"/>
      <c r="V24" s="12"/>
      <c r="W24" s="103"/>
      <c r="Z24" s="160" t="s">
        <v>26</v>
      </c>
      <c r="AA24" s="169">
        <v>187</v>
      </c>
      <c r="AB24" t="s">
        <v>144</v>
      </c>
    </row>
    <row r="25" spans="2:28" x14ac:dyDescent="0.25">
      <c r="B25" s="11" t="s">
        <v>22</v>
      </c>
      <c r="C25" s="236">
        <v>22171.07</v>
      </c>
      <c r="D25" s="236">
        <v>13688.41</v>
      </c>
      <c r="E25" s="236">
        <v>12267.219999999998</v>
      </c>
      <c r="F25" s="237">
        <v>13795.470000000003</v>
      </c>
      <c r="G25" s="237">
        <v>10181.319999999998</v>
      </c>
      <c r="H25" s="237">
        <v>12407.77</v>
      </c>
      <c r="I25" s="237">
        <v>18652.670000000002</v>
      </c>
      <c r="J25" s="237">
        <v>16837.020000000004</v>
      </c>
      <c r="K25" s="237">
        <v>17122.41</v>
      </c>
      <c r="L25" s="237">
        <v>18729.520000000004</v>
      </c>
      <c r="M25" s="237">
        <v>26109</v>
      </c>
      <c r="N25" s="237">
        <v>20719</v>
      </c>
      <c r="O25" s="237">
        <v>28498.280000000002</v>
      </c>
      <c r="P25" s="237">
        <v>17276</v>
      </c>
      <c r="Q25" s="237">
        <v>10980.35</v>
      </c>
      <c r="R25" s="237">
        <v>19771.809999999998</v>
      </c>
      <c r="S25" s="237"/>
      <c r="T25" s="237"/>
      <c r="U25" s="237"/>
      <c r="V25" s="12"/>
      <c r="W25" s="103"/>
      <c r="Z25" s="160" t="s">
        <v>28</v>
      </c>
      <c r="AA25" s="169">
        <v>201</v>
      </c>
      <c r="AB25" t="s">
        <v>144</v>
      </c>
    </row>
    <row r="26" spans="2:28" x14ac:dyDescent="0.25">
      <c r="B26" s="11" t="s">
        <v>23</v>
      </c>
      <c r="C26" s="236">
        <v>33134.75</v>
      </c>
      <c r="D26" s="236">
        <v>27609.33</v>
      </c>
      <c r="E26" s="236">
        <v>19529.939999999999</v>
      </c>
      <c r="F26" s="237">
        <v>13634.46</v>
      </c>
      <c r="G26" s="237">
        <v>15000.2</v>
      </c>
      <c r="H26" s="237">
        <v>18205.03</v>
      </c>
      <c r="I26" s="237">
        <v>17465.739999999998</v>
      </c>
      <c r="J26" s="237">
        <v>19493.129999999997</v>
      </c>
      <c r="K26" s="237">
        <v>14652.960000000001</v>
      </c>
      <c r="L26" s="237">
        <v>13488.560000000003</v>
      </c>
      <c r="M26" s="237">
        <v>20036</v>
      </c>
      <c r="N26" s="237">
        <v>23502</v>
      </c>
      <c r="O26" s="237">
        <v>28731.629999999994</v>
      </c>
      <c r="P26" s="237">
        <v>22382</v>
      </c>
      <c r="Q26" s="237">
        <v>22321.300000000003</v>
      </c>
      <c r="R26" s="237">
        <v>12712.179999999998</v>
      </c>
      <c r="S26" s="237"/>
      <c r="T26" s="237"/>
      <c r="U26" s="237"/>
      <c r="V26" s="12"/>
      <c r="W26" s="103"/>
      <c r="Z26" s="160" t="s">
        <v>29</v>
      </c>
      <c r="AA26" s="169">
        <v>234</v>
      </c>
      <c r="AB26" t="s">
        <v>144</v>
      </c>
    </row>
    <row r="27" spans="2:28" x14ac:dyDescent="0.25">
      <c r="B27" s="238" t="s">
        <v>24</v>
      </c>
      <c r="C27" s="239">
        <v>36328.000000000007</v>
      </c>
      <c r="D27" s="239">
        <v>26458.18</v>
      </c>
      <c r="E27" s="239">
        <v>17273.439999999999</v>
      </c>
      <c r="F27" s="240">
        <v>18758.000000000004</v>
      </c>
      <c r="G27" s="240">
        <v>17689.100000000002</v>
      </c>
      <c r="H27" s="240">
        <v>22808.22</v>
      </c>
      <c r="I27" s="240">
        <v>19928.599999999995</v>
      </c>
      <c r="J27" s="240">
        <v>30321.589999999997</v>
      </c>
      <c r="K27" s="345">
        <v>19968.269999999997</v>
      </c>
      <c r="L27" s="345">
        <v>20895.410000000003</v>
      </c>
      <c r="M27" s="240">
        <v>19219</v>
      </c>
      <c r="N27" s="240">
        <v>13632</v>
      </c>
      <c r="O27" s="345">
        <v>40688.920000000006</v>
      </c>
      <c r="P27" s="345">
        <v>34363</v>
      </c>
      <c r="Q27" s="345">
        <v>40726.500000000007</v>
      </c>
      <c r="R27" s="345">
        <v>30469.070000000003</v>
      </c>
      <c r="S27" s="345"/>
      <c r="T27" s="237"/>
      <c r="U27" s="237"/>
      <c r="V27" s="12"/>
      <c r="W27" s="103"/>
      <c r="Z27" s="160" t="s">
        <v>158</v>
      </c>
      <c r="AA27" s="169">
        <v>173</v>
      </c>
      <c r="AB27" s="177" t="s">
        <v>219</v>
      </c>
    </row>
    <row r="28" spans="2:28" x14ac:dyDescent="0.25">
      <c r="B28" s="11" t="s">
        <v>25</v>
      </c>
      <c r="C28" s="236">
        <v>37750.410000000003</v>
      </c>
      <c r="D28" s="236">
        <v>29591.719999999998</v>
      </c>
      <c r="E28" s="236">
        <v>35111.840000000004</v>
      </c>
      <c r="F28" s="237">
        <v>28390.679999999997</v>
      </c>
      <c r="G28" s="237">
        <v>24336.35</v>
      </c>
      <c r="H28" s="237">
        <v>18672.569999999996</v>
      </c>
      <c r="I28" s="237">
        <v>18215.930000000004</v>
      </c>
      <c r="J28" s="237">
        <v>38448.19</v>
      </c>
      <c r="K28" s="237">
        <v>38793.710000000006</v>
      </c>
      <c r="L28" s="237">
        <v>29756.61</v>
      </c>
      <c r="M28" s="237">
        <v>13980</v>
      </c>
      <c r="N28" s="237">
        <v>27776</v>
      </c>
      <c r="O28" s="237">
        <v>44196.580000000009</v>
      </c>
      <c r="P28" s="237">
        <v>23017</v>
      </c>
      <c r="Q28" s="237">
        <v>28620.049999999996</v>
      </c>
      <c r="R28" s="237">
        <v>28715.990000000005</v>
      </c>
      <c r="S28" s="237"/>
      <c r="T28" s="237"/>
      <c r="U28" s="237"/>
      <c r="V28" s="12"/>
      <c r="W28" s="103"/>
      <c r="Z28" s="161" t="s">
        <v>13</v>
      </c>
      <c r="AA28" s="170">
        <v>125</v>
      </c>
      <c r="AB28" t="s">
        <v>142</v>
      </c>
    </row>
    <row r="29" spans="2:28" x14ac:dyDescent="0.25">
      <c r="B29" s="11" t="s">
        <v>26</v>
      </c>
      <c r="C29" s="236">
        <v>23933.8</v>
      </c>
      <c r="D29" s="236">
        <v>16774.590000000004</v>
      </c>
      <c r="E29" s="236">
        <v>20990.129999999997</v>
      </c>
      <c r="F29" s="237">
        <v>24680.550000000007</v>
      </c>
      <c r="G29" s="237">
        <v>15778.409999999998</v>
      </c>
      <c r="H29" s="237">
        <v>30696.279999999995</v>
      </c>
      <c r="I29" s="237">
        <v>25695.260000000002</v>
      </c>
      <c r="J29" s="237">
        <v>18260.319999999996</v>
      </c>
      <c r="K29" s="237">
        <v>23233.829999999998</v>
      </c>
      <c r="L29" s="237">
        <v>33810.879999999997</v>
      </c>
      <c r="M29" s="237">
        <v>21295</v>
      </c>
      <c r="N29" s="237">
        <v>26136</v>
      </c>
      <c r="O29" s="237">
        <v>19284.52</v>
      </c>
      <c r="P29" s="237">
        <v>21512</v>
      </c>
      <c r="Q29" s="237">
        <v>25354.28</v>
      </c>
      <c r="R29" s="237">
        <v>15936.9</v>
      </c>
      <c r="S29" s="237"/>
      <c r="T29" s="237"/>
      <c r="U29" s="237"/>
      <c r="V29" s="12"/>
      <c r="W29" s="103"/>
      <c r="Z29" s="161" t="s">
        <v>14</v>
      </c>
      <c r="AA29" s="170">
        <v>53</v>
      </c>
      <c r="AB29" t="s">
        <v>142</v>
      </c>
    </row>
    <row r="30" spans="2:28" x14ac:dyDescent="0.25">
      <c r="B30" s="11" t="s">
        <v>27</v>
      </c>
      <c r="C30" s="236">
        <v>21358.32</v>
      </c>
      <c r="D30" s="236">
        <v>37145.51</v>
      </c>
      <c r="E30" s="236">
        <v>21924.550000000003</v>
      </c>
      <c r="F30" s="237">
        <v>17388.66</v>
      </c>
      <c r="G30" s="237">
        <v>12649.579999999998</v>
      </c>
      <c r="H30" s="237">
        <v>15650.189999999999</v>
      </c>
      <c r="I30" s="237">
        <v>10238.060000000001</v>
      </c>
      <c r="J30" s="237">
        <v>26824.11</v>
      </c>
      <c r="K30" s="237">
        <v>23670</v>
      </c>
      <c r="L30" s="237">
        <v>21556.12</v>
      </c>
      <c r="M30" s="237">
        <v>19406</v>
      </c>
      <c r="N30" s="237">
        <v>22554</v>
      </c>
      <c r="O30" s="237">
        <v>27813.3</v>
      </c>
      <c r="P30" s="237">
        <v>20500</v>
      </c>
      <c r="Q30" s="237">
        <v>24728.11</v>
      </c>
      <c r="R30" s="237">
        <v>25031.85</v>
      </c>
      <c r="S30" s="237"/>
      <c r="T30" s="237"/>
      <c r="U30" s="237"/>
      <c r="V30" s="12"/>
      <c r="W30" s="103"/>
      <c r="Z30" s="161" t="s">
        <v>15</v>
      </c>
      <c r="AA30" s="170">
        <v>55</v>
      </c>
      <c r="AB30" t="s">
        <v>142</v>
      </c>
    </row>
    <row r="31" spans="2:28" x14ac:dyDescent="0.25">
      <c r="B31" s="11" t="s">
        <v>28</v>
      </c>
      <c r="C31" s="236">
        <v>9652.1899999999987</v>
      </c>
      <c r="D31" s="236">
        <v>25601.440000000002</v>
      </c>
      <c r="E31" s="236">
        <v>46063.29</v>
      </c>
      <c r="F31" s="237">
        <v>24198.600000000002</v>
      </c>
      <c r="G31" s="237">
        <v>39582.060000000005</v>
      </c>
      <c r="H31" s="237">
        <v>32247.47</v>
      </c>
      <c r="I31" s="237">
        <v>37793.869999999995</v>
      </c>
      <c r="J31" s="237">
        <v>17385.670000000002</v>
      </c>
      <c r="K31" s="237">
        <v>31838.010000000002</v>
      </c>
      <c r="L31" s="237">
        <v>30684.080000000002</v>
      </c>
      <c r="M31" s="237">
        <v>21522</v>
      </c>
      <c r="N31" s="237">
        <v>14447</v>
      </c>
      <c r="O31" s="237">
        <v>35159.889999999992</v>
      </c>
      <c r="P31" s="237">
        <v>30892</v>
      </c>
      <c r="Q31" s="237">
        <v>25120.119999999995</v>
      </c>
      <c r="R31" s="237">
        <v>24203.75</v>
      </c>
      <c r="S31" s="237"/>
      <c r="T31" s="237"/>
      <c r="U31" s="237"/>
      <c r="V31" s="12"/>
      <c r="W31" s="103"/>
      <c r="Z31" s="161" t="s">
        <v>16</v>
      </c>
      <c r="AA31" s="170">
        <v>126</v>
      </c>
      <c r="AB31" t="s">
        <v>142</v>
      </c>
    </row>
    <row r="32" spans="2:28" x14ac:dyDescent="0.25">
      <c r="B32" s="11" t="s">
        <v>29</v>
      </c>
      <c r="C32" s="236">
        <v>36468.729999999996</v>
      </c>
      <c r="D32" s="236">
        <v>26736.26</v>
      </c>
      <c r="E32" s="236">
        <v>29945.690000000002</v>
      </c>
      <c r="F32" s="237">
        <v>33751.010000000009</v>
      </c>
      <c r="G32" s="237">
        <v>27320.54</v>
      </c>
      <c r="H32" s="237">
        <v>26507.85</v>
      </c>
      <c r="I32" s="237">
        <v>30400.249999999996</v>
      </c>
      <c r="J32" s="237">
        <v>39854.25</v>
      </c>
      <c r="K32" s="237">
        <v>35929.19</v>
      </c>
      <c r="L32" s="237">
        <v>25495.910000000003</v>
      </c>
      <c r="M32" s="237">
        <v>43992</v>
      </c>
      <c r="N32" s="237">
        <v>44260</v>
      </c>
      <c r="O32" s="237">
        <v>63115.44</v>
      </c>
      <c r="P32" s="237">
        <v>44753</v>
      </c>
      <c r="Q32" s="237">
        <v>46021.95</v>
      </c>
      <c r="R32" s="237">
        <v>43310.05000000001</v>
      </c>
      <c r="S32" s="237"/>
      <c r="T32" s="237"/>
      <c r="U32" s="237"/>
      <c r="V32" s="12"/>
      <c r="W32" s="103"/>
      <c r="Z32" s="161" t="s">
        <v>17</v>
      </c>
      <c r="AA32" s="170">
        <v>2</v>
      </c>
      <c r="AB32" t="s">
        <v>142</v>
      </c>
    </row>
    <row r="33" spans="2:28" x14ac:dyDescent="0.25">
      <c r="B33" s="11" t="s">
        <v>30</v>
      </c>
      <c r="C33" s="236">
        <v>13286.25</v>
      </c>
      <c r="D33" s="236">
        <v>12780.199999999999</v>
      </c>
      <c r="E33" s="236">
        <v>11531.02</v>
      </c>
      <c r="F33" s="237">
        <v>3963.18</v>
      </c>
      <c r="G33" s="237">
        <v>7344.08</v>
      </c>
      <c r="H33" s="237">
        <v>4276.05</v>
      </c>
      <c r="I33" s="237">
        <v>1910.8799999999999</v>
      </c>
      <c r="J33" s="237">
        <v>5216.37</v>
      </c>
      <c r="K33" s="237">
        <v>5316.6</v>
      </c>
      <c r="L33" s="237">
        <v>10875.800000000001</v>
      </c>
      <c r="M33" s="237">
        <v>7837</v>
      </c>
      <c r="N33" s="237">
        <v>7175</v>
      </c>
      <c r="O33" s="237">
        <v>10548.92</v>
      </c>
      <c r="P33" s="237">
        <v>6642</v>
      </c>
      <c r="Q33" s="237">
        <v>2572.3699999999994</v>
      </c>
      <c r="R33" s="237">
        <v>9217.7800000000007</v>
      </c>
      <c r="S33" s="237"/>
      <c r="T33" s="237"/>
      <c r="U33" s="237"/>
      <c r="V33" s="12"/>
      <c r="W33" s="103"/>
      <c r="Z33" s="160" t="s">
        <v>25</v>
      </c>
      <c r="AA33" s="169">
        <v>168</v>
      </c>
      <c r="AB33" t="s">
        <v>144</v>
      </c>
    </row>
    <row r="34" spans="2:28" x14ac:dyDescent="0.25">
      <c r="B34" s="11" t="s">
        <v>31</v>
      </c>
      <c r="C34" s="236">
        <v>496.78000000000003</v>
      </c>
      <c r="D34" s="236">
        <v>243.70000000000002</v>
      </c>
      <c r="E34" s="236">
        <v>279.59999999999997</v>
      </c>
      <c r="F34" s="237">
        <v>1388.24</v>
      </c>
      <c r="G34" s="237">
        <v>976.45999999999992</v>
      </c>
      <c r="H34" s="237">
        <v>246.39</v>
      </c>
      <c r="I34" s="237">
        <v>440.45000000000005</v>
      </c>
      <c r="J34" s="237">
        <v>475.14</v>
      </c>
      <c r="K34" s="237">
        <v>527.52</v>
      </c>
      <c r="L34" s="237">
        <v>292.88</v>
      </c>
      <c r="M34" s="237">
        <v>-61</v>
      </c>
      <c r="N34" s="237">
        <v>84</v>
      </c>
      <c r="O34" s="237">
        <v>-4.3600000000000003</v>
      </c>
      <c r="P34" s="237">
        <v>372</v>
      </c>
      <c r="Q34" s="237">
        <v>795.64</v>
      </c>
      <c r="R34" s="237">
        <v>66.400000000000006</v>
      </c>
      <c r="S34" s="237"/>
      <c r="T34" s="237"/>
      <c r="U34" s="237"/>
      <c r="V34" s="12"/>
      <c r="W34" s="103"/>
      <c r="Z34" s="160" t="s">
        <v>27</v>
      </c>
      <c r="AA34" s="169">
        <v>113</v>
      </c>
      <c r="AB34" t="s">
        <v>144</v>
      </c>
    </row>
    <row r="35" spans="2:28" x14ac:dyDescent="0.25">
      <c r="B35" s="238" t="s">
        <v>32</v>
      </c>
      <c r="C35" s="239">
        <v>53.73</v>
      </c>
      <c r="D35" s="239">
        <v>692.16000000000008</v>
      </c>
      <c r="E35" s="239">
        <v>81.59</v>
      </c>
      <c r="F35" s="240">
        <v>89.09</v>
      </c>
      <c r="G35" s="240">
        <v>25.869999999999997</v>
      </c>
      <c r="H35" s="240">
        <v>46.489999999999995</v>
      </c>
      <c r="I35" s="240">
        <v>231.13</v>
      </c>
      <c r="J35" s="240">
        <v>21.32</v>
      </c>
      <c r="K35" s="345">
        <v>7.85</v>
      </c>
      <c r="L35" s="345">
        <v>17.64</v>
      </c>
      <c r="M35" s="240">
        <v>56</v>
      </c>
      <c r="N35" s="240">
        <v>89</v>
      </c>
      <c r="O35" s="345">
        <v>698.0100000000001</v>
      </c>
      <c r="P35" s="345">
        <v>-20</v>
      </c>
      <c r="Q35" s="345">
        <v>1319.8</v>
      </c>
      <c r="R35" s="345">
        <v>1604.5700000000002</v>
      </c>
      <c r="S35" s="345"/>
      <c r="T35" s="237"/>
      <c r="U35" s="237"/>
      <c r="V35" s="12"/>
      <c r="W35" s="103"/>
      <c r="Z35" s="160" t="s">
        <v>32</v>
      </c>
      <c r="AA35" s="169">
        <v>3</v>
      </c>
      <c r="AB35" t="s">
        <v>144</v>
      </c>
    </row>
    <row r="36" spans="2:28" x14ac:dyDescent="0.25">
      <c r="B36" s="11" t="s">
        <v>34</v>
      </c>
      <c r="C36" s="236"/>
      <c r="D36" s="236"/>
      <c r="E36" s="236"/>
      <c r="F36" s="237">
        <v>7701.27</v>
      </c>
      <c r="G36" s="237">
        <v>6481.26</v>
      </c>
      <c r="H36" s="237">
        <v>8452.16</v>
      </c>
      <c r="I36" s="237">
        <v>11174.49</v>
      </c>
      <c r="J36" s="237">
        <v>11612.56</v>
      </c>
      <c r="K36" s="237">
        <v>14266.14</v>
      </c>
      <c r="L36" s="237">
        <v>10744</v>
      </c>
      <c r="M36" s="237">
        <v>6858</v>
      </c>
      <c r="N36" s="237">
        <v>6531</v>
      </c>
      <c r="O36" s="237">
        <v>10927.9</v>
      </c>
      <c r="P36" s="237">
        <v>13164</v>
      </c>
      <c r="Q36" s="237">
        <v>11640.26</v>
      </c>
      <c r="R36" s="237">
        <v>6366.2200000000012</v>
      </c>
      <c r="S36" s="237"/>
      <c r="T36" s="237"/>
      <c r="U36" s="237"/>
      <c r="V36" s="356"/>
      <c r="W36" s="103"/>
      <c r="Z36" s="162" t="s">
        <v>35</v>
      </c>
      <c r="AA36" s="171">
        <v>228</v>
      </c>
      <c r="AB36" t="s">
        <v>145</v>
      </c>
    </row>
    <row r="37" spans="2:28" x14ac:dyDescent="0.25">
      <c r="B37" s="11" t="s">
        <v>35</v>
      </c>
      <c r="C37" s="236"/>
      <c r="D37" s="236"/>
      <c r="E37" s="236"/>
      <c r="F37" s="237">
        <v>27358.94</v>
      </c>
      <c r="G37" s="237">
        <v>32669.339999999997</v>
      </c>
      <c r="H37" s="237">
        <v>31314.459999999995</v>
      </c>
      <c r="I37" s="237">
        <v>25159.639999999996</v>
      </c>
      <c r="J37" s="237">
        <v>28199.32</v>
      </c>
      <c r="K37" s="237">
        <v>39623.54</v>
      </c>
      <c r="L37" s="237">
        <v>28592</v>
      </c>
      <c r="M37" s="237">
        <v>31360</v>
      </c>
      <c r="N37" s="237">
        <v>34849</v>
      </c>
      <c r="O37" s="237">
        <v>21967.190000000006</v>
      </c>
      <c r="P37" s="237">
        <v>29233</v>
      </c>
      <c r="Q37" s="237">
        <v>15561.020000000002</v>
      </c>
      <c r="R37" s="237">
        <v>26837.279999999992</v>
      </c>
      <c r="S37" s="237"/>
      <c r="T37" s="237"/>
      <c r="U37" s="237"/>
      <c r="V37" s="356"/>
      <c r="Z37" s="162" t="s">
        <v>50</v>
      </c>
      <c r="AA37" s="171">
        <v>191</v>
      </c>
      <c r="AB37" t="s">
        <v>218</v>
      </c>
    </row>
    <row r="38" spans="2:28" ht="13.5" customHeight="1" x14ac:dyDescent="0.25">
      <c r="B38" s="11" t="s">
        <v>36</v>
      </c>
      <c r="C38" s="236"/>
      <c r="D38" s="236"/>
      <c r="E38" s="236"/>
      <c r="F38" s="237">
        <v>14284.619999999999</v>
      </c>
      <c r="G38" s="237">
        <v>12115.33</v>
      </c>
      <c r="H38" s="237">
        <v>10125.210000000001</v>
      </c>
      <c r="I38" s="237">
        <v>1731.2599999999998</v>
      </c>
      <c r="J38" s="237">
        <v>12450.26</v>
      </c>
      <c r="K38" s="237">
        <v>6777.04</v>
      </c>
      <c r="L38" s="237">
        <v>6555</v>
      </c>
      <c r="M38" s="237">
        <v>10055</v>
      </c>
      <c r="N38" s="237">
        <v>14889</v>
      </c>
      <c r="O38" s="237">
        <v>12487.470000000003</v>
      </c>
      <c r="P38" s="237">
        <v>6615</v>
      </c>
      <c r="Q38" s="237">
        <v>5143.97</v>
      </c>
      <c r="R38" s="237">
        <v>7446.8999999999987</v>
      </c>
      <c r="S38" s="237"/>
      <c r="T38" s="237"/>
      <c r="U38" s="237"/>
      <c r="V38" s="356"/>
      <c r="Z38" s="162" t="s">
        <v>43</v>
      </c>
      <c r="AA38" s="171">
        <v>245</v>
      </c>
      <c r="AB38" s="178" t="s">
        <v>121</v>
      </c>
    </row>
    <row r="39" spans="2:28" x14ac:dyDescent="0.25">
      <c r="B39" s="11" t="s">
        <v>37</v>
      </c>
      <c r="C39" s="236"/>
      <c r="D39" s="236"/>
      <c r="E39" s="236"/>
      <c r="F39" s="237">
        <v>1940.3200000000002</v>
      </c>
      <c r="G39" s="237">
        <v>6236.6200000000008</v>
      </c>
      <c r="H39" s="237">
        <v>8169.0399999999972</v>
      </c>
      <c r="I39" s="237">
        <v>5560.12</v>
      </c>
      <c r="J39" s="237">
        <v>10198.61</v>
      </c>
      <c r="K39" s="237">
        <v>5906.8799999999992</v>
      </c>
      <c r="L39" s="237">
        <v>8848</v>
      </c>
      <c r="M39" s="237">
        <v>12451</v>
      </c>
      <c r="N39" s="237">
        <v>9056</v>
      </c>
      <c r="O39" s="237">
        <v>12379.980000000001</v>
      </c>
      <c r="P39" s="237">
        <v>8532</v>
      </c>
      <c r="Q39" s="237">
        <v>8285.4800000000014</v>
      </c>
      <c r="R39" s="237">
        <v>12391.94</v>
      </c>
      <c r="S39" s="237"/>
      <c r="T39" s="237"/>
      <c r="U39" s="237"/>
      <c r="V39" s="356"/>
      <c r="Z39" s="162" t="s">
        <v>40</v>
      </c>
      <c r="AA39" s="171">
        <v>313</v>
      </c>
      <c r="AB39" t="s">
        <v>145</v>
      </c>
    </row>
    <row r="40" spans="2:28" ht="18.75" customHeight="1" x14ac:dyDescent="0.25">
      <c r="B40" s="11" t="s">
        <v>38</v>
      </c>
      <c r="C40" s="236"/>
      <c r="D40" s="236"/>
      <c r="E40" s="236"/>
      <c r="F40" s="237">
        <v>12039.02</v>
      </c>
      <c r="G40" s="237">
        <v>8640.380000000001</v>
      </c>
      <c r="H40" s="237">
        <v>17744.929999999997</v>
      </c>
      <c r="I40" s="237">
        <v>16155.5</v>
      </c>
      <c r="J40" s="237">
        <v>21729.010000000006</v>
      </c>
      <c r="K40" s="237">
        <v>22711.33</v>
      </c>
      <c r="L40" s="237">
        <v>26584</v>
      </c>
      <c r="M40" s="237">
        <v>31826</v>
      </c>
      <c r="N40" s="237">
        <v>26720</v>
      </c>
      <c r="O40" s="237">
        <v>22866.130000000005</v>
      </c>
      <c r="P40" s="237">
        <v>15281</v>
      </c>
      <c r="Q40" s="237">
        <v>19409.679999999997</v>
      </c>
      <c r="R40" s="237">
        <v>19830.130000000005</v>
      </c>
      <c r="S40" s="237"/>
      <c r="T40" s="237"/>
      <c r="U40" s="237"/>
      <c r="V40" s="356"/>
      <c r="Z40" s="162" t="s">
        <v>46</v>
      </c>
      <c r="AA40" s="171">
        <v>337</v>
      </c>
      <c r="AB40" s="178" t="s">
        <v>121</v>
      </c>
    </row>
    <row r="41" spans="2:28" x14ac:dyDescent="0.25">
      <c r="B41" s="11" t="s">
        <v>39</v>
      </c>
      <c r="C41" s="236"/>
      <c r="D41" s="236"/>
      <c r="E41" s="236"/>
      <c r="F41" s="237">
        <v>5327.869999999999</v>
      </c>
      <c r="G41" s="237">
        <v>3977.41</v>
      </c>
      <c r="H41" s="237">
        <v>3739.53</v>
      </c>
      <c r="I41" s="237">
        <v>6598.4599999999991</v>
      </c>
      <c r="J41" s="237">
        <v>8243.42</v>
      </c>
      <c r="K41" s="237">
        <v>3631.5099999999998</v>
      </c>
      <c r="L41" s="237">
        <v>11155</v>
      </c>
      <c r="M41" s="237">
        <v>1184</v>
      </c>
      <c r="N41" s="237">
        <v>11845</v>
      </c>
      <c r="O41" s="237">
        <v>1866.9</v>
      </c>
      <c r="P41" s="237">
        <v>4142</v>
      </c>
      <c r="Q41" s="237">
        <v>1978.04</v>
      </c>
      <c r="R41" s="237">
        <v>1368.1100000000004</v>
      </c>
      <c r="S41" s="237"/>
      <c r="T41" s="237"/>
      <c r="U41" s="237"/>
      <c r="V41" s="356"/>
      <c r="Z41" s="162" t="s">
        <v>49</v>
      </c>
      <c r="AA41" s="171">
        <v>312</v>
      </c>
      <c r="AB41" t="s">
        <v>218</v>
      </c>
    </row>
    <row r="42" spans="2:28" x14ac:dyDescent="0.25">
      <c r="B42" s="11" t="s">
        <v>33</v>
      </c>
      <c r="C42" s="236"/>
      <c r="D42" s="236"/>
      <c r="E42" s="236"/>
      <c r="F42" s="237">
        <v>21774.87</v>
      </c>
      <c r="G42" s="237">
        <v>21934.519999999997</v>
      </c>
      <c r="H42" s="237">
        <v>21173.809999999998</v>
      </c>
      <c r="I42" s="237">
        <v>17483.120000000003</v>
      </c>
      <c r="J42" s="237">
        <v>20369.170000000002</v>
      </c>
      <c r="K42" s="237">
        <v>16885.03</v>
      </c>
      <c r="L42" s="237">
        <v>20917</v>
      </c>
      <c r="M42" s="237">
        <v>27230</v>
      </c>
      <c r="N42" s="237">
        <v>18452</v>
      </c>
      <c r="O42" s="237">
        <v>21660.65</v>
      </c>
      <c r="P42" s="237">
        <v>20068</v>
      </c>
      <c r="Q42" s="237">
        <v>16916.510000000002</v>
      </c>
      <c r="R42" s="237">
        <v>19749.990000000009</v>
      </c>
      <c r="S42" s="237"/>
      <c r="T42" s="237"/>
      <c r="U42" s="237"/>
      <c r="V42" s="356"/>
      <c r="Z42" s="160" t="s">
        <v>30</v>
      </c>
      <c r="AA42" s="169">
        <v>64</v>
      </c>
      <c r="AB42" t="s">
        <v>144</v>
      </c>
    </row>
    <row r="43" spans="2:28" ht="16.5" customHeight="1" x14ac:dyDescent="0.25">
      <c r="B43" s="238" t="s">
        <v>40</v>
      </c>
      <c r="C43" s="239"/>
      <c r="D43" s="239"/>
      <c r="E43" s="239"/>
      <c r="F43" s="240">
        <v>14658.130000000001</v>
      </c>
      <c r="G43" s="240">
        <v>19559.689999999999</v>
      </c>
      <c r="H43" s="240">
        <v>25028.800000000003</v>
      </c>
      <c r="I43" s="240">
        <v>22724.480000000003</v>
      </c>
      <c r="J43" s="240">
        <v>18816.39</v>
      </c>
      <c r="K43" s="240">
        <v>27285.54</v>
      </c>
      <c r="L43" s="345">
        <v>19105</v>
      </c>
      <c r="M43" s="240">
        <v>33608</v>
      </c>
      <c r="N43" s="240">
        <v>33481</v>
      </c>
      <c r="O43" s="345">
        <v>25022.959999999999</v>
      </c>
      <c r="P43" s="345">
        <v>21321</v>
      </c>
      <c r="Q43" s="345">
        <v>25037.430000000004</v>
      </c>
      <c r="R43" s="345">
        <v>23863.510000000002</v>
      </c>
      <c r="S43" s="345"/>
      <c r="T43" s="237"/>
      <c r="U43" s="237"/>
      <c r="V43" s="356"/>
      <c r="Z43" s="163" t="s">
        <v>41</v>
      </c>
      <c r="AA43" s="172">
        <v>250</v>
      </c>
      <c r="AB43" s="178" t="s">
        <v>121</v>
      </c>
    </row>
    <row r="44" spans="2:28" ht="17.25" customHeight="1" x14ac:dyDescent="0.25">
      <c r="B44" s="11" t="s">
        <v>41</v>
      </c>
      <c r="C44" s="236"/>
      <c r="D44" s="236"/>
      <c r="E44" s="236"/>
      <c r="F44" s="237">
        <v>22512.14</v>
      </c>
      <c r="G44" s="237">
        <v>21096.929999999997</v>
      </c>
      <c r="H44" s="237">
        <v>28829.14</v>
      </c>
      <c r="I44" s="237">
        <v>18278.29</v>
      </c>
      <c r="J44" s="237">
        <v>25141.18</v>
      </c>
      <c r="K44" s="237">
        <v>26707.230000000003</v>
      </c>
      <c r="L44" s="237">
        <v>19358</v>
      </c>
      <c r="M44" s="237">
        <v>40283</v>
      </c>
      <c r="N44" s="357">
        <v>36123</v>
      </c>
      <c r="O44" s="237">
        <v>20363.32</v>
      </c>
      <c r="P44" s="237">
        <v>22474</v>
      </c>
      <c r="Q44" s="237">
        <v>45720.399999999994</v>
      </c>
      <c r="R44" s="237">
        <v>14882.580000000002</v>
      </c>
      <c r="S44" s="237"/>
      <c r="T44" s="357"/>
      <c r="U44" s="357"/>
      <c r="V44" s="89"/>
      <c r="W44" s="89"/>
      <c r="Z44" s="163" t="s">
        <v>42</v>
      </c>
      <c r="AA44" s="172">
        <v>219</v>
      </c>
      <c r="AB44" s="178" t="s">
        <v>121</v>
      </c>
    </row>
    <row r="45" spans="2:28" x14ac:dyDescent="0.25">
      <c r="B45" s="11" t="s">
        <v>42</v>
      </c>
      <c r="C45" s="236"/>
      <c r="D45" s="236"/>
      <c r="E45" s="236"/>
      <c r="F45" s="237">
        <v>20935</v>
      </c>
      <c r="G45" s="237">
        <v>27903.96</v>
      </c>
      <c r="H45" s="237">
        <v>31965.250000000004</v>
      </c>
      <c r="I45" s="237">
        <v>27808.98</v>
      </c>
      <c r="J45" s="237">
        <v>36450.35</v>
      </c>
      <c r="K45" s="237">
        <v>34502.299999999996</v>
      </c>
      <c r="L45" s="237">
        <v>32702</v>
      </c>
      <c r="M45" s="237">
        <v>27292</v>
      </c>
      <c r="N45" s="357">
        <v>33269</v>
      </c>
      <c r="O45" s="237">
        <v>24497.02</v>
      </c>
      <c r="P45" s="237">
        <v>19132</v>
      </c>
      <c r="Q45" s="237">
        <v>28447.51</v>
      </c>
      <c r="R45" s="237">
        <v>27531.45</v>
      </c>
      <c r="S45" s="237"/>
      <c r="T45" s="357"/>
      <c r="U45" s="357"/>
      <c r="V45" s="89"/>
      <c r="W45" s="89"/>
      <c r="Z45" s="163" t="s">
        <v>38</v>
      </c>
      <c r="AA45" s="172">
        <v>126</v>
      </c>
      <c r="AB45" t="s">
        <v>145</v>
      </c>
    </row>
    <row r="46" spans="2:28" ht="17.25" customHeight="1" x14ac:dyDescent="0.25">
      <c r="B46" s="11" t="s">
        <v>43</v>
      </c>
      <c r="C46" s="236"/>
      <c r="D46" s="236"/>
      <c r="E46" s="236"/>
      <c r="F46" s="237">
        <v>17517.840000000004</v>
      </c>
      <c r="G46" s="237">
        <v>15294.09</v>
      </c>
      <c r="H46" s="237">
        <v>18074.769999999997</v>
      </c>
      <c r="I46" s="237">
        <v>19153.679999999997</v>
      </c>
      <c r="J46" s="237">
        <v>24745.62</v>
      </c>
      <c r="K46" s="237">
        <v>22577.950000000004</v>
      </c>
      <c r="L46" s="237">
        <v>17064</v>
      </c>
      <c r="M46" s="237">
        <v>27634</v>
      </c>
      <c r="N46" s="357">
        <v>29992</v>
      </c>
      <c r="O46" s="237">
        <v>27278.78</v>
      </c>
      <c r="P46" s="237">
        <v>16973</v>
      </c>
      <c r="Q46" s="237">
        <v>27700.859999999997</v>
      </c>
      <c r="R46" s="237">
        <v>15699.820000000003</v>
      </c>
      <c r="S46" s="237"/>
      <c r="T46" s="357"/>
      <c r="U46" s="357"/>
      <c r="V46" s="89"/>
      <c r="W46" s="89"/>
      <c r="Z46" s="163" t="s">
        <v>47</v>
      </c>
      <c r="AA46" s="172">
        <v>296</v>
      </c>
      <c r="AB46" s="178" t="s">
        <v>121</v>
      </c>
    </row>
    <row r="47" spans="2:28" ht="15.75" customHeight="1" x14ac:dyDescent="0.25">
      <c r="B47" s="11" t="s">
        <v>44</v>
      </c>
      <c r="C47" s="236"/>
      <c r="D47" s="236"/>
      <c r="E47" s="236"/>
      <c r="F47" s="237">
        <v>30564.07</v>
      </c>
      <c r="G47" s="237">
        <v>37345.640000000014</v>
      </c>
      <c r="H47" s="237">
        <v>26225.600000000002</v>
      </c>
      <c r="I47" s="237">
        <v>27564.410000000003</v>
      </c>
      <c r="J47" s="237">
        <v>34654.049999999996</v>
      </c>
      <c r="K47" s="237">
        <v>27828.300000000003</v>
      </c>
      <c r="L47" s="237">
        <v>25838</v>
      </c>
      <c r="M47" s="237">
        <v>36361</v>
      </c>
      <c r="N47" s="357">
        <v>34250</v>
      </c>
      <c r="O47" s="237">
        <v>31642.03</v>
      </c>
      <c r="P47" s="237">
        <v>31086</v>
      </c>
      <c r="Q47" s="237">
        <v>32690.649999999998</v>
      </c>
      <c r="R47" s="237">
        <v>33301.57</v>
      </c>
      <c r="S47" s="237"/>
      <c r="T47" s="357"/>
      <c r="U47" s="357"/>
      <c r="V47" s="89"/>
      <c r="W47" s="89"/>
      <c r="Z47" s="163" t="s">
        <v>44</v>
      </c>
      <c r="AA47" s="172">
        <v>275</v>
      </c>
      <c r="AB47" s="178" t="s">
        <v>121</v>
      </c>
    </row>
    <row r="48" spans="2:28" x14ac:dyDescent="0.25">
      <c r="B48" s="11" t="s">
        <v>45</v>
      </c>
      <c r="C48" s="236"/>
      <c r="D48" s="236"/>
      <c r="E48" s="236"/>
      <c r="F48" s="237">
        <v>17411.27</v>
      </c>
      <c r="G48" s="237">
        <v>21163.599999999995</v>
      </c>
      <c r="H48" s="237">
        <v>17853.560000000001</v>
      </c>
      <c r="I48" s="237">
        <v>15575.670000000002</v>
      </c>
      <c r="J48" s="237">
        <v>19624.75</v>
      </c>
      <c r="K48" s="237">
        <v>24865.279999999999</v>
      </c>
      <c r="L48" s="237">
        <v>27831</v>
      </c>
      <c r="M48" s="237">
        <v>16358</v>
      </c>
      <c r="N48" s="357">
        <v>19799</v>
      </c>
      <c r="O48" s="237">
        <v>47108.270000000004</v>
      </c>
      <c r="P48" s="237">
        <v>11466</v>
      </c>
      <c r="Q48" s="237">
        <v>27449.539999999997</v>
      </c>
      <c r="R48" s="237">
        <v>19010.320000000007</v>
      </c>
      <c r="S48" s="237"/>
      <c r="T48" s="357"/>
      <c r="U48" s="357"/>
      <c r="V48" s="89"/>
      <c r="W48" s="89"/>
      <c r="Z48" s="163" t="s">
        <v>51</v>
      </c>
      <c r="AA48" s="172">
        <v>324</v>
      </c>
      <c r="AB48" t="s">
        <v>218</v>
      </c>
    </row>
    <row r="49" spans="2:28" x14ac:dyDescent="0.25">
      <c r="B49" s="11" t="s">
        <v>46</v>
      </c>
      <c r="C49" s="236"/>
      <c r="D49" s="236"/>
      <c r="E49" s="236"/>
      <c r="F49" s="237">
        <v>12436.119999999999</v>
      </c>
      <c r="G49" s="237">
        <v>22164.6</v>
      </c>
      <c r="H49" s="237">
        <v>20390.22</v>
      </c>
      <c r="I49" s="237">
        <v>12838.050000000001</v>
      </c>
      <c r="J49" s="237">
        <v>22519.210000000003</v>
      </c>
      <c r="K49" s="237">
        <v>20475.190000000006</v>
      </c>
      <c r="L49" s="237">
        <v>15443</v>
      </c>
      <c r="M49" s="237">
        <v>23153</v>
      </c>
      <c r="N49" s="357">
        <v>28733</v>
      </c>
      <c r="O49" s="237">
        <v>21213.699999999997</v>
      </c>
      <c r="P49" s="237">
        <v>13298</v>
      </c>
      <c r="Q49" s="237">
        <v>22089.259999999991</v>
      </c>
      <c r="R49" s="237">
        <v>12499.66</v>
      </c>
      <c r="S49" s="237"/>
      <c r="T49" s="357"/>
      <c r="U49" s="357"/>
      <c r="V49" s="89"/>
      <c r="W49" s="89"/>
      <c r="Z49" s="163" t="s">
        <v>54</v>
      </c>
      <c r="AA49" s="172">
        <v>245</v>
      </c>
      <c r="AB49" t="s">
        <v>218</v>
      </c>
    </row>
    <row r="50" spans="2:28" x14ac:dyDescent="0.25">
      <c r="B50" s="11" t="s">
        <v>47</v>
      </c>
      <c r="C50" s="236"/>
      <c r="D50" s="236"/>
      <c r="E50" s="236"/>
      <c r="F50" s="237">
        <v>14901.119999999999</v>
      </c>
      <c r="G50" s="237">
        <v>19800.309999999998</v>
      </c>
      <c r="H50" s="237">
        <v>19073.14</v>
      </c>
      <c r="I50" s="237">
        <v>13658.029999999999</v>
      </c>
      <c r="J50" s="237">
        <v>17900.5</v>
      </c>
      <c r="K50" s="237">
        <v>23860.47</v>
      </c>
      <c r="L50" s="237">
        <v>26252</v>
      </c>
      <c r="M50" s="237">
        <v>20898</v>
      </c>
      <c r="N50" s="357">
        <v>29213</v>
      </c>
      <c r="O50" s="237">
        <v>29580.780000000002</v>
      </c>
      <c r="P50" s="237">
        <v>24878</v>
      </c>
      <c r="Q50" s="237">
        <v>22271.340000000004</v>
      </c>
      <c r="R50" s="237">
        <v>20705.810000000005</v>
      </c>
      <c r="S50" s="237"/>
      <c r="T50" s="357"/>
      <c r="U50" s="357"/>
      <c r="V50" s="89"/>
      <c r="W50" s="89"/>
      <c r="Z50" s="164" t="s">
        <v>34</v>
      </c>
      <c r="AA50" s="173">
        <v>94</v>
      </c>
      <c r="AB50" t="s">
        <v>145</v>
      </c>
    </row>
    <row r="51" spans="2:28" x14ac:dyDescent="0.25">
      <c r="B51" s="238" t="s">
        <v>48</v>
      </c>
      <c r="C51" s="239"/>
      <c r="D51" s="239"/>
      <c r="E51" s="239"/>
      <c r="F51" s="240">
        <v>15911.24</v>
      </c>
      <c r="G51" s="240">
        <v>18984.669999999998</v>
      </c>
      <c r="H51" s="240">
        <v>18343.37</v>
      </c>
      <c r="I51" s="240">
        <v>18871.14</v>
      </c>
      <c r="J51" s="240">
        <v>24605.799999999996</v>
      </c>
      <c r="K51" s="240">
        <v>27672.9</v>
      </c>
      <c r="L51" s="345">
        <v>15929</v>
      </c>
      <c r="M51" s="240">
        <v>38396</v>
      </c>
      <c r="N51" s="358">
        <v>36523</v>
      </c>
      <c r="O51" s="345">
        <v>31325.909999999996</v>
      </c>
      <c r="P51" s="345">
        <v>43009</v>
      </c>
      <c r="Q51" s="345">
        <v>31740.650000000005</v>
      </c>
      <c r="R51" s="345">
        <v>40971.770000000004</v>
      </c>
      <c r="S51" s="345"/>
      <c r="T51" s="357"/>
      <c r="U51" s="357"/>
      <c r="V51" s="89"/>
      <c r="W51" s="89"/>
      <c r="Z51" s="164" t="s">
        <v>36</v>
      </c>
      <c r="AA51" s="173">
        <v>96</v>
      </c>
      <c r="AB51" t="s">
        <v>145</v>
      </c>
    </row>
    <row r="52" spans="2:28" x14ac:dyDescent="0.25">
      <c r="B52" s="11" t="s">
        <v>49</v>
      </c>
      <c r="F52" s="12">
        <v>26265.940000000002</v>
      </c>
      <c r="G52" s="12">
        <v>24458.699999999997</v>
      </c>
      <c r="H52" s="12">
        <v>38426.910000000003</v>
      </c>
      <c r="I52" s="12">
        <v>24426.329999999998</v>
      </c>
      <c r="J52" s="12">
        <v>29064.040000000005</v>
      </c>
      <c r="K52" s="12">
        <v>21933.39</v>
      </c>
      <c r="L52" s="237">
        <v>21317</v>
      </c>
      <c r="M52" s="237">
        <v>24295</v>
      </c>
      <c r="N52" s="355">
        <v>38131</v>
      </c>
      <c r="O52" s="237">
        <v>34405.39</v>
      </c>
      <c r="P52" s="237">
        <v>10157</v>
      </c>
      <c r="Q52" s="237">
        <v>32201.239999999998</v>
      </c>
      <c r="R52" s="237">
        <v>24178.2</v>
      </c>
      <c r="S52" s="237"/>
      <c r="T52" s="355"/>
      <c r="U52" s="357"/>
      <c r="V52" s="89"/>
      <c r="Z52" s="164" t="s">
        <v>37</v>
      </c>
      <c r="AA52" s="173">
        <v>179</v>
      </c>
      <c r="AB52" t="s">
        <v>145</v>
      </c>
    </row>
    <row r="53" spans="2:28" x14ac:dyDescent="0.25">
      <c r="B53" s="11" t="s">
        <v>50</v>
      </c>
      <c r="F53" s="12">
        <v>12223.18</v>
      </c>
      <c r="G53" s="12">
        <v>16562.990000000002</v>
      </c>
      <c r="H53" s="12">
        <v>17349.96</v>
      </c>
      <c r="I53" s="12">
        <v>13170.13</v>
      </c>
      <c r="J53" s="12">
        <v>14812.62</v>
      </c>
      <c r="K53" s="12">
        <v>25156.82</v>
      </c>
      <c r="L53" s="237">
        <v>21349</v>
      </c>
      <c r="M53" s="237">
        <v>29916</v>
      </c>
      <c r="N53" s="355">
        <v>37666</v>
      </c>
      <c r="O53" s="237">
        <v>36660.54</v>
      </c>
      <c r="P53" s="237">
        <v>36395</v>
      </c>
      <c r="Q53" s="237">
        <v>37217.460000000006</v>
      </c>
      <c r="R53" s="237">
        <v>34115.119999999995</v>
      </c>
      <c r="S53" s="237"/>
      <c r="T53" s="355"/>
      <c r="U53" s="355"/>
      <c r="V53" s="89"/>
      <c r="Z53" s="164" t="s">
        <v>39</v>
      </c>
      <c r="AA53" s="173">
        <v>88</v>
      </c>
      <c r="AB53" t="s">
        <v>145</v>
      </c>
    </row>
    <row r="54" spans="2:28" x14ac:dyDescent="0.25">
      <c r="B54" s="11" t="s">
        <v>51</v>
      </c>
      <c r="F54" s="12">
        <v>17944.830000000002</v>
      </c>
      <c r="G54" s="12">
        <v>17521.379999999997</v>
      </c>
      <c r="H54" s="12">
        <v>23144.71</v>
      </c>
      <c r="I54" s="12">
        <v>20855.87</v>
      </c>
      <c r="J54" s="12">
        <v>25260</v>
      </c>
      <c r="K54" s="12">
        <v>21457.919999999998</v>
      </c>
      <c r="L54" s="237">
        <v>-1024</v>
      </c>
      <c r="M54" s="237">
        <v>0</v>
      </c>
      <c r="N54" s="355">
        <v>0</v>
      </c>
      <c r="O54" s="237">
        <v>0</v>
      </c>
      <c r="P54" s="237">
        <v>0</v>
      </c>
      <c r="Q54" s="237">
        <v>0</v>
      </c>
      <c r="R54" s="237">
        <v>0</v>
      </c>
      <c r="S54" s="237"/>
      <c r="T54" s="355"/>
      <c r="U54" s="355"/>
      <c r="V54" s="89"/>
      <c r="Z54" s="164" t="s">
        <v>33</v>
      </c>
      <c r="AA54" s="173">
        <v>186</v>
      </c>
      <c r="AB54" t="s">
        <v>145</v>
      </c>
    </row>
    <row r="55" spans="2:28" ht="15" customHeight="1" x14ac:dyDescent="0.25">
      <c r="B55" s="11" t="s">
        <v>52</v>
      </c>
      <c r="F55" s="12">
        <v>19810.34</v>
      </c>
      <c r="G55" s="12">
        <v>22031.180000000004</v>
      </c>
      <c r="H55" s="12">
        <v>21969.069999999996</v>
      </c>
      <c r="I55" s="12">
        <v>23586.07</v>
      </c>
      <c r="J55" s="12">
        <v>16575.919999999998</v>
      </c>
      <c r="K55" s="12">
        <v>20760.390000000003</v>
      </c>
      <c r="L55" s="237">
        <v>17326</v>
      </c>
      <c r="M55" s="237">
        <v>20401</v>
      </c>
      <c r="N55" s="355">
        <v>25386</v>
      </c>
      <c r="O55" s="237">
        <v>18152.060000000001</v>
      </c>
      <c r="P55" s="237">
        <v>17386</v>
      </c>
      <c r="Q55" s="237">
        <v>24290.780000000006</v>
      </c>
      <c r="R55" s="237">
        <v>29031.610000000004</v>
      </c>
      <c r="S55" s="237"/>
      <c r="T55" s="355"/>
      <c r="U55" s="355"/>
      <c r="V55" s="89"/>
      <c r="Z55" s="164" t="s">
        <v>48</v>
      </c>
      <c r="AA55" s="173">
        <v>246</v>
      </c>
      <c r="AB55" s="178" t="s">
        <v>121</v>
      </c>
    </row>
    <row r="56" spans="2:28" ht="17.25" customHeight="1" x14ac:dyDescent="0.25">
      <c r="B56" s="11" t="s">
        <v>53</v>
      </c>
      <c r="F56" s="12">
        <v>11066.73</v>
      </c>
      <c r="G56" s="12">
        <v>15362.490000000002</v>
      </c>
      <c r="H56" s="12">
        <v>22973.879999999997</v>
      </c>
      <c r="I56" s="12">
        <v>18005.93</v>
      </c>
      <c r="J56" s="12">
        <v>24933.02</v>
      </c>
      <c r="K56" s="12">
        <v>30621.759999999998</v>
      </c>
      <c r="L56" s="237">
        <v>12358</v>
      </c>
      <c r="M56" s="237">
        <v>20855</v>
      </c>
      <c r="N56" s="355">
        <v>20878</v>
      </c>
      <c r="O56" s="237">
        <v>13825.83</v>
      </c>
      <c r="P56" s="237">
        <v>15789</v>
      </c>
      <c r="Q56" s="237">
        <v>18743.900000000001</v>
      </c>
      <c r="R56" s="237">
        <v>21755.860000000008</v>
      </c>
      <c r="S56" s="237"/>
      <c r="T56" s="355"/>
      <c r="U56" s="355"/>
      <c r="V56" s="89"/>
      <c r="Z56" s="164" t="s">
        <v>45</v>
      </c>
      <c r="AA56" s="173">
        <v>210</v>
      </c>
      <c r="AB56" s="178" t="s">
        <v>121</v>
      </c>
    </row>
    <row r="57" spans="2:28" x14ac:dyDescent="0.25">
      <c r="B57" s="11" t="s">
        <v>54</v>
      </c>
      <c r="F57" s="12">
        <v>15080.250000000002</v>
      </c>
      <c r="G57" s="12">
        <v>25883.809999999994</v>
      </c>
      <c r="H57" s="12">
        <v>15391.680000000002</v>
      </c>
      <c r="I57" s="12">
        <v>14739.619999999999</v>
      </c>
      <c r="J57" s="12">
        <v>23666.97</v>
      </c>
      <c r="K57" s="12">
        <v>16055.900000000001</v>
      </c>
      <c r="L57" s="237">
        <v>18915</v>
      </c>
      <c r="M57" s="237">
        <v>25579</v>
      </c>
      <c r="N57" s="355">
        <v>19776</v>
      </c>
      <c r="O57" s="237">
        <v>21998.050000000003</v>
      </c>
      <c r="P57" s="237">
        <v>20176</v>
      </c>
      <c r="Q57" s="237">
        <v>18993.27</v>
      </c>
      <c r="R57" s="237">
        <v>15046.560000000001</v>
      </c>
      <c r="S57" s="237"/>
      <c r="T57" s="355"/>
      <c r="U57" s="355"/>
      <c r="V57" s="89"/>
      <c r="Z57" s="164" t="s">
        <v>52</v>
      </c>
      <c r="AA57" s="173">
        <v>196</v>
      </c>
      <c r="AB57" t="s">
        <v>218</v>
      </c>
    </row>
    <row r="58" spans="2:28" x14ac:dyDescent="0.25">
      <c r="O58" s="237"/>
      <c r="P58" s="237"/>
      <c r="Q58" s="237"/>
      <c r="R58" s="237"/>
      <c r="S58" s="237"/>
      <c r="Z58" s="165" t="s">
        <v>53</v>
      </c>
      <c r="AA58" s="174">
        <v>223</v>
      </c>
      <c r="AB58" t="s">
        <v>218</v>
      </c>
    </row>
    <row r="59" spans="2:28" x14ac:dyDescent="0.25">
      <c r="B59" s="11" t="s">
        <v>158</v>
      </c>
      <c r="O59" s="237">
        <v>40632</v>
      </c>
      <c r="P59" s="237">
        <v>26004</v>
      </c>
      <c r="Q59" s="237">
        <v>27218.940000000002</v>
      </c>
      <c r="R59" s="237">
        <v>26970.03</v>
      </c>
      <c r="S59" s="237"/>
      <c r="Z59" s="164"/>
      <c r="AA59" s="173"/>
    </row>
    <row r="60" spans="2:28" x14ac:dyDescent="0.25">
      <c r="C60" s="10" t="s">
        <v>181</v>
      </c>
      <c r="D60" s="10" t="s">
        <v>182</v>
      </c>
      <c r="E60" s="10" t="s">
        <v>213</v>
      </c>
      <c r="F60" s="10" t="s">
        <v>202</v>
      </c>
      <c r="G60" s="10" t="s">
        <v>184</v>
      </c>
      <c r="H60" s="10" t="s">
        <v>214</v>
      </c>
      <c r="I60" s="9" t="s">
        <v>215</v>
      </c>
      <c r="J60" s="9" t="s">
        <v>188</v>
      </c>
      <c r="K60" s="9" t="s">
        <v>205</v>
      </c>
      <c r="L60" s="9" t="s">
        <v>190</v>
      </c>
      <c r="M60" s="9" t="s">
        <v>191</v>
      </c>
      <c r="N60" s="9" t="s">
        <v>192</v>
      </c>
      <c r="O60" s="365" t="s">
        <v>193</v>
      </c>
      <c r="P60" s="365" t="s">
        <v>194</v>
      </c>
      <c r="Q60" s="365" t="s">
        <v>195</v>
      </c>
      <c r="R60" s="365" t="s">
        <v>236</v>
      </c>
      <c r="S60" s="365"/>
      <c r="T60" s="9"/>
      <c r="U60" s="9"/>
      <c r="V60" s="9"/>
    </row>
    <row r="61" spans="2:28" x14ac:dyDescent="0.25">
      <c r="B61" t="s">
        <v>220</v>
      </c>
      <c r="C61" s="91">
        <v>99866.689999999988</v>
      </c>
      <c r="D61" s="91">
        <v>82285.179999999993</v>
      </c>
      <c r="E61" s="91">
        <v>83331.83</v>
      </c>
      <c r="F61" s="91">
        <v>85219.459999999992</v>
      </c>
      <c r="G61" s="91">
        <v>141384.93000000002</v>
      </c>
      <c r="H61" s="91">
        <v>95876.83</v>
      </c>
      <c r="I61" s="91">
        <v>78832.62000000001</v>
      </c>
      <c r="J61" s="91">
        <v>96864.260000000009</v>
      </c>
      <c r="K61" s="91">
        <v>85971.410000000033</v>
      </c>
      <c r="L61" s="91">
        <v>124754.07999999999</v>
      </c>
      <c r="M61" s="91">
        <v>98304</v>
      </c>
      <c r="N61" s="91">
        <v>135535</v>
      </c>
      <c r="O61" s="91">
        <v>93915</v>
      </c>
      <c r="P61" s="91">
        <v>109574.23</v>
      </c>
      <c r="Q61" s="91">
        <v>109004</v>
      </c>
      <c r="R61" s="91">
        <v>101932.38</v>
      </c>
      <c r="S61" s="91"/>
      <c r="T61" s="91"/>
      <c r="U61" s="91"/>
      <c r="V61" s="89"/>
    </row>
    <row r="62" spans="2:28" x14ac:dyDescent="0.25">
      <c r="B62" t="s">
        <v>141</v>
      </c>
      <c r="C62" s="91">
        <v>205303.14</v>
      </c>
      <c r="D62" s="91">
        <v>140804.37</v>
      </c>
      <c r="E62" s="91">
        <v>214122.81999999998</v>
      </c>
      <c r="F62" s="91">
        <v>179270</v>
      </c>
      <c r="G62" s="91">
        <v>185863.91</v>
      </c>
      <c r="H62" s="91">
        <v>225884.27</v>
      </c>
      <c r="I62" s="91">
        <v>204426.32</v>
      </c>
      <c r="J62" s="91">
        <v>168151.95000000004</v>
      </c>
      <c r="K62" s="91">
        <v>180768.18</v>
      </c>
      <c r="L62" s="91">
        <v>180176.91999999998</v>
      </c>
      <c r="M62" s="91">
        <v>229912</v>
      </c>
      <c r="N62" s="91">
        <v>247337</v>
      </c>
      <c r="O62" s="91">
        <v>163405</v>
      </c>
      <c r="P62" s="91">
        <v>163851.91999999998</v>
      </c>
      <c r="Q62" s="91">
        <v>254096.94000000003</v>
      </c>
      <c r="R62" s="91">
        <v>175219.16</v>
      </c>
      <c r="S62" s="91"/>
      <c r="T62" s="91"/>
      <c r="U62" s="91"/>
      <c r="V62" s="89"/>
    </row>
    <row r="63" spans="2:28" x14ac:dyDescent="0.25">
      <c r="B63" t="s">
        <v>142</v>
      </c>
      <c r="C63" s="91">
        <v>29536.010000000006</v>
      </c>
      <c r="D63" s="91">
        <v>38285.780000000006</v>
      </c>
      <c r="E63" s="91">
        <v>34052.090000000004</v>
      </c>
      <c r="F63" s="91">
        <v>34532.920000000006</v>
      </c>
      <c r="G63" s="91">
        <v>35287.86</v>
      </c>
      <c r="H63" s="91">
        <v>34970.15</v>
      </c>
      <c r="I63" s="91">
        <v>32744.519999999997</v>
      </c>
      <c r="J63" s="91">
        <v>32349.7</v>
      </c>
      <c r="K63" s="91">
        <v>22867.47</v>
      </c>
      <c r="L63" s="91">
        <v>25678.109999999997</v>
      </c>
      <c r="M63" s="91">
        <v>37814</v>
      </c>
      <c r="N63" s="91">
        <v>43793</v>
      </c>
      <c r="O63" s="91">
        <v>33231</v>
      </c>
      <c r="P63" s="91">
        <v>40667.80000000001</v>
      </c>
      <c r="Q63" s="91">
        <v>65415.5</v>
      </c>
      <c r="R63" s="91">
        <v>38110.759999999987</v>
      </c>
      <c r="S63" s="91"/>
      <c r="T63" s="91"/>
      <c r="U63" s="91"/>
      <c r="V63" s="89"/>
    </row>
    <row r="64" spans="2:28" x14ac:dyDescent="0.25">
      <c r="B64" t="s">
        <v>217</v>
      </c>
      <c r="C64" s="91">
        <v>253770.78</v>
      </c>
      <c r="D64" s="91">
        <v>184655.43</v>
      </c>
      <c r="E64" s="91">
        <v>164011.01</v>
      </c>
      <c r="F64" s="91">
        <v>148617.07999999999</v>
      </c>
      <c r="G64" s="91">
        <v>124068.19999999998</v>
      </c>
      <c r="H64" s="91">
        <v>121624.47</v>
      </c>
      <c r="I64" s="91">
        <v>123449.89</v>
      </c>
      <c r="J64" s="91">
        <v>183654.63999999998</v>
      </c>
      <c r="K64" s="91">
        <v>149109.68000000002</v>
      </c>
      <c r="L64" s="91">
        <v>146528.58000000002</v>
      </c>
      <c r="M64" s="91">
        <v>130869</v>
      </c>
      <c r="N64" s="91">
        <v>162156</v>
      </c>
      <c r="O64" s="91">
        <v>244427.57</v>
      </c>
      <c r="P64" s="91">
        <v>176570</v>
      </c>
      <c r="Q64" s="91">
        <v>165257.21000000002</v>
      </c>
      <c r="R64" s="91">
        <v>160232.87999999998</v>
      </c>
      <c r="S64" s="91"/>
      <c r="T64" s="91"/>
      <c r="U64" s="91"/>
      <c r="V64" s="89"/>
    </row>
    <row r="65" spans="2:22" x14ac:dyDescent="0.25">
      <c r="B65" t="s">
        <v>144</v>
      </c>
      <c r="C65" s="91">
        <v>143000.21000000002</v>
      </c>
      <c r="D65" s="91">
        <v>149565.58000000005</v>
      </c>
      <c r="E65" s="91">
        <v>165927.71</v>
      </c>
      <c r="F65" s="91">
        <v>133850.01</v>
      </c>
      <c r="G65" s="91">
        <v>128013.35</v>
      </c>
      <c r="H65" s="91">
        <v>128343.29</v>
      </c>
      <c r="I65" s="91">
        <v>124925.83</v>
      </c>
      <c r="J65" s="91">
        <v>146485.37</v>
      </c>
      <c r="K65" s="91">
        <v>159316.71000000002</v>
      </c>
      <c r="L65" s="91">
        <v>152489.92000000001</v>
      </c>
      <c r="M65" s="91">
        <v>128027</v>
      </c>
      <c r="N65" s="91">
        <v>142521</v>
      </c>
      <c r="O65" s="91">
        <v>200812.30000000005</v>
      </c>
      <c r="P65" s="91">
        <v>147668</v>
      </c>
      <c r="Q65" s="91">
        <v>154532.32</v>
      </c>
      <c r="R65" s="91">
        <v>148087.29</v>
      </c>
      <c r="S65" s="91"/>
      <c r="T65" s="91"/>
      <c r="U65" s="91"/>
      <c r="V65" s="89"/>
    </row>
    <row r="66" spans="2:22" x14ac:dyDescent="0.25">
      <c r="B66" t="s">
        <v>145</v>
      </c>
      <c r="F66" s="91">
        <v>105085.04</v>
      </c>
      <c r="G66" s="91">
        <v>111614.55000000002</v>
      </c>
      <c r="H66" s="91">
        <v>125747.93999999999</v>
      </c>
      <c r="I66" s="91">
        <v>106587.07</v>
      </c>
      <c r="J66" s="91">
        <v>131618.74</v>
      </c>
      <c r="K66" s="91">
        <v>137087.01</v>
      </c>
      <c r="L66" s="91">
        <v>132500</v>
      </c>
      <c r="M66" s="91">
        <v>154572</v>
      </c>
      <c r="N66" s="91">
        <v>155823</v>
      </c>
      <c r="O66" s="91">
        <v>129179.18</v>
      </c>
      <c r="P66" s="91">
        <v>118356</v>
      </c>
      <c r="Q66" s="91">
        <v>103972.39000000001</v>
      </c>
      <c r="R66" s="91">
        <v>117854.08000000002</v>
      </c>
      <c r="S66" s="91"/>
      <c r="T66" s="91"/>
      <c r="U66" s="91"/>
      <c r="V66" s="89"/>
    </row>
    <row r="67" spans="2:22" x14ac:dyDescent="0.25">
      <c r="B67" t="s">
        <v>121</v>
      </c>
      <c r="F67" s="91">
        <v>152188.79999999999</v>
      </c>
      <c r="G67" s="91">
        <v>183753.8</v>
      </c>
      <c r="H67" s="91">
        <v>180755.05</v>
      </c>
      <c r="I67" s="91">
        <v>153748.25</v>
      </c>
      <c r="J67" s="91">
        <v>205641.45999999996</v>
      </c>
      <c r="K67" s="91">
        <v>208489.62</v>
      </c>
      <c r="L67" s="91">
        <v>180417</v>
      </c>
      <c r="M67" s="91">
        <v>230375</v>
      </c>
      <c r="N67" s="91">
        <v>247902</v>
      </c>
      <c r="O67" s="91">
        <v>233009.81</v>
      </c>
      <c r="P67" s="91">
        <v>182316</v>
      </c>
      <c r="Q67" s="91">
        <v>238110.20999999996</v>
      </c>
      <c r="R67" s="91">
        <v>184602.98000000004</v>
      </c>
      <c r="S67" s="91"/>
      <c r="T67" s="91"/>
      <c r="U67" s="91"/>
      <c r="V67" s="89"/>
    </row>
    <row r="68" spans="2:22" x14ac:dyDescent="0.25">
      <c r="B68" t="s">
        <v>218</v>
      </c>
      <c r="F68" s="91">
        <v>102391.27</v>
      </c>
      <c r="G68" s="91">
        <v>121820.55</v>
      </c>
      <c r="H68" s="91">
        <v>139256.21</v>
      </c>
      <c r="I68" s="91">
        <v>114783.94999999998</v>
      </c>
      <c r="J68" s="91">
        <v>134312.57</v>
      </c>
      <c r="K68" s="91">
        <v>135986.18</v>
      </c>
      <c r="L68" s="91">
        <v>90241</v>
      </c>
      <c r="M68" s="91">
        <v>121046</v>
      </c>
      <c r="N68" s="91">
        <v>141837</v>
      </c>
      <c r="O68" s="91">
        <v>125041.87</v>
      </c>
      <c r="P68" s="91">
        <v>99903</v>
      </c>
      <c r="Q68" s="91">
        <v>131446.65</v>
      </c>
      <c r="R68" s="91">
        <v>124127.35</v>
      </c>
      <c r="S68" s="91"/>
      <c r="T68" s="91"/>
      <c r="U68" s="91"/>
      <c r="V68" s="89"/>
    </row>
    <row r="69" spans="2:22" x14ac:dyDescent="0.25">
      <c r="B69" t="s">
        <v>221</v>
      </c>
      <c r="C69" s="354">
        <v>731000</v>
      </c>
      <c r="D69" s="354">
        <v>596000</v>
      </c>
      <c r="E69" s="354">
        <v>661000</v>
      </c>
      <c r="F69" s="354">
        <v>581000</v>
      </c>
      <c r="G69" s="354">
        <v>615000</v>
      </c>
      <c r="H69" s="354">
        <v>607000</v>
      </c>
      <c r="I69" s="354">
        <v>564000</v>
      </c>
      <c r="J69" s="354">
        <v>628000</v>
      </c>
      <c r="K69" s="354">
        <v>598000</v>
      </c>
      <c r="L69" s="354">
        <v>630000</v>
      </c>
      <c r="M69" s="354">
        <v>625000</v>
      </c>
      <c r="N69" s="354">
        <v>731000</v>
      </c>
      <c r="O69" s="354">
        <v>736000</v>
      </c>
      <c r="P69" s="354">
        <v>638000</v>
      </c>
      <c r="Q69" s="354">
        <v>748000</v>
      </c>
      <c r="R69" s="354">
        <v>624000</v>
      </c>
      <c r="S69" s="354"/>
      <c r="T69" s="354"/>
      <c r="U69" s="354"/>
    </row>
    <row r="70" spans="2:22" x14ac:dyDescent="0.25">
      <c r="C70" s="10" t="s">
        <v>181</v>
      </c>
      <c r="D70" s="10" t="s">
        <v>182</v>
      </c>
      <c r="E70" s="10" t="s">
        <v>213</v>
      </c>
      <c r="F70" s="10" t="s">
        <v>202</v>
      </c>
      <c r="G70" s="10" t="s">
        <v>184</v>
      </c>
      <c r="H70" s="10" t="s">
        <v>214</v>
      </c>
      <c r="I70" s="9" t="s">
        <v>215</v>
      </c>
      <c r="J70" s="9" t="s">
        <v>188</v>
      </c>
      <c r="K70" s="9" t="s">
        <v>205</v>
      </c>
      <c r="L70" s="9" t="s">
        <v>190</v>
      </c>
      <c r="M70" s="9" t="s">
        <v>191</v>
      </c>
      <c r="N70" s="9" t="s">
        <v>192</v>
      </c>
      <c r="O70" s="365" t="s">
        <v>193</v>
      </c>
      <c r="P70" s="365" t="s">
        <v>194</v>
      </c>
      <c r="Q70" s="365" t="s">
        <v>195</v>
      </c>
      <c r="R70" s="365" t="s">
        <v>236</v>
      </c>
      <c r="S70" s="365"/>
      <c r="T70" s="9"/>
      <c r="U70" s="9"/>
    </row>
    <row r="71" spans="2:22" x14ac:dyDescent="0.25">
      <c r="B71" t="s">
        <v>220</v>
      </c>
      <c r="C71" s="91">
        <v>146.43209677419352</v>
      </c>
      <c r="D71" s="91">
        <v>120.65275659824046</v>
      </c>
      <c r="E71" s="91">
        <v>122.18743401759531</v>
      </c>
      <c r="F71" s="91">
        <v>124.95521994134896</v>
      </c>
      <c r="G71" s="91">
        <v>207.30928152492672</v>
      </c>
      <c r="H71" s="91">
        <v>140.58186217008799</v>
      </c>
      <c r="I71" s="91">
        <v>115.59035190615838</v>
      </c>
      <c r="J71" s="91">
        <v>142.02970674486804</v>
      </c>
      <c r="K71" s="91">
        <v>126.05778592375371</v>
      </c>
      <c r="L71" s="91">
        <v>182.92387096774192</v>
      </c>
      <c r="M71" s="91">
        <v>144.14076246334312</v>
      </c>
      <c r="N71" s="91">
        <v>198.73167155425219</v>
      </c>
      <c r="O71" s="91">
        <v>137.70527859237538</v>
      </c>
      <c r="P71" s="91">
        <v>160.66602639296187</v>
      </c>
      <c r="Q71" s="91">
        <v>159.82991202346042</v>
      </c>
      <c r="R71" s="91">
        <v>149.46096774193549</v>
      </c>
      <c r="S71" s="91"/>
      <c r="T71" s="91"/>
      <c r="U71" s="91"/>
    </row>
    <row r="72" spans="2:22" x14ac:dyDescent="0.25">
      <c r="B72" t="s">
        <v>141</v>
      </c>
      <c r="C72" s="91">
        <v>126.34039384615386</v>
      </c>
      <c r="D72" s="91">
        <v>86.648843076923072</v>
      </c>
      <c r="E72" s="91">
        <v>131.76788923076921</v>
      </c>
      <c r="F72" s="91">
        <v>110.32</v>
      </c>
      <c r="G72" s="91">
        <v>114.37779076923077</v>
      </c>
      <c r="H72" s="91">
        <v>139.00570461538462</v>
      </c>
      <c r="I72" s="91">
        <v>125.80081230769231</v>
      </c>
      <c r="J72" s="91">
        <v>103.4781230769231</v>
      </c>
      <c r="K72" s="91">
        <v>111.24195692307691</v>
      </c>
      <c r="L72" s="91">
        <v>110.8781046153846</v>
      </c>
      <c r="M72" s="91">
        <v>141.48430769230768</v>
      </c>
      <c r="N72" s="91">
        <v>152.20738461538463</v>
      </c>
      <c r="O72" s="91">
        <v>100.55692307692307</v>
      </c>
      <c r="P72" s="91">
        <v>100.83195076923076</v>
      </c>
      <c r="Q72" s="91">
        <v>156.3673476923077</v>
      </c>
      <c r="R72" s="91">
        <v>107.82717538461539</v>
      </c>
      <c r="S72" s="91"/>
      <c r="T72" s="91"/>
      <c r="U72" s="91"/>
    </row>
    <row r="73" spans="2:22" x14ac:dyDescent="0.25">
      <c r="B73" t="s">
        <v>142</v>
      </c>
      <c r="C73" s="91">
        <v>81.817202216066491</v>
      </c>
      <c r="D73" s="91">
        <v>106.05479224376732</v>
      </c>
      <c r="E73" s="91">
        <v>94.327119113573417</v>
      </c>
      <c r="F73" s="91">
        <v>95.659058171745173</v>
      </c>
      <c r="G73" s="91">
        <v>97.750304709141275</v>
      </c>
      <c r="H73" s="91">
        <v>96.870221606648201</v>
      </c>
      <c r="I73" s="91">
        <v>90.705041551246524</v>
      </c>
      <c r="J73" s="91">
        <v>89.611357340720218</v>
      </c>
      <c r="K73" s="91">
        <v>63.344792243767316</v>
      </c>
      <c r="L73" s="91">
        <v>71.130498614958441</v>
      </c>
      <c r="M73" s="91">
        <v>104.74792243767313</v>
      </c>
      <c r="N73" s="91">
        <v>121.31024930747922</v>
      </c>
      <c r="O73" s="91">
        <v>92.05263157894737</v>
      </c>
      <c r="P73" s="91">
        <v>112.65318559556789</v>
      </c>
      <c r="Q73" s="91">
        <v>181.20637119113573</v>
      </c>
      <c r="R73" s="91">
        <v>105.56997229916894</v>
      </c>
      <c r="S73" s="91"/>
      <c r="T73" s="91"/>
      <c r="U73" s="91"/>
    </row>
    <row r="74" spans="2:22" x14ac:dyDescent="0.25">
      <c r="B74" t="s">
        <v>217</v>
      </c>
      <c r="C74" s="91">
        <v>196.11343122102008</v>
      </c>
      <c r="D74" s="91">
        <v>142.70125965996908</v>
      </c>
      <c r="E74" s="91">
        <v>126.7473029366306</v>
      </c>
      <c r="F74" s="91">
        <v>114.8509119010819</v>
      </c>
      <c r="G74" s="91">
        <v>95.879598145285925</v>
      </c>
      <c r="H74" s="91">
        <v>93.991089644513139</v>
      </c>
      <c r="I74" s="91">
        <v>95.401769706336935</v>
      </c>
      <c r="J74" s="91">
        <v>141.92785162287478</v>
      </c>
      <c r="K74" s="91">
        <v>115.23159196290574</v>
      </c>
      <c r="L74" s="91">
        <v>113.23692426584236</v>
      </c>
      <c r="M74" s="91">
        <v>101.13523956723338</v>
      </c>
      <c r="N74" s="91">
        <v>125.31375579598145</v>
      </c>
      <c r="O74" s="91">
        <v>188.89302163833077</v>
      </c>
      <c r="P74" s="91">
        <v>136.45285935085008</v>
      </c>
      <c r="Q74" s="91">
        <v>127.71036321483773</v>
      </c>
      <c r="R74" s="91">
        <v>123.82757341576504</v>
      </c>
      <c r="S74" s="91"/>
      <c r="T74" s="91"/>
      <c r="U74" s="91"/>
    </row>
    <row r="75" spans="2:22" x14ac:dyDescent="0.25">
      <c r="B75" t="s">
        <v>144</v>
      </c>
      <c r="C75" s="91">
        <v>146.81746406570844</v>
      </c>
      <c r="D75" s="91">
        <v>153.55809034907602</v>
      </c>
      <c r="E75" s="91">
        <v>170.35699178644762</v>
      </c>
      <c r="F75" s="91">
        <v>137.42300821355238</v>
      </c>
      <c r="G75" s="91">
        <v>131.43054414784396</v>
      </c>
      <c r="H75" s="91">
        <v>131.76929158110883</v>
      </c>
      <c r="I75" s="91">
        <v>128.26060574948664</v>
      </c>
      <c r="J75" s="91">
        <v>150.39565708418891</v>
      </c>
      <c r="K75" s="91">
        <v>163.5695174537988</v>
      </c>
      <c r="L75" s="91">
        <v>156.56049281314171</v>
      </c>
      <c r="M75" s="91">
        <v>131.44455852156057</v>
      </c>
      <c r="N75" s="91">
        <v>146.32546201232032</v>
      </c>
      <c r="O75" s="91">
        <v>206.17279260780293</v>
      </c>
      <c r="P75" s="91">
        <v>151.60985626283369</v>
      </c>
      <c r="Q75" s="91">
        <v>158.65741273100616</v>
      </c>
      <c r="R75" s="91">
        <v>152.04033880903492</v>
      </c>
      <c r="S75" s="91"/>
      <c r="T75" s="91"/>
      <c r="U75" s="91"/>
    </row>
    <row r="76" spans="2:22" x14ac:dyDescent="0.25">
      <c r="B76" t="s">
        <v>145</v>
      </c>
      <c r="F76" s="91">
        <v>80.217587786259543</v>
      </c>
      <c r="G76" s="91">
        <v>85.201946564885503</v>
      </c>
      <c r="H76" s="91">
        <v>95.990793893129762</v>
      </c>
      <c r="I76" s="91">
        <v>81.364175572519088</v>
      </c>
      <c r="J76" s="91">
        <v>100.47232061068702</v>
      </c>
      <c r="K76" s="91">
        <v>104.64657251908397</v>
      </c>
      <c r="L76" s="91">
        <v>101.14503816793894</v>
      </c>
      <c r="M76" s="91">
        <v>117.993893129771</v>
      </c>
      <c r="N76" s="91">
        <v>118.94885496183205</v>
      </c>
      <c r="O76" s="91">
        <v>98.610061068702279</v>
      </c>
      <c r="P76" s="91">
        <v>90.348091603053433</v>
      </c>
      <c r="Q76" s="91">
        <v>79.368236641221387</v>
      </c>
      <c r="R76" s="91">
        <v>89.964946564885508</v>
      </c>
      <c r="S76" s="91"/>
      <c r="T76" s="91"/>
      <c r="U76" s="91"/>
    </row>
    <row r="77" spans="2:22" x14ac:dyDescent="0.25">
      <c r="B77" t="s">
        <v>121</v>
      </c>
      <c r="F77" s="91">
        <v>73.238113570741092</v>
      </c>
      <c r="G77" s="91">
        <v>88.428200192492781</v>
      </c>
      <c r="H77" s="91">
        <v>86.98510587102983</v>
      </c>
      <c r="I77" s="91">
        <v>73.988570741097206</v>
      </c>
      <c r="J77" s="91">
        <v>98.961241578440791</v>
      </c>
      <c r="K77" s="91">
        <v>100.33186717998075</v>
      </c>
      <c r="L77" s="91">
        <v>86.822425409047156</v>
      </c>
      <c r="M77" s="91">
        <v>110.86381135707411</v>
      </c>
      <c r="N77" s="91">
        <v>119.29836381135708</v>
      </c>
      <c r="O77" s="91">
        <v>112.13176612127045</v>
      </c>
      <c r="P77" s="91">
        <v>87.73628488931665</v>
      </c>
      <c r="Q77" s="91">
        <v>114.58624157844079</v>
      </c>
      <c r="R77" s="91">
        <v>88.836852743022149</v>
      </c>
      <c r="S77" s="91"/>
      <c r="T77" s="91"/>
      <c r="U77" s="91"/>
    </row>
    <row r="78" spans="2:22" x14ac:dyDescent="0.25">
      <c r="B78" t="s">
        <v>218</v>
      </c>
      <c r="F78" s="91">
        <v>68.672883970489607</v>
      </c>
      <c r="G78" s="91">
        <v>81.703923541247491</v>
      </c>
      <c r="H78" s="91">
        <v>93.397860496311196</v>
      </c>
      <c r="I78" s="91">
        <v>76.984540576794089</v>
      </c>
      <c r="J78" s="91">
        <v>90.082206572769962</v>
      </c>
      <c r="K78" s="91">
        <v>91.204681421864521</v>
      </c>
      <c r="L78" s="91">
        <v>60.523809523809526</v>
      </c>
      <c r="M78" s="91">
        <v>81.184439973172374</v>
      </c>
      <c r="N78" s="91">
        <v>95.128772635814883</v>
      </c>
      <c r="O78" s="91">
        <v>83.864433266264243</v>
      </c>
      <c r="P78" s="91">
        <v>67.00402414486922</v>
      </c>
      <c r="Q78" s="91">
        <v>88.160060362173041</v>
      </c>
      <c r="R78" s="91">
        <v>83.25107310529846</v>
      </c>
      <c r="S78" s="91"/>
      <c r="T78" s="91"/>
      <c r="U78" s="91"/>
    </row>
    <row r="80" spans="2:22" x14ac:dyDescent="0.25">
      <c r="B80" t="s">
        <v>240</v>
      </c>
      <c r="C80" t="s">
        <v>230</v>
      </c>
      <c r="D80" t="s">
        <v>222</v>
      </c>
      <c r="E80" t="s">
        <v>223</v>
      </c>
      <c r="F80" t="s">
        <v>224</v>
      </c>
      <c r="G80" s="91" t="s">
        <v>239</v>
      </c>
      <c r="H80" s="91" t="s">
        <v>238</v>
      </c>
    </row>
    <row r="81" spans="2:22" x14ac:dyDescent="0.25">
      <c r="B81" t="s">
        <v>220</v>
      </c>
      <c r="C81" s="89">
        <v>265483.7</v>
      </c>
      <c r="D81" s="89">
        <v>322481.22000000003</v>
      </c>
      <c r="E81" s="89">
        <v>261668.29000000004</v>
      </c>
      <c r="F81" s="89">
        <v>358593.07999999996</v>
      </c>
      <c r="G81" s="89">
        <v>312493.23</v>
      </c>
    </row>
    <row r="82" spans="2:22" x14ac:dyDescent="0.25">
      <c r="B82" t="s">
        <v>141</v>
      </c>
      <c r="C82" s="89">
        <v>560230.32999999996</v>
      </c>
      <c r="D82" s="89">
        <v>591018.18000000005</v>
      </c>
      <c r="E82" s="89">
        <v>553346.44999999995</v>
      </c>
      <c r="F82" s="89">
        <v>657425.91999999993</v>
      </c>
      <c r="G82" s="89">
        <v>581353.86</v>
      </c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</row>
    <row r="83" spans="2:22" x14ac:dyDescent="0.25">
      <c r="B83" t="s">
        <v>142</v>
      </c>
      <c r="C83" s="89">
        <v>101873.88</v>
      </c>
      <c r="D83" s="89">
        <v>104790.93</v>
      </c>
      <c r="E83" s="89">
        <v>87961.69</v>
      </c>
      <c r="F83" s="89">
        <v>107285.11</v>
      </c>
      <c r="G83" s="89">
        <v>139314.30000000002</v>
      </c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</row>
    <row r="84" spans="2:22" x14ac:dyDescent="0.25">
      <c r="B84" t="s">
        <v>217</v>
      </c>
      <c r="C84" s="89">
        <v>602437.22</v>
      </c>
      <c r="D84" s="89">
        <v>394309.75</v>
      </c>
      <c r="E84" s="89">
        <v>456214.20999999996</v>
      </c>
      <c r="F84" s="89">
        <v>439553.58</v>
      </c>
      <c r="G84" s="89">
        <v>586254.78</v>
      </c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</row>
    <row r="85" spans="2:22" x14ac:dyDescent="0.25">
      <c r="B85" t="s">
        <v>144</v>
      </c>
      <c r="C85" s="89">
        <v>458493.5</v>
      </c>
      <c r="D85" s="89">
        <v>390206.65</v>
      </c>
      <c r="E85" s="89">
        <v>430727.91000000003</v>
      </c>
      <c r="F85" s="89">
        <v>423037.92000000004</v>
      </c>
      <c r="G85" s="89">
        <v>503012.62000000005</v>
      </c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</row>
    <row r="86" spans="2:22" x14ac:dyDescent="0.25">
      <c r="B86" t="s">
        <v>145</v>
      </c>
      <c r="C86" s="89"/>
      <c r="D86" s="89">
        <v>342447.53</v>
      </c>
      <c r="E86" s="89">
        <v>375292.82</v>
      </c>
      <c r="F86" s="89">
        <v>442895</v>
      </c>
      <c r="G86" s="89">
        <v>351507.57</v>
      </c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</row>
    <row r="87" spans="2:22" x14ac:dyDescent="0.25">
      <c r="B87" t="s">
        <v>121</v>
      </c>
      <c r="C87" s="89"/>
      <c r="D87" s="89">
        <v>516697.64999999997</v>
      </c>
      <c r="E87" s="89">
        <v>567879.32999999996</v>
      </c>
      <c r="F87" s="89">
        <v>658694</v>
      </c>
      <c r="G87" s="89">
        <v>653436.02</v>
      </c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 spans="2:22" x14ac:dyDescent="0.25">
      <c r="B88" t="s">
        <v>218</v>
      </c>
      <c r="C88" s="89"/>
      <c r="D88" s="89">
        <v>363468.03</v>
      </c>
      <c r="E88" s="89">
        <v>385082.69999999995</v>
      </c>
      <c r="F88" s="89">
        <v>353124</v>
      </c>
      <c r="G88" s="89">
        <v>356391.52</v>
      </c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</row>
    <row r="89" spans="2:22" x14ac:dyDescent="0.25">
      <c r="C89" s="89"/>
      <c r="D89" s="89"/>
      <c r="E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</row>
    <row r="90" spans="2:22" x14ac:dyDescent="0.25">
      <c r="C90" s="89"/>
      <c r="D90" s="89"/>
      <c r="E90" s="89"/>
    </row>
    <row r="91" spans="2:22" x14ac:dyDescent="0.25">
      <c r="C91" s="89"/>
      <c r="D91" s="89"/>
      <c r="E91" s="89"/>
    </row>
    <row r="92" spans="2:22" x14ac:dyDescent="0.25">
      <c r="C92" s="89"/>
      <c r="D92" s="89"/>
      <c r="E92" s="89"/>
    </row>
    <row r="103" spans="9:28" x14ac:dyDescent="0.25">
      <c r="W103" s="91"/>
      <c r="X103" s="91"/>
      <c r="Y103" s="91"/>
      <c r="Z103" s="91"/>
      <c r="AA103" s="91"/>
      <c r="AB103" s="91"/>
    </row>
    <row r="104" spans="9:28" x14ac:dyDescent="0.25">
      <c r="W104" s="156"/>
    </row>
    <row r="112" spans="9:28" x14ac:dyDescent="0.25"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89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014A-5368-4845-910D-B47BBB100CD3}">
  <dimension ref="B1:X88"/>
  <sheetViews>
    <sheetView topLeftCell="A22" zoomScale="70" zoomScaleNormal="70" workbookViewId="0">
      <pane xSplit="2" topLeftCell="C1" activePane="topRight" state="frozen"/>
      <selection activeCell="Z60" sqref="Z60"/>
      <selection pane="topRight" activeCell="AE63" sqref="AE63"/>
    </sheetView>
  </sheetViews>
  <sheetFormatPr defaultRowHeight="15" x14ac:dyDescent="0.25"/>
  <cols>
    <col min="2" max="2" width="13.85546875" bestFit="1" customWidth="1"/>
    <col min="3" max="3" width="11.5703125" bestFit="1" customWidth="1"/>
    <col min="4" max="7" width="12" bestFit="1" customWidth="1"/>
    <col min="8" max="18" width="10.5703125" bestFit="1" customWidth="1"/>
    <col min="19" max="19" width="10.5703125" customWidth="1"/>
    <col min="20" max="21" width="10.140625" bestFit="1" customWidth="1"/>
    <col min="22" max="22" width="16.42578125" bestFit="1" customWidth="1"/>
    <col min="23" max="23" width="6.28515625" bestFit="1" customWidth="1"/>
  </cols>
  <sheetData>
    <row r="1" spans="2:23" x14ac:dyDescent="0.25">
      <c r="V1">
        <v>2</v>
      </c>
    </row>
    <row r="2" spans="2:23" x14ac:dyDescent="0.25">
      <c r="B2" s="10" t="s">
        <v>63</v>
      </c>
      <c r="C2" s="10" t="s">
        <v>181</v>
      </c>
      <c r="D2" s="10" t="s">
        <v>182</v>
      </c>
      <c r="E2" s="10" t="s">
        <v>213</v>
      </c>
      <c r="F2" s="10" t="s">
        <v>202</v>
      </c>
      <c r="G2" s="10" t="s">
        <v>184</v>
      </c>
      <c r="H2" s="10" t="s">
        <v>214</v>
      </c>
      <c r="I2" s="9" t="s">
        <v>215</v>
      </c>
      <c r="J2" s="9" t="s">
        <v>188</v>
      </c>
      <c r="K2" s="9" t="s">
        <v>205</v>
      </c>
      <c r="L2" s="9" t="s">
        <v>190</v>
      </c>
      <c r="M2" s="9" t="s">
        <v>191</v>
      </c>
      <c r="N2" s="9" t="s">
        <v>192</v>
      </c>
      <c r="O2" s="365" t="s">
        <v>193</v>
      </c>
      <c r="P2" s="365" t="s">
        <v>194</v>
      </c>
      <c r="Q2" s="365" t="s">
        <v>195</v>
      </c>
      <c r="R2" s="365" t="s">
        <v>236</v>
      </c>
      <c r="S2" s="365"/>
      <c r="T2" s="9"/>
      <c r="U2" s="9"/>
      <c r="V2" t="s">
        <v>216</v>
      </c>
    </row>
    <row r="3" spans="2:23" x14ac:dyDescent="0.25">
      <c r="B3" t="s">
        <v>2</v>
      </c>
      <c r="C3" s="236">
        <v>1054.0999999999999</v>
      </c>
      <c r="D3" s="236">
        <v>1785.38</v>
      </c>
      <c r="E3" s="236">
        <v>203.77</v>
      </c>
      <c r="F3" s="237">
        <v>425.86</v>
      </c>
      <c r="G3" s="237">
        <v>764.07999999999993</v>
      </c>
      <c r="H3" s="237">
        <v>520.52</v>
      </c>
      <c r="I3" s="237">
        <v>1140.73</v>
      </c>
      <c r="J3" s="237">
        <v>1064.75</v>
      </c>
      <c r="K3" s="237">
        <v>874.97</v>
      </c>
      <c r="L3" s="237">
        <v>606.51</v>
      </c>
      <c r="M3" s="237">
        <v>1435</v>
      </c>
      <c r="N3" s="237">
        <v>360</v>
      </c>
      <c r="O3" s="237">
        <v>1362</v>
      </c>
      <c r="P3" s="237">
        <v>58.81</v>
      </c>
      <c r="Q3" s="237">
        <v>1794</v>
      </c>
      <c r="R3" s="237">
        <v>2868.76</v>
      </c>
      <c r="S3" s="237"/>
      <c r="T3" s="237"/>
      <c r="U3" s="237"/>
      <c r="V3" t="s">
        <v>119</v>
      </c>
      <c r="W3">
        <v>682</v>
      </c>
    </row>
    <row r="4" spans="2:23" x14ac:dyDescent="0.25">
      <c r="B4" t="s">
        <v>3</v>
      </c>
      <c r="C4" s="236">
        <v>8545.92</v>
      </c>
      <c r="D4" s="236">
        <v>6773.63</v>
      </c>
      <c r="E4" s="236">
        <v>7091.18</v>
      </c>
      <c r="F4" s="237">
        <v>16631.41</v>
      </c>
      <c r="G4" s="237">
        <v>9152.24</v>
      </c>
      <c r="H4" s="237">
        <v>11009.02</v>
      </c>
      <c r="I4" s="237">
        <v>5353.1799999999994</v>
      </c>
      <c r="J4" s="237">
        <v>11067.380000000003</v>
      </c>
      <c r="K4" s="237">
        <v>4237.83</v>
      </c>
      <c r="L4" s="237">
        <v>5100.5199999999986</v>
      </c>
      <c r="M4" s="237">
        <v>7506</v>
      </c>
      <c r="N4" s="237">
        <v>11752</v>
      </c>
      <c r="O4" s="237">
        <v>359</v>
      </c>
      <c r="P4" s="237">
        <v>6928.0599999999995</v>
      </c>
      <c r="Q4" s="237">
        <v>6799</v>
      </c>
      <c r="R4" s="237">
        <v>1659.2700000000002</v>
      </c>
      <c r="S4" s="237"/>
      <c r="T4" s="237"/>
      <c r="U4" s="237"/>
      <c r="V4" t="s">
        <v>141</v>
      </c>
      <c r="W4">
        <v>1625</v>
      </c>
    </row>
    <row r="5" spans="2:23" x14ac:dyDescent="0.25">
      <c r="B5" t="s">
        <v>4</v>
      </c>
      <c r="C5" s="236">
        <v>13614.41</v>
      </c>
      <c r="D5" s="236">
        <v>11288.02</v>
      </c>
      <c r="E5" s="236">
        <v>6077.88</v>
      </c>
      <c r="F5" s="237">
        <v>16765.86</v>
      </c>
      <c r="G5" s="237">
        <v>13026.029999999999</v>
      </c>
      <c r="H5" s="237">
        <v>19672.229999999996</v>
      </c>
      <c r="I5" s="237">
        <v>37485.24</v>
      </c>
      <c r="J5" s="237">
        <v>23115.190000000002</v>
      </c>
      <c r="K5" s="237">
        <v>14239.960000000001</v>
      </c>
      <c r="L5" s="237">
        <v>25191.11</v>
      </c>
      <c r="M5" s="237">
        <v>6432</v>
      </c>
      <c r="N5" s="237">
        <v>28810</v>
      </c>
      <c r="O5" s="237">
        <v>11575</v>
      </c>
      <c r="P5" s="237">
        <v>35227.079999999994</v>
      </c>
      <c r="Q5" s="237">
        <v>13299</v>
      </c>
      <c r="R5" s="237">
        <v>18771.870000000003</v>
      </c>
      <c r="S5" s="237"/>
      <c r="T5" s="237"/>
      <c r="U5" s="237"/>
      <c r="V5" t="s">
        <v>142</v>
      </c>
      <c r="W5">
        <v>361</v>
      </c>
    </row>
    <row r="6" spans="2:23" x14ac:dyDescent="0.25">
      <c r="B6" t="s">
        <v>5</v>
      </c>
      <c r="C6" s="236">
        <v>1247.1199999999999</v>
      </c>
      <c r="D6" s="236">
        <v>877.51</v>
      </c>
      <c r="E6" s="236">
        <v>860.12</v>
      </c>
      <c r="F6" s="237">
        <v>1441.01</v>
      </c>
      <c r="G6" s="237">
        <v>1079.57</v>
      </c>
      <c r="H6" s="237">
        <v>4171.7</v>
      </c>
      <c r="I6" s="237">
        <v>3041.2799999999997</v>
      </c>
      <c r="J6" s="237">
        <v>1616.24</v>
      </c>
      <c r="K6" s="237">
        <v>1120.1699999999998</v>
      </c>
      <c r="L6" s="237">
        <v>2022.1100000000001</v>
      </c>
      <c r="M6" s="237">
        <v>861</v>
      </c>
      <c r="N6" s="237">
        <v>1325</v>
      </c>
      <c r="O6" s="237">
        <v>3647</v>
      </c>
      <c r="P6" s="237">
        <v>1453.87</v>
      </c>
      <c r="Q6" s="237">
        <v>4248</v>
      </c>
      <c r="R6" s="237">
        <v>3467.69</v>
      </c>
      <c r="S6" s="237"/>
      <c r="T6" s="237"/>
      <c r="U6" s="237"/>
      <c r="V6" t="s">
        <v>217</v>
      </c>
      <c r="W6">
        <v>1294</v>
      </c>
    </row>
    <row r="7" spans="2:23" x14ac:dyDescent="0.25">
      <c r="B7" t="s">
        <v>6</v>
      </c>
      <c r="C7" s="236">
        <v>4575.09</v>
      </c>
      <c r="D7" s="236">
        <v>18215.66</v>
      </c>
      <c r="E7" s="236">
        <v>5795.93</v>
      </c>
      <c r="F7" s="237">
        <v>9459.5600000000013</v>
      </c>
      <c r="G7" s="237">
        <v>5308.0999999999995</v>
      </c>
      <c r="H7" s="237">
        <v>7014.0599999999995</v>
      </c>
      <c r="I7" s="237">
        <v>9925.8799999999992</v>
      </c>
      <c r="J7" s="237">
        <v>5094.66</v>
      </c>
      <c r="K7" s="237">
        <v>9139.41</v>
      </c>
      <c r="L7" s="237">
        <v>6865.4000000000005</v>
      </c>
      <c r="M7" s="237">
        <v>6801</v>
      </c>
      <c r="N7" s="237">
        <v>11982</v>
      </c>
      <c r="O7" s="237">
        <v>-494</v>
      </c>
      <c r="P7" s="237">
        <v>4571.5599999999995</v>
      </c>
      <c r="Q7" s="237">
        <v>8522</v>
      </c>
      <c r="R7" s="237">
        <v>2731.8100000000004</v>
      </c>
      <c r="S7" s="237"/>
      <c r="T7" s="237"/>
      <c r="U7" s="237"/>
      <c r="V7" t="s">
        <v>144</v>
      </c>
      <c r="W7">
        <v>974</v>
      </c>
    </row>
    <row r="8" spans="2:23" x14ac:dyDescent="0.25">
      <c r="B8" t="s">
        <v>241</v>
      </c>
      <c r="C8" s="236"/>
      <c r="D8" s="236"/>
      <c r="E8" s="236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>
        <v>2816.25</v>
      </c>
      <c r="S8" s="237"/>
      <c r="T8" s="237"/>
      <c r="U8" s="237"/>
      <c r="V8" t="s">
        <v>145</v>
      </c>
      <c r="W8">
        <v>1310</v>
      </c>
    </row>
    <row r="9" spans="2:23" x14ac:dyDescent="0.25">
      <c r="B9" t="s">
        <v>242</v>
      </c>
      <c r="C9" s="236"/>
      <c r="D9" s="236"/>
      <c r="E9" s="236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>
        <v>52773.95</v>
      </c>
      <c r="S9" s="237"/>
      <c r="T9" s="237"/>
      <c r="U9" s="237"/>
      <c r="V9" t="s">
        <v>121</v>
      </c>
      <c r="W9">
        <v>2078</v>
      </c>
    </row>
    <row r="10" spans="2:23" x14ac:dyDescent="0.25">
      <c r="B10" s="241" t="s">
        <v>7</v>
      </c>
      <c r="C10" s="239">
        <v>256.02999999999997</v>
      </c>
      <c r="D10" s="239">
        <v>7.05</v>
      </c>
      <c r="E10" s="239">
        <v>46.57</v>
      </c>
      <c r="F10" s="240">
        <v>17.690000000000001</v>
      </c>
      <c r="G10" s="240">
        <v>11.97</v>
      </c>
      <c r="H10" s="240">
        <v>83.02</v>
      </c>
      <c r="I10" s="240">
        <v>296.81</v>
      </c>
      <c r="J10" s="240">
        <v>45.77</v>
      </c>
      <c r="K10" s="240">
        <v>13.77</v>
      </c>
      <c r="L10" s="240">
        <v>38.700000000000003</v>
      </c>
      <c r="M10" s="240">
        <v>389</v>
      </c>
      <c r="N10" s="240">
        <v>870</v>
      </c>
      <c r="O10" s="345">
        <v>-65</v>
      </c>
      <c r="P10" s="345">
        <v>2.66</v>
      </c>
      <c r="Q10" s="345">
        <v>346</v>
      </c>
      <c r="R10" s="345">
        <v>-9.99</v>
      </c>
      <c r="S10" s="345"/>
      <c r="T10" s="237"/>
      <c r="U10" s="237"/>
      <c r="V10" t="s">
        <v>218</v>
      </c>
      <c r="W10">
        <v>1491</v>
      </c>
    </row>
    <row r="11" spans="2:23" x14ac:dyDescent="0.25">
      <c r="B11" t="s">
        <v>8</v>
      </c>
      <c r="C11" s="242">
        <v>18947.89</v>
      </c>
      <c r="D11" s="242">
        <v>8392.1200000000008</v>
      </c>
      <c r="E11" s="242">
        <v>11583.31</v>
      </c>
      <c r="F11" s="237">
        <v>13031.58</v>
      </c>
      <c r="G11" s="237">
        <v>8367.9599999999991</v>
      </c>
      <c r="H11" s="237">
        <v>12512.029999999999</v>
      </c>
      <c r="I11" s="237">
        <v>4560.4399999999996</v>
      </c>
      <c r="J11" s="237">
        <v>10221.19</v>
      </c>
      <c r="K11" s="237">
        <v>5674.53</v>
      </c>
      <c r="L11" s="237">
        <v>9081.58</v>
      </c>
      <c r="M11" s="237">
        <v>11484</v>
      </c>
      <c r="N11" s="237">
        <v>15819</v>
      </c>
      <c r="O11" s="237">
        <v>9992</v>
      </c>
      <c r="P11" s="237">
        <v>6827.53</v>
      </c>
      <c r="Q11" s="237">
        <v>10335.44</v>
      </c>
      <c r="R11" s="237">
        <v>15203.94</v>
      </c>
      <c r="S11" s="237"/>
      <c r="T11" s="237"/>
      <c r="U11" s="237"/>
      <c r="V11" s="89"/>
    </row>
    <row r="12" spans="2:23" x14ac:dyDescent="0.25">
      <c r="B12" t="s">
        <v>9</v>
      </c>
      <c r="C12" s="242">
        <v>2563.8300000000004</v>
      </c>
      <c r="D12" s="242">
        <v>1475.98</v>
      </c>
      <c r="E12" s="242">
        <v>2286.92</v>
      </c>
      <c r="F12" s="237">
        <v>2369.5</v>
      </c>
      <c r="G12" s="237">
        <v>3431.4700000000003</v>
      </c>
      <c r="H12" s="237">
        <v>6881.75</v>
      </c>
      <c r="I12" s="237">
        <v>8541.48</v>
      </c>
      <c r="J12" s="237">
        <v>4933.5200000000004</v>
      </c>
      <c r="K12" s="237">
        <v>6016.71</v>
      </c>
      <c r="L12" s="237">
        <v>2801.91</v>
      </c>
      <c r="M12" s="237">
        <v>2326</v>
      </c>
      <c r="N12" s="237">
        <v>5785</v>
      </c>
      <c r="O12" s="237">
        <v>2743</v>
      </c>
      <c r="P12" s="237">
        <v>1837.73</v>
      </c>
      <c r="Q12" s="237">
        <v>1146.46</v>
      </c>
      <c r="R12" s="237">
        <v>1871.7600000000002</v>
      </c>
      <c r="S12" s="237"/>
      <c r="T12" s="237"/>
      <c r="U12" s="237"/>
      <c r="V12" s="89"/>
    </row>
    <row r="13" spans="2:23" x14ac:dyDescent="0.25">
      <c r="B13" t="s">
        <v>10</v>
      </c>
      <c r="C13" s="242">
        <v>31791.329999999994</v>
      </c>
      <c r="D13" s="242">
        <v>19391.389999999996</v>
      </c>
      <c r="E13" s="242">
        <v>26439.399999999998</v>
      </c>
      <c r="F13" s="237">
        <v>21956.2</v>
      </c>
      <c r="G13" s="237">
        <v>27303.100000000002</v>
      </c>
      <c r="H13" s="237">
        <v>23952.999999999996</v>
      </c>
      <c r="I13" s="237">
        <v>27912.32</v>
      </c>
      <c r="J13" s="237">
        <v>19058.670000000002</v>
      </c>
      <c r="K13" s="237">
        <v>12811.99</v>
      </c>
      <c r="L13" s="237">
        <v>8890.6</v>
      </c>
      <c r="M13" s="237">
        <v>12145</v>
      </c>
      <c r="N13" s="237">
        <v>11262</v>
      </c>
      <c r="O13" s="237">
        <v>8675</v>
      </c>
      <c r="P13" s="237">
        <v>8581.0000000000018</v>
      </c>
      <c r="Q13" s="237">
        <v>5385.0599999999995</v>
      </c>
      <c r="R13" s="237">
        <v>11285.22</v>
      </c>
      <c r="S13" s="237"/>
      <c r="T13" s="237"/>
      <c r="U13" s="237"/>
      <c r="V13" s="89"/>
    </row>
    <row r="14" spans="2:23" x14ac:dyDescent="0.25">
      <c r="B14" t="s">
        <v>114</v>
      </c>
      <c r="C14" s="242">
        <v>5314.92</v>
      </c>
      <c r="D14" s="242">
        <v>5059.9399999999996</v>
      </c>
      <c r="E14" s="242">
        <v>19435.439999999999</v>
      </c>
      <c r="F14" s="237">
        <v>21069</v>
      </c>
      <c r="G14" s="237">
        <v>11757.220000000001</v>
      </c>
      <c r="H14" s="237">
        <v>17369</v>
      </c>
      <c r="I14" s="237">
        <v>8555.93</v>
      </c>
      <c r="J14" s="237">
        <v>3572.8100000000004</v>
      </c>
      <c r="K14" s="237">
        <v>6567.2400000000007</v>
      </c>
      <c r="L14" s="237">
        <v>10021.6</v>
      </c>
      <c r="M14" s="237">
        <v>3196</v>
      </c>
      <c r="N14" s="237">
        <v>15144</v>
      </c>
      <c r="O14" s="237">
        <v>39004</v>
      </c>
      <c r="P14" s="237">
        <v>9803.73</v>
      </c>
      <c r="Q14" s="237">
        <v>16123.29</v>
      </c>
      <c r="R14" s="237">
        <v>10386.51</v>
      </c>
      <c r="S14" s="237"/>
      <c r="T14" s="237"/>
      <c r="U14" s="237"/>
      <c r="V14" s="89"/>
    </row>
    <row r="15" spans="2:23" x14ac:dyDescent="0.25">
      <c r="B15" s="241" t="s">
        <v>12</v>
      </c>
      <c r="C15" s="243">
        <v>29830.77</v>
      </c>
      <c r="D15" s="243">
        <v>21729.969999999998</v>
      </c>
      <c r="E15" s="243">
        <v>9184.9</v>
      </c>
      <c r="F15" s="240">
        <v>9610.57</v>
      </c>
      <c r="G15" s="240">
        <v>12132.930000000002</v>
      </c>
      <c r="H15" s="240">
        <v>11005.49</v>
      </c>
      <c r="I15" s="240">
        <v>11789.880000000001</v>
      </c>
      <c r="J15" s="240">
        <v>14507.74</v>
      </c>
      <c r="K15" s="240">
        <v>6380.1800000000012</v>
      </c>
      <c r="L15" s="240">
        <v>2459.31</v>
      </c>
      <c r="M15" s="240">
        <v>8925</v>
      </c>
      <c r="N15" s="240">
        <v>9865</v>
      </c>
      <c r="O15" s="345">
        <v>3928</v>
      </c>
      <c r="P15" s="345">
        <v>4680.0599999999995</v>
      </c>
      <c r="Q15" s="345">
        <v>8029.45</v>
      </c>
      <c r="R15" s="345">
        <v>9277.74</v>
      </c>
      <c r="S15" s="345"/>
      <c r="T15" s="237"/>
      <c r="U15" s="237"/>
      <c r="V15" s="89"/>
    </row>
    <row r="16" spans="2:23" x14ac:dyDescent="0.25">
      <c r="B16" t="s">
        <v>13</v>
      </c>
      <c r="C16" s="242">
        <v>49635.54</v>
      </c>
      <c r="D16" s="242">
        <v>38218.39</v>
      </c>
      <c r="E16" s="242">
        <v>50277.240000000005</v>
      </c>
      <c r="F16" s="237">
        <v>46473.979999999996</v>
      </c>
      <c r="G16" s="237">
        <v>43212.549999999996</v>
      </c>
      <c r="H16" s="237">
        <v>41764.599999999984</v>
      </c>
      <c r="I16" s="237">
        <v>43476.950000000012</v>
      </c>
      <c r="J16" s="237">
        <v>39074.560000000005</v>
      </c>
      <c r="K16" s="237">
        <v>28696.220000000005</v>
      </c>
      <c r="L16" s="237">
        <v>20472.93</v>
      </c>
      <c r="M16" s="237">
        <v>24474</v>
      </c>
      <c r="N16" s="237">
        <v>28696</v>
      </c>
      <c r="O16" s="237">
        <v>32882</v>
      </c>
      <c r="P16" s="237">
        <v>35019.43</v>
      </c>
      <c r="Q16" s="237">
        <v>50009.95</v>
      </c>
      <c r="R16" s="237">
        <v>24712</v>
      </c>
      <c r="S16" s="237"/>
      <c r="T16" s="237"/>
      <c r="U16" s="237"/>
      <c r="V16" s="89"/>
    </row>
    <row r="17" spans="2:22" x14ac:dyDescent="0.25">
      <c r="B17" t="s">
        <v>14</v>
      </c>
      <c r="C17" s="242">
        <v>13893.47</v>
      </c>
      <c r="D17" s="242">
        <v>15274.970000000001</v>
      </c>
      <c r="E17" s="242">
        <v>20346.740000000002</v>
      </c>
      <c r="F17" s="237">
        <v>8929.0399999999991</v>
      </c>
      <c r="G17" s="237">
        <v>14650.32</v>
      </c>
      <c r="H17" s="237">
        <v>8755.7100000000009</v>
      </c>
      <c r="I17" s="237">
        <v>8508.02</v>
      </c>
      <c r="J17" s="237">
        <v>12949.63</v>
      </c>
      <c r="K17" s="237">
        <v>13896.349999999999</v>
      </c>
      <c r="L17" s="237">
        <v>15202.56</v>
      </c>
      <c r="M17" s="237">
        <v>8267</v>
      </c>
      <c r="N17" s="237">
        <v>16003</v>
      </c>
      <c r="O17" s="237">
        <v>15586</v>
      </c>
      <c r="P17" s="237">
        <v>28327.940000000002</v>
      </c>
      <c r="Q17" s="237">
        <v>23412.400000000001</v>
      </c>
      <c r="R17" s="237">
        <v>13303.94</v>
      </c>
      <c r="S17" s="237"/>
      <c r="T17" s="237"/>
      <c r="U17" s="237"/>
      <c r="V17" s="89"/>
    </row>
    <row r="18" spans="2:22" x14ac:dyDescent="0.25">
      <c r="B18" t="s">
        <v>15</v>
      </c>
      <c r="C18" s="242">
        <v>10377.960000000003</v>
      </c>
      <c r="D18" s="242">
        <v>8268.380000000001</v>
      </c>
      <c r="E18" s="242">
        <v>9283.18</v>
      </c>
      <c r="F18" s="237">
        <v>6063.77</v>
      </c>
      <c r="G18" s="237">
        <v>5456.53</v>
      </c>
      <c r="H18" s="237">
        <v>8172.5499999999993</v>
      </c>
      <c r="I18" s="237">
        <v>8150.3099999999995</v>
      </c>
      <c r="J18" s="237">
        <v>4405.05</v>
      </c>
      <c r="K18" s="237">
        <v>3732.43</v>
      </c>
      <c r="L18" s="237">
        <v>7092.41</v>
      </c>
      <c r="M18" s="237">
        <v>9266</v>
      </c>
      <c r="N18" s="237">
        <v>8413</v>
      </c>
      <c r="O18" s="237">
        <v>7184</v>
      </c>
      <c r="P18" s="237">
        <v>10981.449999999999</v>
      </c>
      <c r="Q18" s="237">
        <v>12443.55</v>
      </c>
      <c r="R18" s="237">
        <v>16131.56</v>
      </c>
      <c r="S18" s="237"/>
      <c r="T18" s="237"/>
      <c r="U18" s="237"/>
      <c r="V18" s="89"/>
    </row>
    <row r="19" spans="2:22" x14ac:dyDescent="0.25">
      <c r="B19" t="s">
        <v>16</v>
      </c>
      <c r="C19" s="242">
        <v>29897.19</v>
      </c>
      <c r="D19" s="242">
        <v>33096.159999999996</v>
      </c>
      <c r="E19" s="242">
        <v>29956.199999999997</v>
      </c>
      <c r="F19" s="237">
        <v>16729.670000000002</v>
      </c>
      <c r="G19" s="237">
        <v>34874.25</v>
      </c>
      <c r="H19" s="237">
        <v>36494.909999999996</v>
      </c>
      <c r="I19" s="237">
        <v>46695.42</v>
      </c>
      <c r="J19" s="237">
        <v>42271.219999999994</v>
      </c>
      <c r="K19" s="237">
        <v>32402.369999999995</v>
      </c>
      <c r="L19" s="237">
        <v>48080.240000000005</v>
      </c>
      <c r="M19" s="237">
        <v>31115</v>
      </c>
      <c r="N19" s="237">
        <v>31561</v>
      </c>
      <c r="O19" s="237">
        <v>33482</v>
      </c>
      <c r="P19" s="237">
        <v>42285.11</v>
      </c>
      <c r="Q19" s="237">
        <v>59886.890000000007</v>
      </c>
      <c r="R19" s="237">
        <v>71277.000000000015</v>
      </c>
      <c r="S19" s="237"/>
      <c r="T19" s="237"/>
      <c r="U19" s="237"/>
      <c r="V19" s="89"/>
    </row>
    <row r="20" spans="2:22" x14ac:dyDescent="0.25">
      <c r="B20" s="241" t="s">
        <v>17</v>
      </c>
      <c r="C20" s="243">
        <v>0</v>
      </c>
      <c r="D20" s="243">
        <v>0</v>
      </c>
      <c r="E20" s="243">
        <v>0</v>
      </c>
      <c r="F20" s="240">
        <v>0</v>
      </c>
      <c r="G20" s="240">
        <v>0</v>
      </c>
      <c r="H20" s="240">
        <v>0</v>
      </c>
      <c r="I20" s="240">
        <v>0</v>
      </c>
      <c r="J20" s="240">
        <v>0</v>
      </c>
      <c r="K20" s="240">
        <v>0</v>
      </c>
      <c r="L20" s="240">
        <v>0</v>
      </c>
      <c r="M20" s="240">
        <v>0</v>
      </c>
      <c r="N20" s="240">
        <v>0</v>
      </c>
      <c r="O20" s="345">
        <v>0</v>
      </c>
      <c r="P20" s="345">
        <v>0</v>
      </c>
      <c r="Q20" s="345">
        <v>0</v>
      </c>
      <c r="R20" s="345">
        <v>0</v>
      </c>
      <c r="S20" s="345"/>
      <c r="T20" s="237"/>
      <c r="U20" s="237"/>
      <c r="V20" s="89"/>
    </row>
    <row r="21" spans="2:22" x14ac:dyDescent="0.25">
      <c r="B21" t="s">
        <v>18</v>
      </c>
      <c r="C21" s="237">
        <v>30702.179999999997</v>
      </c>
      <c r="D21" s="237">
        <v>12748.519999999999</v>
      </c>
      <c r="E21" s="237">
        <v>10215.539999999999</v>
      </c>
      <c r="F21" s="237">
        <v>14933.3</v>
      </c>
      <c r="G21" s="237">
        <v>32319.15</v>
      </c>
      <c r="H21" s="237">
        <v>17314.11</v>
      </c>
      <c r="I21" s="237">
        <v>24623.86</v>
      </c>
      <c r="J21" s="237">
        <v>21062.550000000003</v>
      </c>
      <c r="K21" s="237">
        <v>18161.96</v>
      </c>
      <c r="L21" s="237">
        <v>26880.81</v>
      </c>
      <c r="M21" s="237">
        <v>12015</v>
      </c>
      <c r="N21" s="237">
        <v>16812</v>
      </c>
      <c r="O21" s="237">
        <v>10528.45</v>
      </c>
      <c r="P21" s="237">
        <v>6622</v>
      </c>
      <c r="Q21" s="237">
        <v>7083.75</v>
      </c>
      <c r="R21" s="237">
        <v>6071.21</v>
      </c>
      <c r="S21" s="237"/>
      <c r="T21" s="237"/>
      <c r="U21" s="237"/>
      <c r="V21" s="89"/>
    </row>
    <row r="22" spans="2:22" x14ac:dyDescent="0.25">
      <c r="B22" t="s">
        <v>19</v>
      </c>
      <c r="C22" s="237">
        <v>9366.74</v>
      </c>
      <c r="D22" s="237">
        <v>6261.1</v>
      </c>
      <c r="E22" s="237">
        <v>4194.22</v>
      </c>
      <c r="F22" s="237">
        <v>8016.08</v>
      </c>
      <c r="G22" s="237">
        <v>8014.0600000000013</v>
      </c>
      <c r="H22" s="237">
        <v>4984.3799999999992</v>
      </c>
      <c r="I22" s="237">
        <v>4541.26</v>
      </c>
      <c r="J22" s="237">
        <v>8697.42</v>
      </c>
      <c r="K22" s="237">
        <v>6456.5599999999995</v>
      </c>
      <c r="L22" s="237">
        <v>3472.52</v>
      </c>
      <c r="M22" s="237">
        <v>2120</v>
      </c>
      <c r="N22" s="237">
        <v>4115</v>
      </c>
      <c r="O22" s="237">
        <v>5482.62</v>
      </c>
      <c r="P22" s="237">
        <v>1348</v>
      </c>
      <c r="Q22" s="237">
        <v>1693.3799999999999</v>
      </c>
      <c r="R22" s="237">
        <v>2045.2800000000002</v>
      </c>
      <c r="S22" s="237"/>
      <c r="T22" s="237"/>
      <c r="U22" s="237"/>
      <c r="V22" s="89"/>
    </row>
    <row r="23" spans="2:22" x14ac:dyDescent="0.25">
      <c r="B23" t="s">
        <v>20</v>
      </c>
      <c r="C23" s="237">
        <v>8222.7900000000009</v>
      </c>
      <c r="D23" s="237">
        <v>4888.53</v>
      </c>
      <c r="E23" s="237">
        <v>6692.5</v>
      </c>
      <c r="F23" s="237">
        <v>3671.71</v>
      </c>
      <c r="G23" s="237">
        <v>4899.7</v>
      </c>
      <c r="H23" s="237">
        <v>8978.4500000000007</v>
      </c>
      <c r="I23" s="237">
        <v>3821.42</v>
      </c>
      <c r="J23" s="237">
        <v>11826.019999999999</v>
      </c>
      <c r="K23" s="237">
        <v>5373.06</v>
      </c>
      <c r="L23" s="237">
        <v>4945.9400000000005</v>
      </c>
      <c r="M23" s="237">
        <v>3394</v>
      </c>
      <c r="N23" s="237">
        <v>5756</v>
      </c>
      <c r="O23" s="237">
        <v>8265.4000000000015</v>
      </c>
      <c r="P23" s="237">
        <v>8579</v>
      </c>
      <c r="Q23" s="237">
        <v>5653.1900000000005</v>
      </c>
      <c r="R23" s="237">
        <v>2485.35</v>
      </c>
      <c r="S23" s="237"/>
      <c r="T23" s="237"/>
      <c r="U23" s="237"/>
      <c r="V23" s="89"/>
    </row>
    <row r="24" spans="2:22" x14ac:dyDescent="0.25">
      <c r="B24" t="s">
        <v>21</v>
      </c>
      <c r="C24" s="237">
        <v>12963.900000000001</v>
      </c>
      <c r="D24" s="237">
        <v>9070.1799999999985</v>
      </c>
      <c r="E24" s="237">
        <v>19459.899999999998</v>
      </c>
      <c r="F24" s="237">
        <v>10527.52</v>
      </c>
      <c r="G24" s="237">
        <v>6674.38</v>
      </c>
      <c r="H24" s="237">
        <v>7775.5999999999995</v>
      </c>
      <c r="I24" s="237">
        <v>6837.7600000000011</v>
      </c>
      <c r="J24" s="237">
        <v>17199.37</v>
      </c>
      <c r="K24" s="237">
        <v>6824.5400000000009</v>
      </c>
      <c r="L24" s="237">
        <v>4688.58</v>
      </c>
      <c r="M24" s="237">
        <v>3709</v>
      </c>
      <c r="N24" s="237">
        <v>4445</v>
      </c>
      <c r="O24" s="237">
        <v>11988.46</v>
      </c>
      <c r="P24" s="237">
        <v>6653</v>
      </c>
      <c r="Q24" s="237">
        <v>3576.1000000000004</v>
      </c>
      <c r="R24" s="237">
        <v>3865.1600000000003</v>
      </c>
      <c r="S24" s="237"/>
      <c r="T24" s="237"/>
      <c r="U24" s="237"/>
      <c r="V24" s="89"/>
    </row>
    <row r="25" spans="2:22" x14ac:dyDescent="0.25">
      <c r="B25" t="s">
        <v>22</v>
      </c>
      <c r="C25" s="237">
        <v>14486.43</v>
      </c>
      <c r="D25" s="237">
        <v>7793.1600000000008</v>
      </c>
      <c r="E25" s="237">
        <v>8302.6500000000015</v>
      </c>
      <c r="F25" s="237">
        <v>3898.0799999999995</v>
      </c>
      <c r="G25" s="237">
        <v>4210.25</v>
      </c>
      <c r="H25" s="237">
        <v>6540.83</v>
      </c>
      <c r="I25" s="237">
        <v>8425.91</v>
      </c>
      <c r="J25" s="237">
        <v>14413.63</v>
      </c>
      <c r="K25" s="237">
        <v>8343</v>
      </c>
      <c r="L25" s="237">
        <v>3795.4</v>
      </c>
      <c r="M25" s="237">
        <v>6884</v>
      </c>
      <c r="N25" s="237">
        <v>6530</v>
      </c>
      <c r="O25" s="237">
        <v>10028.24</v>
      </c>
      <c r="P25" s="237">
        <v>6658</v>
      </c>
      <c r="Q25" s="237">
        <v>10881.03</v>
      </c>
      <c r="R25" s="237">
        <v>4345.2</v>
      </c>
      <c r="S25" s="237"/>
      <c r="T25" s="237"/>
      <c r="U25" s="237"/>
      <c r="V25" s="89"/>
    </row>
    <row r="26" spans="2:22" x14ac:dyDescent="0.25">
      <c r="B26" t="s">
        <v>23</v>
      </c>
      <c r="C26" s="237">
        <v>45055.380000000005</v>
      </c>
      <c r="D26" s="237">
        <v>18509.489999999994</v>
      </c>
      <c r="E26" s="237">
        <v>21995.760000000002</v>
      </c>
      <c r="F26" s="237">
        <v>20240.43</v>
      </c>
      <c r="G26" s="237">
        <v>33441.270000000004</v>
      </c>
      <c r="H26" s="237">
        <v>11016.15</v>
      </c>
      <c r="I26" s="237">
        <v>15497.820000000002</v>
      </c>
      <c r="J26" s="237">
        <v>22001.4</v>
      </c>
      <c r="K26" s="237">
        <v>17915.22</v>
      </c>
      <c r="L26" s="237">
        <v>13577.509999999998</v>
      </c>
      <c r="M26" s="237">
        <v>10526</v>
      </c>
      <c r="N26" s="237">
        <v>10694</v>
      </c>
      <c r="O26" s="237">
        <v>12775.159999999998</v>
      </c>
      <c r="P26" s="237">
        <v>12292</v>
      </c>
      <c r="Q26" s="237">
        <v>13115.67</v>
      </c>
      <c r="R26" s="237">
        <v>11681.68</v>
      </c>
      <c r="S26" s="237"/>
      <c r="T26" s="237"/>
      <c r="U26" s="237"/>
      <c r="V26" s="89"/>
    </row>
    <row r="27" spans="2:22" x14ac:dyDescent="0.25">
      <c r="B27" s="241" t="s">
        <v>24</v>
      </c>
      <c r="C27" s="240">
        <v>4605.6000000000004</v>
      </c>
      <c r="D27" s="240">
        <v>8600.02</v>
      </c>
      <c r="E27" s="240">
        <v>3922.46</v>
      </c>
      <c r="F27" s="240">
        <v>7181.2999999999993</v>
      </c>
      <c r="G27" s="240">
        <v>4881.74</v>
      </c>
      <c r="H27" s="240">
        <v>3412.0200000000004</v>
      </c>
      <c r="I27" s="240">
        <v>8353.16</v>
      </c>
      <c r="J27" s="240">
        <v>8760.6</v>
      </c>
      <c r="K27" s="240">
        <v>6947.3</v>
      </c>
      <c r="L27" s="240">
        <v>9583.82</v>
      </c>
      <c r="M27" s="240">
        <v>5131</v>
      </c>
      <c r="N27" s="240">
        <v>5253</v>
      </c>
      <c r="O27" s="345">
        <v>16396.28</v>
      </c>
      <c r="P27" s="345">
        <v>6235</v>
      </c>
      <c r="Q27" s="345">
        <v>10134.620000000001</v>
      </c>
      <c r="R27" s="345">
        <v>6377.34</v>
      </c>
      <c r="S27" s="345"/>
      <c r="T27" s="237"/>
      <c r="U27" s="237"/>
      <c r="V27" s="89"/>
    </row>
    <row r="28" spans="2:22" x14ac:dyDescent="0.25">
      <c r="B28" t="s">
        <v>25</v>
      </c>
      <c r="C28" s="237">
        <v>179051.73</v>
      </c>
      <c r="D28" s="237">
        <v>138296.74</v>
      </c>
      <c r="E28" s="237">
        <v>175925.17</v>
      </c>
      <c r="F28" s="237">
        <v>131707.66999999998</v>
      </c>
      <c r="G28" s="237">
        <v>117170.52000000002</v>
      </c>
      <c r="H28" s="237">
        <v>110394.54999999997</v>
      </c>
      <c r="I28" s="237">
        <v>86924.01</v>
      </c>
      <c r="J28" s="237">
        <v>161223.70999999996</v>
      </c>
      <c r="K28" s="237">
        <v>100164.73000000001</v>
      </c>
      <c r="L28" s="237">
        <v>88193.61</v>
      </c>
      <c r="M28" s="237">
        <v>86826</v>
      </c>
      <c r="N28" s="237">
        <v>72719</v>
      </c>
      <c r="O28" s="237">
        <v>116707.26999999999</v>
      </c>
      <c r="P28" s="237">
        <v>78144</v>
      </c>
      <c r="Q28" s="237">
        <v>70432.679999999993</v>
      </c>
      <c r="R28" s="237">
        <v>64748.840000000004</v>
      </c>
      <c r="S28" s="237"/>
      <c r="T28" s="237"/>
      <c r="U28" s="237"/>
      <c r="V28" s="103"/>
    </row>
    <row r="29" spans="2:22" x14ac:dyDescent="0.25">
      <c r="B29" t="s">
        <v>26</v>
      </c>
      <c r="C29" s="237">
        <v>36374.550000000003</v>
      </c>
      <c r="D29" s="237">
        <v>43838.81</v>
      </c>
      <c r="E29" s="237">
        <v>61670.240000000005</v>
      </c>
      <c r="F29" s="237">
        <v>72545.099999999991</v>
      </c>
      <c r="G29" s="237">
        <v>86587.54</v>
      </c>
      <c r="H29" s="237">
        <v>39421.94</v>
      </c>
      <c r="I29" s="237">
        <v>34067.43</v>
      </c>
      <c r="J29" s="237">
        <v>23938.34</v>
      </c>
      <c r="K29" s="237">
        <v>22150.98</v>
      </c>
      <c r="L29" s="237">
        <v>30259.22</v>
      </c>
      <c r="M29" s="237">
        <v>13344</v>
      </c>
      <c r="N29" s="237">
        <v>22690</v>
      </c>
      <c r="O29" s="237">
        <v>15901.19</v>
      </c>
      <c r="P29" s="237">
        <v>17521</v>
      </c>
      <c r="Q29" s="237">
        <v>29180.179999999997</v>
      </c>
      <c r="R29" s="237">
        <v>17265.27</v>
      </c>
      <c r="S29" s="237"/>
      <c r="T29" s="237"/>
      <c r="U29" s="237"/>
      <c r="V29" s="103"/>
    </row>
    <row r="30" spans="2:22" x14ac:dyDescent="0.25">
      <c r="B30" t="s">
        <v>27</v>
      </c>
      <c r="C30" s="237">
        <v>39932.509999999995</v>
      </c>
      <c r="D30" s="237">
        <v>41611.189999999995</v>
      </c>
      <c r="E30" s="237">
        <v>51794.84</v>
      </c>
      <c r="F30" s="237">
        <v>36927.53</v>
      </c>
      <c r="G30" s="237">
        <v>34723.75</v>
      </c>
      <c r="H30" s="237">
        <v>35738.75</v>
      </c>
      <c r="I30" s="237">
        <v>33705.68</v>
      </c>
      <c r="J30" s="237">
        <v>53094.130000000005</v>
      </c>
      <c r="K30" s="237">
        <v>23531.82</v>
      </c>
      <c r="L30" s="237">
        <v>28516.36</v>
      </c>
      <c r="M30" s="237">
        <v>24968</v>
      </c>
      <c r="N30" s="237">
        <v>25104</v>
      </c>
      <c r="O30" s="237">
        <v>37600.329999999994</v>
      </c>
      <c r="P30" s="237">
        <v>25753</v>
      </c>
      <c r="Q30" s="237">
        <v>24104.68</v>
      </c>
      <c r="R30" s="237">
        <v>23345.57</v>
      </c>
      <c r="S30" s="237"/>
      <c r="T30" s="237"/>
      <c r="U30" s="237"/>
      <c r="V30" s="103"/>
    </row>
    <row r="31" spans="2:22" x14ac:dyDescent="0.25">
      <c r="B31" t="s">
        <v>28</v>
      </c>
      <c r="C31" s="237">
        <v>65215.55</v>
      </c>
      <c r="D31" s="237">
        <v>56677.25</v>
      </c>
      <c r="E31" s="237">
        <v>60231.75</v>
      </c>
      <c r="F31" s="237">
        <v>50832.9</v>
      </c>
      <c r="G31" s="237">
        <v>64558.780000000006</v>
      </c>
      <c r="H31" s="237">
        <v>48859.97</v>
      </c>
      <c r="I31" s="237">
        <v>55633.72</v>
      </c>
      <c r="J31" s="237">
        <v>34594.359999999993</v>
      </c>
      <c r="K31" s="237">
        <v>27652.04</v>
      </c>
      <c r="L31" s="237">
        <v>29430.190000000002</v>
      </c>
      <c r="M31" s="237">
        <v>16293</v>
      </c>
      <c r="N31" s="237">
        <v>15438</v>
      </c>
      <c r="O31" s="237">
        <v>30624.400000000001</v>
      </c>
      <c r="P31" s="237">
        <v>10685</v>
      </c>
      <c r="Q31" s="237">
        <v>13110.050000000001</v>
      </c>
      <c r="R31" s="237">
        <v>8811.59</v>
      </c>
      <c r="S31" s="237"/>
      <c r="T31" s="237"/>
      <c r="U31" s="237"/>
      <c r="V31" s="103"/>
    </row>
    <row r="32" spans="2:22" x14ac:dyDescent="0.25">
      <c r="B32" t="s">
        <v>29</v>
      </c>
      <c r="C32" s="237">
        <v>66886.469999999987</v>
      </c>
      <c r="D32" s="237">
        <v>23846.01</v>
      </c>
      <c r="E32" s="237">
        <v>22379.919999999998</v>
      </c>
      <c r="F32" s="237">
        <v>40389.159999999996</v>
      </c>
      <c r="G32" s="237">
        <v>31748.12</v>
      </c>
      <c r="H32" s="237">
        <v>16378.140000000001</v>
      </c>
      <c r="I32" s="237">
        <v>26380.559999999998</v>
      </c>
      <c r="J32" s="237">
        <v>28288.340000000004</v>
      </c>
      <c r="K32" s="237">
        <v>19285.480000000003</v>
      </c>
      <c r="L32" s="237">
        <v>14802.279999999999</v>
      </c>
      <c r="M32" s="237">
        <v>13244</v>
      </c>
      <c r="N32" s="237">
        <v>15286</v>
      </c>
      <c r="O32" s="237">
        <v>16103.739999999998</v>
      </c>
      <c r="P32" s="237">
        <v>16049</v>
      </c>
      <c r="Q32" s="237">
        <v>41148.980000000003</v>
      </c>
      <c r="R32" s="237">
        <v>15442.060000000001</v>
      </c>
      <c r="S32" s="237"/>
      <c r="T32" s="237"/>
      <c r="U32" s="237"/>
      <c r="V32" s="103"/>
    </row>
    <row r="33" spans="2:24" x14ac:dyDescent="0.25">
      <c r="B33" t="s">
        <v>30</v>
      </c>
      <c r="C33" s="237">
        <v>16849.89</v>
      </c>
      <c r="D33" s="237">
        <v>14759.349999999999</v>
      </c>
      <c r="E33" s="237">
        <v>10306.35</v>
      </c>
      <c r="F33" s="237">
        <v>13487.369999999999</v>
      </c>
      <c r="G33" s="237">
        <v>12523.560000000001</v>
      </c>
      <c r="H33" s="237">
        <v>10599.27</v>
      </c>
      <c r="I33" s="237">
        <v>10168.14</v>
      </c>
      <c r="J33" s="237">
        <v>5484.93</v>
      </c>
      <c r="K33" s="237">
        <v>8461.69</v>
      </c>
      <c r="L33" s="237">
        <v>9574.5099999999984</v>
      </c>
      <c r="M33" s="237">
        <v>9814</v>
      </c>
      <c r="N33" s="237">
        <v>6579</v>
      </c>
      <c r="O33" s="237">
        <v>10318.61</v>
      </c>
      <c r="P33" s="237">
        <v>6917</v>
      </c>
      <c r="Q33" s="237">
        <v>12928.77</v>
      </c>
      <c r="R33" s="237">
        <v>9767.9800000000014</v>
      </c>
      <c r="S33" s="237"/>
      <c r="T33" s="237"/>
      <c r="U33" s="237"/>
      <c r="V33" s="103"/>
    </row>
    <row r="34" spans="2:24" x14ac:dyDescent="0.25">
      <c r="B34" t="s">
        <v>31</v>
      </c>
      <c r="C34" s="237">
        <v>0</v>
      </c>
      <c r="D34" s="237">
        <v>0</v>
      </c>
      <c r="E34" s="237">
        <v>0</v>
      </c>
      <c r="F34" s="237">
        <v>0</v>
      </c>
      <c r="G34" s="237">
        <v>0</v>
      </c>
      <c r="H34" s="237">
        <v>0</v>
      </c>
      <c r="I34" s="237">
        <v>0</v>
      </c>
      <c r="J34" s="237">
        <v>0</v>
      </c>
      <c r="K34" s="237">
        <v>0</v>
      </c>
      <c r="L34" s="237">
        <v>0</v>
      </c>
      <c r="M34" s="237">
        <v>0</v>
      </c>
      <c r="N34" s="237">
        <v>0</v>
      </c>
      <c r="O34" s="237">
        <v>0</v>
      </c>
      <c r="P34" s="237">
        <v>0</v>
      </c>
      <c r="Q34" s="237">
        <v>0</v>
      </c>
      <c r="R34" s="237">
        <v>0</v>
      </c>
      <c r="S34" s="237"/>
      <c r="T34" s="237"/>
      <c r="U34" s="237"/>
      <c r="V34" s="103"/>
    </row>
    <row r="35" spans="2:24" x14ac:dyDescent="0.25">
      <c r="B35" s="241" t="s">
        <v>32</v>
      </c>
      <c r="C35" s="240">
        <v>0</v>
      </c>
      <c r="D35" s="240">
        <v>0</v>
      </c>
      <c r="E35" s="240">
        <v>0</v>
      </c>
      <c r="F35" s="240">
        <v>0</v>
      </c>
      <c r="G35" s="240">
        <v>0</v>
      </c>
      <c r="H35" s="240">
        <v>0</v>
      </c>
      <c r="I35" s="240">
        <v>0</v>
      </c>
      <c r="J35" s="240">
        <v>0</v>
      </c>
      <c r="K35" s="240">
        <v>0</v>
      </c>
      <c r="L35" s="240">
        <v>0</v>
      </c>
      <c r="M35" s="240">
        <v>0</v>
      </c>
      <c r="N35" s="240">
        <v>0</v>
      </c>
      <c r="O35" s="345">
        <v>0</v>
      </c>
      <c r="P35" s="345">
        <v>0</v>
      </c>
      <c r="Q35" s="345">
        <v>0</v>
      </c>
      <c r="R35" s="345">
        <v>0</v>
      </c>
      <c r="S35" s="345"/>
      <c r="T35" s="237"/>
      <c r="U35" s="237"/>
      <c r="V35" s="103"/>
    </row>
    <row r="36" spans="2:24" x14ac:dyDescent="0.25">
      <c r="B36" t="s">
        <v>34</v>
      </c>
      <c r="C36" s="89"/>
      <c r="D36" s="89"/>
      <c r="E36" s="89"/>
      <c r="F36" s="237">
        <v>10432.810000000001</v>
      </c>
      <c r="G36" s="237">
        <v>15490.4</v>
      </c>
      <c r="H36" s="237">
        <v>22320.999999999996</v>
      </c>
      <c r="I36" s="237">
        <v>35863.579999999994</v>
      </c>
      <c r="J36" s="237">
        <v>34558.820000000007</v>
      </c>
      <c r="K36" s="237">
        <v>26387.640000000003</v>
      </c>
      <c r="L36" s="237">
        <v>26864</v>
      </c>
      <c r="M36" s="237">
        <v>26426</v>
      </c>
      <c r="N36" s="355">
        <v>15505</v>
      </c>
      <c r="O36" s="237">
        <v>21876.55</v>
      </c>
      <c r="P36" s="237">
        <v>18478</v>
      </c>
      <c r="Q36" s="237">
        <v>15369.619999999999</v>
      </c>
      <c r="R36" s="237">
        <v>23084.38</v>
      </c>
      <c r="S36" s="237"/>
      <c r="T36" s="355"/>
      <c r="U36" s="237"/>
      <c r="V36" s="103"/>
    </row>
    <row r="37" spans="2:24" x14ac:dyDescent="0.25">
      <c r="B37" t="s">
        <v>35</v>
      </c>
      <c r="C37" s="89"/>
      <c r="D37" s="89"/>
      <c r="E37" s="89"/>
      <c r="F37" s="237">
        <v>105165.54</v>
      </c>
      <c r="G37" s="237">
        <v>172931.21000000002</v>
      </c>
      <c r="H37" s="237">
        <v>123391.86</v>
      </c>
      <c r="I37" s="237">
        <v>98922.930000000008</v>
      </c>
      <c r="J37" s="237">
        <v>107781.07</v>
      </c>
      <c r="K37" s="237">
        <v>68581.87</v>
      </c>
      <c r="L37" s="237">
        <v>79473</v>
      </c>
      <c r="M37" s="237">
        <v>110144</v>
      </c>
      <c r="N37" s="355">
        <v>109412</v>
      </c>
      <c r="O37" s="237">
        <v>117639.75</v>
      </c>
      <c r="P37" s="237">
        <v>111537</v>
      </c>
      <c r="Q37" s="237">
        <v>90337.53</v>
      </c>
      <c r="R37" s="237">
        <v>147440.23000000001</v>
      </c>
      <c r="S37" s="237"/>
      <c r="T37" s="355"/>
      <c r="U37" s="237"/>
      <c r="V37" s="103"/>
    </row>
    <row r="38" spans="2:24" x14ac:dyDescent="0.25">
      <c r="B38" t="s">
        <v>36</v>
      </c>
      <c r="C38" s="89"/>
      <c r="D38" s="89"/>
      <c r="E38" s="89"/>
      <c r="F38" s="237">
        <v>14132.099999999999</v>
      </c>
      <c r="G38" s="237">
        <v>19683.919999999998</v>
      </c>
      <c r="H38" s="237">
        <v>13313.02</v>
      </c>
      <c r="I38" s="237">
        <v>19366.43</v>
      </c>
      <c r="J38" s="237">
        <v>6076.2000000000007</v>
      </c>
      <c r="K38" s="237">
        <v>10698.679999999998</v>
      </c>
      <c r="L38" s="237">
        <v>16359</v>
      </c>
      <c r="M38" s="237">
        <v>11868</v>
      </c>
      <c r="N38" s="355">
        <v>34076</v>
      </c>
      <c r="O38" s="237">
        <v>19993.179999999993</v>
      </c>
      <c r="P38" s="237">
        <v>8252</v>
      </c>
      <c r="Q38" s="237">
        <v>8009.4400000000005</v>
      </c>
      <c r="R38" s="237">
        <v>5992.4900000000016</v>
      </c>
      <c r="S38" s="237"/>
      <c r="T38" s="355"/>
      <c r="U38" s="237"/>
      <c r="V38" s="103"/>
    </row>
    <row r="39" spans="2:24" x14ac:dyDescent="0.25">
      <c r="B39" t="s">
        <v>37</v>
      </c>
      <c r="C39" s="89"/>
      <c r="D39" s="89"/>
      <c r="E39" s="89"/>
      <c r="F39" s="237">
        <v>40921.82</v>
      </c>
      <c r="G39" s="237">
        <v>26396.91</v>
      </c>
      <c r="H39" s="237">
        <v>36147.760000000002</v>
      </c>
      <c r="I39" s="237">
        <v>43050.54</v>
      </c>
      <c r="J39" s="237">
        <v>36319.86</v>
      </c>
      <c r="K39" s="237">
        <v>43849.61</v>
      </c>
      <c r="L39" s="237">
        <v>35708</v>
      </c>
      <c r="M39" s="237">
        <v>45970</v>
      </c>
      <c r="N39" s="355">
        <v>31456</v>
      </c>
      <c r="O39" s="237">
        <v>32288.98</v>
      </c>
      <c r="P39" s="237">
        <v>19159</v>
      </c>
      <c r="Q39" s="237">
        <v>15636.97</v>
      </c>
      <c r="R39" s="237">
        <v>26354.73</v>
      </c>
      <c r="S39" s="237"/>
      <c r="T39" s="355"/>
      <c r="U39" s="237"/>
      <c r="V39" s="103"/>
    </row>
    <row r="40" spans="2:24" x14ac:dyDescent="0.25">
      <c r="B40" t="s">
        <v>38</v>
      </c>
      <c r="C40" s="89"/>
      <c r="D40" s="89"/>
      <c r="E40" s="89"/>
      <c r="F40" s="237">
        <v>27496.800000000003</v>
      </c>
      <c r="G40" s="237">
        <v>28778.99</v>
      </c>
      <c r="H40" s="237">
        <v>33847.129999999997</v>
      </c>
      <c r="I40" s="237">
        <v>39573.519999999997</v>
      </c>
      <c r="J40" s="237">
        <v>36357.33</v>
      </c>
      <c r="K40" s="237">
        <v>24402.32</v>
      </c>
      <c r="L40" s="237">
        <v>28002</v>
      </c>
      <c r="M40" s="237">
        <v>28299</v>
      </c>
      <c r="N40" s="355">
        <v>53644</v>
      </c>
      <c r="O40" s="237">
        <v>29188.940000000002</v>
      </c>
      <c r="P40" s="237">
        <v>23578</v>
      </c>
      <c r="Q40" s="237">
        <v>23564.01</v>
      </c>
      <c r="R40" s="237">
        <v>25707.429999999997</v>
      </c>
      <c r="S40" s="237"/>
      <c r="T40" s="355"/>
      <c r="U40" s="237"/>
      <c r="V40" s="103"/>
    </row>
    <row r="41" spans="2:24" x14ac:dyDescent="0.25">
      <c r="B41" t="s">
        <v>39</v>
      </c>
      <c r="C41" s="89"/>
      <c r="D41" s="89"/>
      <c r="E41" s="89"/>
      <c r="F41" s="237">
        <v>31843.589999999997</v>
      </c>
      <c r="G41" s="237">
        <v>32192.649999999998</v>
      </c>
      <c r="H41" s="237">
        <v>21875.21</v>
      </c>
      <c r="I41" s="237">
        <v>23210.749999999996</v>
      </c>
      <c r="J41" s="237">
        <v>20643.910000000003</v>
      </c>
      <c r="K41" s="237">
        <v>29943.530000000002</v>
      </c>
      <c r="L41" s="237">
        <v>26736</v>
      </c>
      <c r="M41" s="237">
        <v>23299</v>
      </c>
      <c r="N41" s="355">
        <v>21152</v>
      </c>
      <c r="O41" s="237">
        <v>19254.579999999998</v>
      </c>
      <c r="P41" s="237">
        <v>19163</v>
      </c>
      <c r="Q41" s="237">
        <v>22231.06</v>
      </c>
      <c r="R41" s="237">
        <v>26989.359999999993</v>
      </c>
      <c r="S41" s="237"/>
      <c r="T41" s="355"/>
      <c r="U41" s="237"/>
      <c r="V41" s="103"/>
    </row>
    <row r="42" spans="2:24" x14ac:dyDescent="0.25">
      <c r="B42" t="s">
        <v>33</v>
      </c>
      <c r="C42" s="89"/>
      <c r="D42" s="89"/>
      <c r="E42" s="89"/>
      <c r="F42" s="237">
        <v>80403.28</v>
      </c>
      <c r="G42" s="237">
        <v>105365.7</v>
      </c>
      <c r="H42" s="237">
        <v>111939.73999999999</v>
      </c>
      <c r="I42" s="237">
        <v>112294.24</v>
      </c>
      <c r="J42" s="237">
        <v>92725.260000000009</v>
      </c>
      <c r="K42" s="237">
        <v>40672.15</v>
      </c>
      <c r="L42" s="237">
        <v>19977</v>
      </c>
      <c r="M42" s="237">
        <v>23491</v>
      </c>
      <c r="N42" s="355">
        <v>32888</v>
      </c>
      <c r="O42" s="237">
        <v>26910.379999999997</v>
      </c>
      <c r="P42" s="237">
        <v>21614</v>
      </c>
      <c r="Q42" s="237">
        <v>23722.469999999998</v>
      </c>
      <c r="R42" s="237">
        <v>24929.319999999996</v>
      </c>
      <c r="S42" s="237"/>
      <c r="T42" s="355"/>
      <c r="U42" s="237"/>
      <c r="V42" s="103"/>
    </row>
    <row r="43" spans="2:24" x14ac:dyDescent="0.25">
      <c r="B43" s="241" t="s">
        <v>40</v>
      </c>
      <c r="C43" s="244"/>
      <c r="D43" s="244"/>
      <c r="E43" s="244"/>
      <c r="F43" s="240">
        <v>88130.65</v>
      </c>
      <c r="G43" s="240">
        <v>107817.43</v>
      </c>
      <c r="H43" s="240">
        <v>112872.1</v>
      </c>
      <c r="I43" s="240">
        <v>104030.28</v>
      </c>
      <c r="J43" s="240">
        <v>104740.83</v>
      </c>
      <c r="K43" s="240">
        <v>107551.23999999999</v>
      </c>
      <c r="L43" s="240">
        <v>86532</v>
      </c>
      <c r="M43" s="240">
        <v>114699</v>
      </c>
      <c r="N43" s="240">
        <v>96260</v>
      </c>
      <c r="O43" s="345">
        <v>126000.26</v>
      </c>
      <c r="P43" s="345">
        <v>95923</v>
      </c>
      <c r="Q43" s="345">
        <v>111123.65</v>
      </c>
      <c r="R43" s="345">
        <v>107804.65</v>
      </c>
      <c r="S43" s="345"/>
      <c r="T43" s="355"/>
      <c r="U43" s="237"/>
      <c r="V43" s="103"/>
    </row>
    <row r="44" spans="2:24" x14ac:dyDescent="0.25">
      <c r="B44" t="s">
        <v>41</v>
      </c>
      <c r="C44" s="89"/>
      <c r="D44" s="89"/>
      <c r="E44" s="89"/>
      <c r="F44" s="237">
        <v>65228.869999999995</v>
      </c>
      <c r="G44" s="237">
        <v>40036.21</v>
      </c>
      <c r="H44" s="237">
        <v>69236.87</v>
      </c>
      <c r="I44" s="237">
        <v>71090.390000000014</v>
      </c>
      <c r="J44" s="237">
        <v>72301.300000000017</v>
      </c>
      <c r="K44" s="237">
        <v>75483.31</v>
      </c>
      <c r="L44" s="237">
        <v>56274</v>
      </c>
      <c r="M44" s="237">
        <v>73517</v>
      </c>
      <c r="N44" s="355">
        <v>83885</v>
      </c>
      <c r="O44" s="237">
        <v>84504.61</v>
      </c>
      <c r="P44" s="237">
        <v>62903</v>
      </c>
      <c r="Q44" s="237">
        <v>77328.790000000008</v>
      </c>
      <c r="R44" s="237">
        <v>46996.17</v>
      </c>
      <c r="S44" s="237"/>
      <c r="T44" s="355"/>
      <c r="U44" s="237"/>
      <c r="V44" s="103"/>
      <c r="W44" s="103"/>
      <c r="X44" s="89"/>
    </row>
    <row r="45" spans="2:24" x14ac:dyDescent="0.25">
      <c r="B45" t="s">
        <v>42</v>
      </c>
      <c r="C45" s="89"/>
      <c r="D45" s="89"/>
      <c r="E45" s="89"/>
      <c r="F45" s="237">
        <v>147194.63999999998</v>
      </c>
      <c r="G45" s="237">
        <v>156809.53000000003</v>
      </c>
      <c r="H45" s="237">
        <v>89890.15</v>
      </c>
      <c r="I45" s="237">
        <v>122981.18000000001</v>
      </c>
      <c r="J45" s="237">
        <v>118467.87999999999</v>
      </c>
      <c r="K45" s="237">
        <v>84496.85000000002</v>
      </c>
      <c r="L45" s="237">
        <v>11413</v>
      </c>
      <c r="M45" s="237">
        <v>29987</v>
      </c>
      <c r="N45" s="355">
        <v>38376</v>
      </c>
      <c r="O45" s="237">
        <v>44922.02</v>
      </c>
      <c r="P45" s="237">
        <v>26268</v>
      </c>
      <c r="Q45" s="237">
        <v>28252.67</v>
      </c>
      <c r="R45" s="237">
        <v>37421.979999999996</v>
      </c>
      <c r="S45" s="237"/>
      <c r="T45" s="355"/>
      <c r="U45" s="237"/>
      <c r="V45" s="103"/>
      <c r="W45" s="103"/>
      <c r="X45" s="89"/>
    </row>
    <row r="46" spans="2:24" x14ac:dyDescent="0.25">
      <c r="B46" t="s">
        <v>43</v>
      </c>
      <c r="C46" s="89"/>
      <c r="D46" s="89"/>
      <c r="E46" s="89"/>
      <c r="F46" s="237">
        <v>88654.87999999999</v>
      </c>
      <c r="G46" s="237">
        <v>113484.73999999999</v>
      </c>
      <c r="H46" s="237">
        <v>90557.51</v>
      </c>
      <c r="I46" s="237">
        <v>126989.02999999998</v>
      </c>
      <c r="J46" s="237">
        <v>108482.18</v>
      </c>
      <c r="K46" s="237">
        <v>142017.38999999998</v>
      </c>
      <c r="L46" s="237">
        <v>92840</v>
      </c>
      <c r="M46" s="237">
        <v>151610</v>
      </c>
      <c r="N46" s="355">
        <v>108343</v>
      </c>
      <c r="O46" s="237">
        <v>136160.01999999999</v>
      </c>
      <c r="P46" s="237">
        <v>116337</v>
      </c>
      <c r="Q46" s="237">
        <v>157739.49</v>
      </c>
      <c r="R46" s="237">
        <v>72993.819999999992</v>
      </c>
      <c r="S46" s="237"/>
      <c r="T46" s="355"/>
      <c r="U46" s="237"/>
      <c r="V46" s="103"/>
      <c r="W46" s="103"/>
      <c r="X46" s="89"/>
    </row>
    <row r="47" spans="2:24" x14ac:dyDescent="0.25">
      <c r="B47" t="s">
        <v>44</v>
      </c>
      <c r="C47" s="89"/>
      <c r="D47" s="89"/>
      <c r="E47" s="89"/>
      <c r="F47" s="237">
        <v>55308.02</v>
      </c>
      <c r="G47" s="237">
        <v>60844.569999999992</v>
      </c>
      <c r="H47" s="237">
        <v>23426.99</v>
      </c>
      <c r="I47" s="237">
        <v>39066.850000000006</v>
      </c>
      <c r="J47" s="237">
        <v>51650.049999999996</v>
      </c>
      <c r="K47" s="237">
        <v>31068.87</v>
      </c>
      <c r="L47" s="237">
        <v>29229</v>
      </c>
      <c r="M47" s="237">
        <v>35910</v>
      </c>
      <c r="N47" s="355">
        <v>55940</v>
      </c>
      <c r="O47" s="237">
        <v>45627.57</v>
      </c>
      <c r="P47" s="237">
        <v>50837</v>
      </c>
      <c r="Q47" s="237">
        <v>29015.920000000002</v>
      </c>
      <c r="R47" s="237">
        <v>28594.479999999996</v>
      </c>
      <c r="S47" s="237"/>
      <c r="T47" s="355"/>
      <c r="U47" s="237"/>
      <c r="V47" s="103"/>
      <c r="W47" s="103"/>
      <c r="X47" s="89"/>
    </row>
    <row r="48" spans="2:24" x14ac:dyDescent="0.25">
      <c r="B48" t="s">
        <v>45</v>
      </c>
      <c r="C48" s="89"/>
      <c r="D48" s="89"/>
      <c r="E48" s="89"/>
      <c r="F48" s="237">
        <v>47431.29</v>
      </c>
      <c r="G48" s="237">
        <v>61513.54</v>
      </c>
      <c r="H48" s="237">
        <v>51403.48</v>
      </c>
      <c r="I48" s="237">
        <v>38410.339999999997</v>
      </c>
      <c r="J48" s="237">
        <v>61736.15</v>
      </c>
      <c r="K48" s="237">
        <v>73817.36</v>
      </c>
      <c r="L48" s="237">
        <v>60130</v>
      </c>
      <c r="M48" s="237">
        <v>76397</v>
      </c>
      <c r="N48" s="355">
        <v>92001</v>
      </c>
      <c r="O48" s="237">
        <v>92335.26</v>
      </c>
      <c r="P48" s="237">
        <v>69686</v>
      </c>
      <c r="Q48" s="237">
        <v>83005.09</v>
      </c>
      <c r="R48" s="237">
        <v>59271.81</v>
      </c>
      <c r="S48" s="237"/>
      <c r="T48" s="355"/>
      <c r="U48" s="237"/>
      <c r="V48" s="103"/>
      <c r="W48" s="103"/>
      <c r="X48" s="89"/>
    </row>
    <row r="49" spans="2:24" x14ac:dyDescent="0.25">
      <c r="B49" t="s">
        <v>46</v>
      </c>
      <c r="C49" s="89"/>
      <c r="D49" s="89"/>
      <c r="E49" s="89"/>
      <c r="F49" s="237">
        <v>136503.58999999997</v>
      </c>
      <c r="G49" s="237">
        <v>145485.37000000002</v>
      </c>
      <c r="H49" s="237">
        <v>170360.47000000003</v>
      </c>
      <c r="I49" s="237">
        <v>166347.63</v>
      </c>
      <c r="J49" s="237">
        <v>168862.52</v>
      </c>
      <c r="K49" s="237">
        <v>157610.16000000003</v>
      </c>
      <c r="L49" s="237">
        <v>142000</v>
      </c>
      <c r="M49" s="237">
        <v>128084</v>
      </c>
      <c r="N49" s="355">
        <v>113949</v>
      </c>
      <c r="O49" s="237">
        <v>130277.49000000002</v>
      </c>
      <c r="P49" s="237">
        <v>111798</v>
      </c>
      <c r="Q49" s="237">
        <v>126666.64000000001</v>
      </c>
      <c r="R49" s="237">
        <v>87373.540000000008</v>
      </c>
      <c r="S49" s="237"/>
      <c r="T49" s="355"/>
      <c r="U49" s="237"/>
      <c r="V49" s="103"/>
      <c r="W49" s="103"/>
      <c r="X49" s="89"/>
    </row>
    <row r="50" spans="2:24" x14ac:dyDescent="0.25">
      <c r="B50" t="s">
        <v>47</v>
      </c>
      <c r="C50" s="89"/>
      <c r="D50" s="89"/>
      <c r="E50" s="89"/>
      <c r="F50" s="237">
        <v>77296.160000000018</v>
      </c>
      <c r="G50" s="237">
        <v>58199.05999999999</v>
      </c>
      <c r="H50" s="237">
        <v>39199.689999999995</v>
      </c>
      <c r="I50" s="237">
        <v>58330.26</v>
      </c>
      <c r="J50" s="237">
        <v>55570.45</v>
      </c>
      <c r="K50" s="237">
        <v>70649.02</v>
      </c>
      <c r="L50" s="237">
        <v>78392</v>
      </c>
      <c r="M50" s="237">
        <v>70669</v>
      </c>
      <c r="N50" s="355">
        <v>63716</v>
      </c>
      <c r="O50" s="237">
        <v>62921.950000000004</v>
      </c>
      <c r="P50" s="237">
        <v>68563</v>
      </c>
      <c r="Q50" s="237">
        <v>58866.529999999992</v>
      </c>
      <c r="R50" s="237">
        <v>50097.23</v>
      </c>
      <c r="S50" s="237"/>
      <c r="T50" s="355"/>
      <c r="U50" s="237"/>
      <c r="V50" s="103"/>
      <c r="W50" s="103"/>
      <c r="X50" s="89"/>
    </row>
    <row r="51" spans="2:24" x14ac:dyDescent="0.25">
      <c r="B51" s="241" t="s">
        <v>48</v>
      </c>
      <c r="C51" s="244"/>
      <c r="D51" s="244"/>
      <c r="E51" s="244"/>
      <c r="F51" s="240">
        <v>68396.829999999987</v>
      </c>
      <c r="G51" s="240">
        <v>77643.53</v>
      </c>
      <c r="H51" s="240">
        <v>55232.92</v>
      </c>
      <c r="I51" s="240">
        <v>74381.55</v>
      </c>
      <c r="J51" s="240">
        <v>81146.350000000006</v>
      </c>
      <c r="K51" s="240">
        <v>83956.160000000003</v>
      </c>
      <c r="L51" s="240">
        <v>78773</v>
      </c>
      <c r="M51" s="240">
        <v>34487</v>
      </c>
      <c r="N51" s="366">
        <v>14597</v>
      </c>
      <c r="O51" s="345">
        <v>32300.61</v>
      </c>
      <c r="P51" s="345">
        <v>20822</v>
      </c>
      <c r="Q51" s="345">
        <v>49636.929999999993</v>
      </c>
      <c r="R51" s="345">
        <v>32025.649999999998</v>
      </c>
      <c r="S51" s="345"/>
      <c r="T51" s="355"/>
      <c r="U51" s="237"/>
      <c r="V51" s="103"/>
      <c r="W51" s="103"/>
      <c r="X51" s="89"/>
    </row>
    <row r="52" spans="2:24" x14ac:dyDescent="0.25">
      <c r="B52" t="s">
        <v>49</v>
      </c>
      <c r="C52" s="89"/>
      <c r="D52" s="89"/>
      <c r="E52" s="89"/>
      <c r="F52" s="12">
        <v>44658.740000000005</v>
      </c>
      <c r="G52" s="12">
        <v>49935.67</v>
      </c>
      <c r="H52" s="12">
        <v>52915.45</v>
      </c>
      <c r="I52" s="12">
        <v>39052.74</v>
      </c>
      <c r="J52" s="12">
        <v>43974.700000000004</v>
      </c>
      <c r="K52" s="12">
        <v>39232.68</v>
      </c>
      <c r="L52" s="237">
        <v>46001</v>
      </c>
      <c r="M52" s="237">
        <v>59575</v>
      </c>
      <c r="N52" s="367">
        <v>39973</v>
      </c>
      <c r="O52" s="237">
        <v>56537.930000000008</v>
      </c>
      <c r="P52" s="237">
        <v>32774</v>
      </c>
      <c r="Q52" s="237">
        <v>38099.619999999988</v>
      </c>
      <c r="R52" s="237">
        <v>20259.41</v>
      </c>
      <c r="S52" s="237"/>
      <c r="T52" s="355"/>
      <c r="U52" s="237"/>
      <c r="V52" s="103"/>
      <c r="W52" s="103"/>
      <c r="X52" s="89"/>
    </row>
    <row r="53" spans="2:24" x14ac:dyDescent="0.25">
      <c r="B53" t="s">
        <v>50</v>
      </c>
      <c r="C53" s="89"/>
      <c r="D53" s="89"/>
      <c r="E53" s="89"/>
      <c r="F53" s="12">
        <v>29807.78</v>
      </c>
      <c r="G53" s="12">
        <v>21040.74</v>
      </c>
      <c r="H53" s="12">
        <v>14552.19</v>
      </c>
      <c r="I53" s="12">
        <v>18660.110000000004</v>
      </c>
      <c r="J53" s="12">
        <v>97668.38</v>
      </c>
      <c r="K53" s="12">
        <v>186036.22999999998</v>
      </c>
      <c r="L53" s="237">
        <v>229716</v>
      </c>
      <c r="M53" s="237">
        <v>248384</v>
      </c>
      <c r="N53" s="367">
        <v>194481</v>
      </c>
      <c r="O53" s="237">
        <v>291763.46999999997</v>
      </c>
      <c r="P53" s="237">
        <v>194607</v>
      </c>
      <c r="Q53" s="237">
        <v>185717.22000000003</v>
      </c>
      <c r="R53" s="237">
        <v>120167.78</v>
      </c>
      <c r="S53" s="237"/>
      <c r="T53" s="355"/>
      <c r="U53" s="237"/>
      <c r="V53" s="103"/>
      <c r="W53" s="103"/>
      <c r="X53" s="89"/>
    </row>
    <row r="54" spans="2:24" x14ac:dyDescent="0.25">
      <c r="B54" t="s">
        <v>51</v>
      </c>
      <c r="C54" s="89"/>
      <c r="D54" s="89"/>
      <c r="E54" s="89"/>
      <c r="F54" s="12">
        <v>11332.16</v>
      </c>
      <c r="G54" s="12">
        <v>14076.78</v>
      </c>
      <c r="H54" s="12">
        <v>20404.129999999997</v>
      </c>
      <c r="I54" s="12">
        <v>21412.289999999997</v>
      </c>
      <c r="J54" s="12">
        <v>23753.74</v>
      </c>
      <c r="K54" s="12">
        <v>27562.93</v>
      </c>
      <c r="L54" s="237">
        <v>-2265</v>
      </c>
      <c r="M54" s="237">
        <v>0</v>
      </c>
      <c r="N54" s="367">
        <v>0</v>
      </c>
      <c r="O54" s="237">
        <v>0</v>
      </c>
      <c r="P54" s="237">
        <v>0</v>
      </c>
      <c r="Q54" s="237">
        <v>0</v>
      </c>
      <c r="R54" s="237">
        <v>0</v>
      </c>
      <c r="S54" s="237"/>
      <c r="T54" s="355"/>
      <c r="U54" s="237"/>
      <c r="V54" s="103"/>
      <c r="W54" s="103"/>
      <c r="X54" s="89"/>
    </row>
    <row r="55" spans="2:24" x14ac:dyDescent="0.25">
      <c r="B55" t="s">
        <v>52</v>
      </c>
      <c r="C55" s="89"/>
      <c r="D55" s="89"/>
      <c r="E55" s="89"/>
      <c r="F55" s="12">
        <v>30386.400000000001</v>
      </c>
      <c r="G55" s="12">
        <v>56221.919999999998</v>
      </c>
      <c r="H55" s="12">
        <v>26523.489999999998</v>
      </c>
      <c r="I55" s="12">
        <v>36375.99</v>
      </c>
      <c r="J55" s="12">
        <v>46015.99</v>
      </c>
      <c r="K55" s="12">
        <v>39472.730000000003</v>
      </c>
      <c r="L55" s="237">
        <v>26304</v>
      </c>
      <c r="M55" s="237">
        <v>46851</v>
      </c>
      <c r="N55" s="367">
        <v>39908</v>
      </c>
      <c r="O55" s="237">
        <v>17286.649999999998</v>
      </c>
      <c r="P55" s="237">
        <v>6859</v>
      </c>
      <c r="Q55" s="237">
        <v>22196.51</v>
      </c>
      <c r="R55" s="237">
        <v>18558.200000000004</v>
      </c>
      <c r="S55" s="237"/>
      <c r="T55" s="355"/>
      <c r="U55" s="237"/>
      <c r="V55" s="103"/>
      <c r="W55" s="103"/>
      <c r="X55" s="89"/>
    </row>
    <row r="56" spans="2:24" x14ac:dyDescent="0.25">
      <c r="B56" t="s">
        <v>53</v>
      </c>
      <c r="C56" s="89"/>
      <c r="D56" s="89"/>
      <c r="E56" s="89"/>
      <c r="F56" s="12">
        <v>43046.400000000001</v>
      </c>
      <c r="G56" s="12">
        <v>59623.280000000006</v>
      </c>
      <c r="H56" s="12">
        <v>35410.560000000005</v>
      </c>
      <c r="I56" s="12">
        <v>51907.789999999994</v>
      </c>
      <c r="J56" s="12">
        <v>57905.490000000005</v>
      </c>
      <c r="K56" s="12">
        <v>73834.760000000009</v>
      </c>
      <c r="L56" s="237">
        <v>59715</v>
      </c>
      <c r="M56" s="237">
        <v>13253</v>
      </c>
      <c r="N56" s="367">
        <v>8501</v>
      </c>
      <c r="O56" s="237">
        <v>19212.509999999998</v>
      </c>
      <c r="P56" s="237">
        <v>12515</v>
      </c>
      <c r="Q56" s="237">
        <v>11174.34</v>
      </c>
      <c r="R56" s="237">
        <v>14308.070000000002</v>
      </c>
      <c r="S56" s="237"/>
      <c r="T56" s="355"/>
      <c r="U56" s="237"/>
      <c r="V56" s="103"/>
      <c r="W56" s="103"/>
      <c r="X56" s="89"/>
    </row>
    <row r="57" spans="2:24" x14ac:dyDescent="0.25">
      <c r="B57" t="s">
        <v>54</v>
      </c>
      <c r="C57" s="89"/>
      <c r="D57" s="89"/>
      <c r="E57" s="89"/>
      <c r="F57" s="12">
        <v>68104.27</v>
      </c>
      <c r="G57" s="12">
        <v>63091.549999999996</v>
      </c>
      <c r="H57" s="12">
        <v>84915.16</v>
      </c>
      <c r="I57" s="12">
        <v>103599.96</v>
      </c>
      <c r="J57" s="12">
        <v>90478.840000000011</v>
      </c>
      <c r="K57" s="12">
        <v>68821.84</v>
      </c>
      <c r="L57" s="237">
        <v>73147</v>
      </c>
      <c r="M57" s="237">
        <v>119472</v>
      </c>
      <c r="N57" s="367">
        <v>93128</v>
      </c>
      <c r="O57" s="237">
        <v>115194.55999999998</v>
      </c>
      <c r="P57" s="237">
        <v>97314</v>
      </c>
      <c r="Q57" s="237">
        <v>97353.040000000008</v>
      </c>
      <c r="R57" s="237">
        <v>80486.849999999991</v>
      </c>
      <c r="S57" s="237"/>
      <c r="T57" s="355"/>
      <c r="U57" s="237"/>
      <c r="V57" s="103"/>
      <c r="W57" s="103"/>
      <c r="X57" s="89"/>
    </row>
    <row r="58" spans="2:24" x14ac:dyDescent="0.25">
      <c r="O58" s="237"/>
      <c r="P58" s="237"/>
      <c r="Q58" s="237"/>
      <c r="R58" s="237"/>
      <c r="S58" s="237"/>
    </row>
    <row r="59" spans="2:24" x14ac:dyDescent="0.25">
      <c r="B59" t="s">
        <v>158</v>
      </c>
      <c r="O59" s="237">
        <v>78388</v>
      </c>
      <c r="P59" s="237">
        <v>51915</v>
      </c>
      <c r="Q59" s="237">
        <v>71884</v>
      </c>
      <c r="R59" s="237">
        <v>19984.36</v>
      </c>
      <c r="S59" s="237"/>
      <c r="U59" s="89"/>
    </row>
    <row r="60" spans="2:24" x14ac:dyDescent="0.25">
      <c r="C60" s="10" t="s">
        <v>181</v>
      </c>
      <c r="D60" s="10" t="s">
        <v>182</v>
      </c>
      <c r="E60" s="10" t="s">
        <v>213</v>
      </c>
      <c r="F60" s="10" t="s">
        <v>202</v>
      </c>
      <c r="G60" s="10" t="s">
        <v>184</v>
      </c>
      <c r="H60" s="10" t="s">
        <v>214</v>
      </c>
      <c r="I60" s="10" t="s">
        <v>215</v>
      </c>
      <c r="J60" s="9" t="s">
        <v>188</v>
      </c>
      <c r="K60" s="9" t="s">
        <v>205</v>
      </c>
      <c r="L60" s="9" t="s">
        <v>190</v>
      </c>
      <c r="M60" s="9" t="s">
        <v>191</v>
      </c>
      <c r="N60" s="9" t="s">
        <v>192</v>
      </c>
      <c r="O60" s="365" t="s">
        <v>193</v>
      </c>
      <c r="P60" s="365" t="s">
        <v>194</v>
      </c>
      <c r="Q60" s="365" t="s">
        <v>195</v>
      </c>
      <c r="R60" s="365" t="s">
        <v>236</v>
      </c>
      <c r="S60" s="365"/>
      <c r="T60" s="9"/>
      <c r="U60" s="9"/>
    </row>
    <row r="61" spans="2:24" x14ac:dyDescent="0.25">
      <c r="B61" t="s">
        <v>220</v>
      </c>
      <c r="C61" s="91">
        <v>29292.67</v>
      </c>
      <c r="D61" s="91">
        <v>38947.25</v>
      </c>
      <c r="E61" s="91">
        <v>20075.450000000004</v>
      </c>
      <c r="F61" s="91">
        <v>44741.39</v>
      </c>
      <c r="G61" s="91">
        <v>29341.989999999998</v>
      </c>
      <c r="H61" s="91">
        <v>42470.549999999988</v>
      </c>
      <c r="I61" s="91">
        <v>57243.119999999988</v>
      </c>
      <c r="J61" s="91">
        <v>42003.99</v>
      </c>
      <c r="K61" s="91">
        <v>29626.11</v>
      </c>
      <c r="L61" s="91">
        <v>39824.35</v>
      </c>
      <c r="M61" s="91">
        <v>23424</v>
      </c>
      <c r="N61" s="91">
        <v>55099</v>
      </c>
      <c r="O61" s="91">
        <v>16384</v>
      </c>
      <c r="P61" s="91">
        <v>48242.04</v>
      </c>
      <c r="Q61" s="91">
        <v>35008</v>
      </c>
      <c r="R61" s="91">
        <v>85079.61</v>
      </c>
      <c r="S61" s="91"/>
      <c r="T61" s="91"/>
      <c r="U61" s="91"/>
    </row>
    <row r="62" spans="2:24" x14ac:dyDescent="0.25">
      <c r="B62" t="s">
        <v>141</v>
      </c>
      <c r="C62" s="91">
        <v>88448.739999999991</v>
      </c>
      <c r="D62" s="91">
        <v>56049.399999999994</v>
      </c>
      <c r="E62" s="91">
        <v>68929.969999999987</v>
      </c>
      <c r="F62" s="91">
        <v>68036.850000000006</v>
      </c>
      <c r="G62" s="91">
        <v>62992.68</v>
      </c>
      <c r="H62" s="91">
        <v>71721.27</v>
      </c>
      <c r="I62" s="91">
        <v>61360.05</v>
      </c>
      <c r="J62" s="91">
        <v>52293.93</v>
      </c>
      <c r="K62" s="91">
        <v>37450.65</v>
      </c>
      <c r="L62" s="91">
        <v>33255</v>
      </c>
      <c r="M62" s="91">
        <v>38076</v>
      </c>
      <c r="N62" s="91">
        <v>57875</v>
      </c>
      <c r="O62" s="91">
        <v>64342</v>
      </c>
      <c r="P62" s="91">
        <v>31730.050000000003</v>
      </c>
      <c r="Q62" s="91">
        <v>41019.699999999997</v>
      </c>
      <c r="R62" s="91">
        <v>48025.17</v>
      </c>
      <c r="S62" s="91"/>
      <c r="T62" s="91"/>
      <c r="U62" s="91"/>
    </row>
    <row r="63" spans="2:24" x14ac:dyDescent="0.25">
      <c r="B63" t="s">
        <v>142</v>
      </c>
      <c r="C63" s="91">
        <v>103804.16</v>
      </c>
      <c r="D63" s="91">
        <v>94857.9</v>
      </c>
      <c r="E63" s="91">
        <v>109863.36</v>
      </c>
      <c r="F63" s="91">
        <v>78196.459999999992</v>
      </c>
      <c r="G63" s="91">
        <v>98193.65</v>
      </c>
      <c r="H63" s="91">
        <v>95187.76999999999</v>
      </c>
      <c r="I63" s="91">
        <v>106830.70000000001</v>
      </c>
      <c r="J63" s="91">
        <v>98700.459999999992</v>
      </c>
      <c r="K63" s="91">
        <v>78727.37</v>
      </c>
      <c r="L63" s="91">
        <v>90848.14</v>
      </c>
      <c r="M63" s="91">
        <v>73122</v>
      </c>
      <c r="N63" s="91">
        <v>84673</v>
      </c>
      <c r="O63" s="91">
        <v>89134</v>
      </c>
      <c r="P63" s="91">
        <v>116613.93000000001</v>
      </c>
      <c r="Q63" s="91">
        <v>145752.79</v>
      </c>
      <c r="R63" s="91">
        <v>125424.50000000001</v>
      </c>
      <c r="S63" s="91"/>
      <c r="T63" s="91"/>
      <c r="U63" s="91"/>
    </row>
    <row r="64" spans="2:24" x14ac:dyDescent="0.25">
      <c r="B64" t="s">
        <v>217</v>
      </c>
      <c r="C64" s="91">
        <v>125403.02000000002</v>
      </c>
      <c r="D64" s="91">
        <v>67871</v>
      </c>
      <c r="E64" s="91">
        <v>74783.030000000013</v>
      </c>
      <c r="F64" s="91">
        <v>68468.42</v>
      </c>
      <c r="G64" s="91">
        <v>94440.55</v>
      </c>
      <c r="H64" s="91">
        <v>60021.540000000008</v>
      </c>
      <c r="I64" s="91">
        <v>72101.19</v>
      </c>
      <c r="J64" s="91">
        <v>103960.99000000002</v>
      </c>
      <c r="K64" s="91">
        <v>70021.64</v>
      </c>
      <c r="L64" s="91">
        <v>66944.580000000016</v>
      </c>
      <c r="M64" s="91">
        <v>43779</v>
      </c>
      <c r="N64" s="91">
        <v>53605</v>
      </c>
      <c r="O64" s="91">
        <v>75464.609999999986</v>
      </c>
      <c r="P64" s="91">
        <v>48387</v>
      </c>
      <c r="Q64" s="91">
        <v>52137.74</v>
      </c>
      <c r="R64" s="91">
        <v>36871.22</v>
      </c>
      <c r="S64" s="91"/>
      <c r="T64" s="91"/>
      <c r="U64" s="91"/>
    </row>
    <row r="65" spans="2:21" x14ac:dyDescent="0.25">
      <c r="B65" t="s">
        <v>144</v>
      </c>
      <c r="C65" s="91">
        <v>404310.7</v>
      </c>
      <c r="D65" s="91">
        <v>319029.34999999998</v>
      </c>
      <c r="E65" s="91">
        <v>382308.26999999996</v>
      </c>
      <c r="F65" s="91">
        <v>345889.72999999992</v>
      </c>
      <c r="G65" s="91">
        <v>347312.27</v>
      </c>
      <c r="H65" s="91">
        <v>261392.62</v>
      </c>
      <c r="I65" s="91">
        <v>246879.53999999998</v>
      </c>
      <c r="J65" s="91">
        <v>306623.81</v>
      </c>
      <c r="K65" s="91">
        <v>201246.74000000002</v>
      </c>
      <c r="L65" s="91">
        <v>200776.17</v>
      </c>
      <c r="M65" s="91">
        <v>164489</v>
      </c>
      <c r="N65" s="91">
        <v>157816</v>
      </c>
      <c r="O65" s="91">
        <v>227255.53999999998</v>
      </c>
      <c r="P65" s="91">
        <v>155069</v>
      </c>
      <c r="Q65" s="91">
        <v>190905.33999999997</v>
      </c>
      <c r="R65" s="91">
        <v>139381.31</v>
      </c>
      <c r="S65" s="91"/>
      <c r="T65" s="91"/>
      <c r="U65" s="91"/>
    </row>
    <row r="66" spans="2:21" x14ac:dyDescent="0.25">
      <c r="B66" t="s">
        <v>145</v>
      </c>
      <c r="C66" s="91"/>
      <c r="D66" s="91"/>
      <c r="E66" s="91"/>
      <c r="F66" s="91">
        <v>398526.58999999997</v>
      </c>
      <c r="G66" s="91">
        <v>508657.21000000008</v>
      </c>
      <c r="H66" s="91">
        <v>475707.81999999995</v>
      </c>
      <c r="I66" s="91">
        <v>476312.27</v>
      </c>
      <c r="J66" s="91">
        <v>439203.28000000009</v>
      </c>
      <c r="K66" s="91">
        <v>352087.03999999998</v>
      </c>
      <c r="L66" s="91">
        <v>319651</v>
      </c>
      <c r="M66" s="91">
        <v>384196</v>
      </c>
      <c r="N66" s="91">
        <v>394393</v>
      </c>
      <c r="O66" s="91">
        <v>393152.62</v>
      </c>
      <c r="P66" s="91">
        <v>317704</v>
      </c>
      <c r="Q66" s="91">
        <v>309994.75</v>
      </c>
      <c r="R66" s="91">
        <v>388302.58999999997</v>
      </c>
      <c r="S66" s="91"/>
      <c r="T66" s="91"/>
      <c r="U66" s="91"/>
    </row>
    <row r="67" spans="2:21" x14ac:dyDescent="0.25">
      <c r="B67" t="s">
        <v>121</v>
      </c>
      <c r="C67" s="91"/>
      <c r="D67" s="91"/>
      <c r="E67" s="91"/>
      <c r="F67" s="91">
        <v>686014.27999999991</v>
      </c>
      <c r="G67" s="91">
        <v>714016.54999999993</v>
      </c>
      <c r="H67" s="91">
        <v>589308.07999999996</v>
      </c>
      <c r="I67" s="91">
        <v>697597.23</v>
      </c>
      <c r="J67" s="91">
        <v>718216.87999999989</v>
      </c>
      <c r="K67" s="91">
        <v>719099.12000000011</v>
      </c>
      <c r="L67" s="91">
        <v>549051</v>
      </c>
      <c r="M67" s="91">
        <v>600661</v>
      </c>
      <c r="N67" s="91">
        <v>570807</v>
      </c>
      <c r="O67" s="91">
        <v>629049.53</v>
      </c>
      <c r="P67" s="91">
        <v>527214</v>
      </c>
      <c r="Q67" s="91">
        <v>610512.06000000006</v>
      </c>
      <c r="R67" s="91">
        <v>414774.67999999993</v>
      </c>
      <c r="S67" s="91"/>
      <c r="T67" s="91"/>
      <c r="U67" s="91"/>
    </row>
    <row r="68" spans="2:21" x14ac:dyDescent="0.25">
      <c r="B68" t="s">
        <v>218</v>
      </c>
      <c r="C68" s="91"/>
      <c r="D68" s="91"/>
      <c r="E68" s="91"/>
      <c r="F68" s="91">
        <v>227335.75</v>
      </c>
      <c r="G68" s="91">
        <v>263989.94</v>
      </c>
      <c r="H68" s="91">
        <v>234720.97999999998</v>
      </c>
      <c r="I68" s="91">
        <v>271008.88</v>
      </c>
      <c r="J68" s="91">
        <v>359797.14</v>
      </c>
      <c r="K68" s="91">
        <v>434961.16999999993</v>
      </c>
      <c r="L68" s="91">
        <v>432618</v>
      </c>
      <c r="M68" s="91">
        <v>487535</v>
      </c>
      <c r="N68" s="91">
        <v>375991</v>
      </c>
      <c r="O68" s="91">
        <v>499995.12</v>
      </c>
      <c r="P68" s="91">
        <v>344069</v>
      </c>
      <c r="Q68" s="91">
        <v>354540.73000000004</v>
      </c>
      <c r="R68" s="91">
        <v>253780.31</v>
      </c>
      <c r="S68" s="91"/>
      <c r="T68" s="91"/>
      <c r="U68" s="91"/>
    </row>
    <row r="69" spans="2:21" x14ac:dyDescent="0.25"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</row>
    <row r="70" spans="2:21" x14ac:dyDescent="0.25">
      <c r="C70" s="10" t="s">
        <v>181</v>
      </c>
      <c r="D70" s="10" t="s">
        <v>182</v>
      </c>
      <c r="E70" s="10" t="s">
        <v>213</v>
      </c>
      <c r="F70" s="10" t="s">
        <v>202</v>
      </c>
      <c r="G70" s="10" t="s">
        <v>184</v>
      </c>
      <c r="H70" s="10" t="s">
        <v>214</v>
      </c>
      <c r="I70" s="10" t="s">
        <v>215</v>
      </c>
      <c r="J70" s="9" t="s">
        <v>188</v>
      </c>
      <c r="K70" s="9" t="s">
        <v>205</v>
      </c>
      <c r="L70" s="9" t="s">
        <v>190</v>
      </c>
      <c r="M70" s="9" t="s">
        <v>191</v>
      </c>
      <c r="N70" s="9" t="s">
        <v>192</v>
      </c>
      <c r="O70" s="365" t="s">
        <v>193</v>
      </c>
      <c r="P70" s="365" t="s">
        <v>194</v>
      </c>
      <c r="Q70" s="365" t="s">
        <v>195</v>
      </c>
      <c r="R70" s="365" t="s">
        <v>236</v>
      </c>
      <c r="S70" s="9"/>
      <c r="T70" s="9"/>
      <c r="U70" s="9"/>
    </row>
    <row r="71" spans="2:21" x14ac:dyDescent="0.25">
      <c r="B71" t="s">
        <v>220</v>
      </c>
      <c r="C71" s="91">
        <v>42.951129032258059</v>
      </c>
      <c r="D71" s="91">
        <v>57.107404692082113</v>
      </c>
      <c r="E71" s="91">
        <v>29.436143695014668</v>
      </c>
      <c r="F71" s="91">
        <v>65.603211143695034</v>
      </c>
      <c r="G71" s="91">
        <v>43.023445747800587</v>
      </c>
      <c r="H71" s="91">
        <v>62.273533724340162</v>
      </c>
      <c r="I71" s="91">
        <v>83.934193548387086</v>
      </c>
      <c r="J71" s="91">
        <v>61.589428152492665</v>
      </c>
      <c r="K71" s="91">
        <v>43.440043988269792</v>
      </c>
      <c r="L71" s="91">
        <v>58.39347507331378</v>
      </c>
      <c r="M71" s="91">
        <v>34.346041055718473</v>
      </c>
      <c r="N71" s="91">
        <v>80.790322580645167</v>
      </c>
      <c r="O71" s="91">
        <v>24.023460410557185</v>
      </c>
      <c r="P71" s="91">
        <v>70.736129032258063</v>
      </c>
      <c r="Q71" s="91">
        <v>51.331378299120232</v>
      </c>
      <c r="R71" s="91">
        <v>124.75016129032258</v>
      </c>
      <c r="S71" s="91"/>
      <c r="T71" s="91"/>
      <c r="U71" s="91"/>
    </row>
    <row r="72" spans="2:21" x14ac:dyDescent="0.25">
      <c r="B72" t="s">
        <v>141</v>
      </c>
      <c r="C72" s="91">
        <v>54.429993846153842</v>
      </c>
      <c r="D72" s="91">
        <v>34.49193846153846</v>
      </c>
      <c r="E72" s="91">
        <v>42.418443076923069</v>
      </c>
      <c r="F72" s="91">
        <v>41.868830769230776</v>
      </c>
      <c r="G72" s="91">
        <v>38.764726153846155</v>
      </c>
      <c r="H72" s="91">
        <v>44.136166153846155</v>
      </c>
      <c r="I72" s="91">
        <v>37.760030769230774</v>
      </c>
      <c r="J72" s="91">
        <v>32.180880000000002</v>
      </c>
      <c r="K72" s="91">
        <v>23.046553846153849</v>
      </c>
      <c r="L72" s="91">
        <v>20.464615384615385</v>
      </c>
      <c r="M72" s="91">
        <v>23.431384615384616</v>
      </c>
      <c r="N72" s="91">
        <v>35.615384615384613</v>
      </c>
      <c r="O72" s="91">
        <v>39.595076923076924</v>
      </c>
      <c r="P72" s="91">
        <v>19.526184615384619</v>
      </c>
      <c r="Q72" s="91">
        <v>25.242892307692305</v>
      </c>
      <c r="R72" s="91">
        <v>29.553950769230767</v>
      </c>
      <c r="S72" s="91"/>
      <c r="T72" s="91"/>
      <c r="U72" s="91"/>
    </row>
    <row r="73" spans="2:21" x14ac:dyDescent="0.25">
      <c r="B73" t="s">
        <v>142</v>
      </c>
      <c r="C73" s="91">
        <v>287.54614958448752</v>
      </c>
      <c r="D73" s="91">
        <v>262.76426592797782</v>
      </c>
      <c r="E73" s="91">
        <v>304.33063711911359</v>
      </c>
      <c r="F73" s="91">
        <v>216.61069252077561</v>
      </c>
      <c r="G73" s="91">
        <v>272.00457063711912</v>
      </c>
      <c r="H73" s="91">
        <v>263.67803324099719</v>
      </c>
      <c r="I73" s="91">
        <v>295.92991689750698</v>
      </c>
      <c r="J73" s="91">
        <v>273.40847645429363</v>
      </c>
      <c r="K73" s="91">
        <v>218.08135734072022</v>
      </c>
      <c r="L73" s="91">
        <v>251.65689750692522</v>
      </c>
      <c r="M73" s="91">
        <v>202.5540166204986</v>
      </c>
      <c r="N73" s="91">
        <v>234.55124653739611</v>
      </c>
      <c r="O73" s="91">
        <v>246.90858725761774</v>
      </c>
      <c r="P73" s="91">
        <v>323.03027700831029</v>
      </c>
      <c r="Q73" s="91">
        <v>403.74734072022164</v>
      </c>
      <c r="R73" s="91">
        <v>347.4362880886427</v>
      </c>
      <c r="S73" s="91"/>
      <c r="T73" s="91"/>
      <c r="U73" s="91"/>
    </row>
    <row r="74" spans="2:21" x14ac:dyDescent="0.25">
      <c r="B74" t="s">
        <v>217</v>
      </c>
      <c r="C74" s="91">
        <v>96.911143740340052</v>
      </c>
      <c r="D74" s="91">
        <v>52.450540958268931</v>
      </c>
      <c r="E74" s="91">
        <v>57.792140649149935</v>
      </c>
      <c r="F74" s="91">
        <v>52.912225656877894</v>
      </c>
      <c r="G74" s="91">
        <v>72.983423493044825</v>
      </c>
      <c r="H74" s="91">
        <v>46.384497681607428</v>
      </c>
      <c r="I74" s="91">
        <v>55.719621329211748</v>
      </c>
      <c r="J74" s="91">
        <v>80.340795981452871</v>
      </c>
      <c r="K74" s="91">
        <v>54.112550231839258</v>
      </c>
      <c r="L74" s="91">
        <v>51.734605873261216</v>
      </c>
      <c r="M74" s="91">
        <v>33.832302936630605</v>
      </c>
      <c r="N74" s="91">
        <v>41.425811437403404</v>
      </c>
      <c r="O74" s="91">
        <v>58.318863987635225</v>
      </c>
      <c r="P74" s="91">
        <v>37.393353941267385</v>
      </c>
      <c r="Q74" s="91">
        <v>40.291916537867074</v>
      </c>
      <c r="R74" s="91">
        <v>28.493987635239566</v>
      </c>
      <c r="S74" s="91"/>
      <c r="T74" s="91"/>
      <c r="U74" s="91"/>
    </row>
    <row r="75" spans="2:21" x14ac:dyDescent="0.25">
      <c r="B75" t="s">
        <v>144</v>
      </c>
      <c r="C75" s="91">
        <v>415.10338809034909</v>
      </c>
      <c r="D75" s="91">
        <v>327.54553388090346</v>
      </c>
      <c r="E75" s="91">
        <v>392.51362422997943</v>
      </c>
      <c r="F75" s="91">
        <v>355.12292607802868</v>
      </c>
      <c r="G75" s="91">
        <v>356.58343942505138</v>
      </c>
      <c r="H75" s="91">
        <v>268.37024640657086</v>
      </c>
      <c r="I75" s="91">
        <v>253.46975359342915</v>
      </c>
      <c r="J75" s="91">
        <v>314.80883983572897</v>
      </c>
      <c r="K75" s="91">
        <v>206.61882956878853</v>
      </c>
      <c r="L75" s="91">
        <v>206.13569815195072</v>
      </c>
      <c r="M75" s="91">
        <v>168.87987679671457</v>
      </c>
      <c r="N75" s="91">
        <v>162.0287474332649</v>
      </c>
      <c r="O75" s="91">
        <v>233.321909650924</v>
      </c>
      <c r="P75" s="91">
        <v>159.20841889117042</v>
      </c>
      <c r="Q75" s="91">
        <v>196.0013757700205</v>
      </c>
      <c r="R75" s="91">
        <v>143.10196098562628</v>
      </c>
      <c r="S75" s="91"/>
      <c r="T75" s="91"/>
      <c r="U75" s="91"/>
    </row>
    <row r="76" spans="2:21" x14ac:dyDescent="0.25">
      <c r="B76" t="s">
        <v>145</v>
      </c>
      <c r="C76" s="91"/>
      <c r="D76" s="91"/>
      <c r="E76" s="91"/>
      <c r="F76" s="91">
        <v>304.21877099236639</v>
      </c>
      <c r="G76" s="91">
        <v>388.28794656488554</v>
      </c>
      <c r="H76" s="91">
        <v>363.13574045801522</v>
      </c>
      <c r="I76" s="91">
        <v>363.59715267175574</v>
      </c>
      <c r="J76" s="91">
        <v>335.26967938931307</v>
      </c>
      <c r="K76" s="91">
        <v>268.76873282442745</v>
      </c>
      <c r="L76" s="91">
        <v>244.00839694656489</v>
      </c>
      <c r="M76" s="91">
        <v>293.27938931297712</v>
      </c>
      <c r="N76" s="91">
        <v>301.06335877862597</v>
      </c>
      <c r="O76" s="91">
        <v>300.11650381679391</v>
      </c>
      <c r="P76" s="91">
        <v>242.52213740458015</v>
      </c>
      <c r="Q76" s="91">
        <v>236.63721374045801</v>
      </c>
      <c r="R76" s="91">
        <v>296.41419083969464</v>
      </c>
      <c r="S76" s="91"/>
      <c r="T76" s="91"/>
      <c r="U76" s="91"/>
    </row>
    <row r="77" spans="2:21" x14ac:dyDescent="0.25">
      <c r="B77" t="s">
        <v>121</v>
      </c>
      <c r="C77" s="91"/>
      <c r="D77" s="91"/>
      <c r="E77" s="91"/>
      <c r="F77" s="91">
        <v>330.13199230028869</v>
      </c>
      <c r="G77" s="91">
        <v>343.60757940327233</v>
      </c>
      <c r="H77" s="91">
        <v>283.59387872954761</v>
      </c>
      <c r="I77" s="91">
        <v>335.70607795957653</v>
      </c>
      <c r="J77" s="91">
        <v>345.62891241578433</v>
      </c>
      <c r="K77" s="91">
        <v>346.05347449470651</v>
      </c>
      <c r="L77" s="91">
        <v>264.22088546679498</v>
      </c>
      <c r="M77" s="91">
        <v>289.05726660250241</v>
      </c>
      <c r="N77" s="91">
        <v>274.69056785370549</v>
      </c>
      <c r="O77" s="91">
        <v>302.7187343599615</v>
      </c>
      <c r="P77" s="91">
        <v>253.71222329162657</v>
      </c>
      <c r="Q77" s="91">
        <v>293.79791145332052</v>
      </c>
      <c r="R77" s="91">
        <v>199.60282964388833</v>
      </c>
      <c r="S77" s="91"/>
      <c r="T77" s="91"/>
      <c r="U77" s="91"/>
    </row>
    <row r="78" spans="2:21" x14ac:dyDescent="0.25">
      <c r="B78" t="s">
        <v>218</v>
      </c>
      <c r="C78" s="91"/>
      <c r="D78" s="91"/>
      <c r="E78" s="91"/>
      <c r="F78" s="91">
        <v>152.47199865861839</v>
      </c>
      <c r="G78" s="91">
        <v>177.05562709590879</v>
      </c>
      <c r="H78" s="91">
        <v>157.42520456069749</v>
      </c>
      <c r="I78" s="91">
        <v>181.76316566063045</v>
      </c>
      <c r="J78" s="91">
        <v>241.31263581488935</v>
      </c>
      <c r="K78" s="91">
        <v>291.72446009389665</v>
      </c>
      <c r="L78" s="91">
        <v>290.15291750503019</v>
      </c>
      <c r="M78" s="91">
        <v>326.98524480214621</v>
      </c>
      <c r="N78" s="91">
        <v>252.17370892018781</v>
      </c>
      <c r="O78" s="91">
        <v>335.34213279678067</v>
      </c>
      <c r="P78" s="91">
        <v>230.76391683433937</v>
      </c>
      <c r="Q78" s="91">
        <v>237.78720992622405</v>
      </c>
      <c r="R78" s="91">
        <v>170.20812206572771</v>
      </c>
      <c r="S78" s="91"/>
      <c r="T78" s="91"/>
      <c r="U78" s="91"/>
    </row>
    <row r="80" spans="2:21" x14ac:dyDescent="0.25">
      <c r="B80" t="s">
        <v>240</v>
      </c>
      <c r="C80" t="s">
        <v>230</v>
      </c>
      <c r="D80" t="s">
        <v>222</v>
      </c>
      <c r="E80" t="s">
        <v>223</v>
      </c>
      <c r="F80" t="s">
        <v>224</v>
      </c>
      <c r="G80" t="s">
        <v>239</v>
      </c>
      <c r="H80" t="s">
        <v>238</v>
      </c>
    </row>
    <row r="81" spans="2:22" x14ac:dyDescent="0.25">
      <c r="B81" t="s">
        <v>220</v>
      </c>
      <c r="C81" s="89">
        <v>88315.37</v>
      </c>
      <c r="D81" s="89">
        <v>116553.93</v>
      </c>
      <c r="E81" s="89">
        <v>128873.21999999999</v>
      </c>
      <c r="F81" s="89">
        <v>118347.35</v>
      </c>
      <c r="G81" s="89">
        <v>99634.040000000008</v>
      </c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</row>
    <row r="82" spans="2:22" x14ac:dyDescent="0.25">
      <c r="B82" t="s">
        <v>141</v>
      </c>
      <c r="C82" s="89">
        <v>213428.11</v>
      </c>
      <c r="D82" s="89">
        <v>202750.8</v>
      </c>
      <c r="E82" s="89">
        <v>151104.63</v>
      </c>
      <c r="F82" s="89">
        <v>129206</v>
      </c>
      <c r="G82" s="89">
        <v>137091.75</v>
      </c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</row>
    <row r="83" spans="2:22" x14ac:dyDescent="0.25">
      <c r="B83" t="s">
        <v>142</v>
      </c>
      <c r="C83" s="89">
        <v>308525.42</v>
      </c>
      <c r="D83" s="89">
        <v>271577.88</v>
      </c>
      <c r="E83" s="89">
        <v>284258.53000000003</v>
      </c>
      <c r="F83" s="89">
        <v>248643.14</v>
      </c>
      <c r="G83" s="89">
        <v>351500.72</v>
      </c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</row>
    <row r="84" spans="2:22" x14ac:dyDescent="0.25">
      <c r="B84" t="s">
        <v>217</v>
      </c>
      <c r="C84" s="89">
        <v>268057.05000000005</v>
      </c>
      <c r="D84" s="89">
        <v>222930.51</v>
      </c>
      <c r="E84" s="89">
        <v>246083.82</v>
      </c>
      <c r="F84" s="89">
        <v>164328.58000000002</v>
      </c>
      <c r="G84" s="89">
        <v>175989.34999999998</v>
      </c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</row>
    <row r="85" spans="2:22" x14ac:dyDescent="0.25">
      <c r="B85" t="s">
        <v>144</v>
      </c>
      <c r="C85" s="89">
        <v>1105648.32</v>
      </c>
      <c r="D85" s="89">
        <v>954594.62</v>
      </c>
      <c r="E85" s="89">
        <v>754750.09</v>
      </c>
      <c r="F85" s="89">
        <v>523081.17000000004</v>
      </c>
      <c r="G85" s="89">
        <v>573229.87999999989</v>
      </c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</row>
    <row r="86" spans="2:22" x14ac:dyDescent="0.25">
      <c r="B86" t="s">
        <v>145</v>
      </c>
      <c r="C86" s="89"/>
      <c r="D86" s="89">
        <v>1382891.62</v>
      </c>
      <c r="E86" s="89">
        <v>1267602.5900000001</v>
      </c>
      <c r="F86" s="89">
        <v>1098240</v>
      </c>
      <c r="G86" s="89">
        <v>1020851.37</v>
      </c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</row>
    <row r="87" spans="2:22" x14ac:dyDescent="0.25">
      <c r="B87" t="s">
        <v>121</v>
      </c>
      <c r="C87" s="89"/>
      <c r="D87" s="89">
        <v>1989338.9099999997</v>
      </c>
      <c r="E87" s="89">
        <v>2134913.23</v>
      </c>
      <c r="F87" s="89">
        <v>1720519</v>
      </c>
      <c r="G87" s="89">
        <v>1766775.59</v>
      </c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 spans="2:22" x14ac:dyDescent="0.25">
      <c r="B88" t="s">
        <v>218</v>
      </c>
      <c r="C88" s="89"/>
      <c r="D88" s="89">
        <v>726046.66999999993</v>
      </c>
      <c r="E88" s="89">
        <v>1065767.19</v>
      </c>
      <c r="F88" s="89">
        <v>1296144</v>
      </c>
      <c r="G88" s="89">
        <v>1198604.8500000001</v>
      </c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7CCD-16AD-405C-B008-F04742B336CB}">
  <dimension ref="B1:W80"/>
  <sheetViews>
    <sheetView topLeftCell="A28" zoomScale="85" zoomScaleNormal="85" workbookViewId="0">
      <pane xSplit="2" topLeftCell="C1" activePane="topRight" state="frozen"/>
      <selection activeCell="Z60" sqref="Z60"/>
      <selection pane="topRight" activeCell="Q6" sqref="Q6"/>
    </sheetView>
  </sheetViews>
  <sheetFormatPr defaultRowHeight="15" x14ac:dyDescent="0.25"/>
  <cols>
    <col min="2" max="2" width="14.7109375" bestFit="1" customWidth="1"/>
    <col min="3" max="5" width="11.5703125" bestFit="1" customWidth="1"/>
    <col min="6" max="11" width="10.5703125" bestFit="1" customWidth="1"/>
    <col min="12" max="14" width="10.7109375" bestFit="1" customWidth="1"/>
    <col min="15" max="17" width="10.7109375" customWidth="1"/>
    <col min="18" max="21" width="10.5703125" bestFit="1" customWidth="1"/>
    <col min="22" max="22" width="12.42578125" customWidth="1"/>
    <col min="23" max="23" width="10.140625" bestFit="1" customWidth="1"/>
  </cols>
  <sheetData>
    <row r="1" spans="2:23" x14ac:dyDescent="0.25">
      <c r="L1">
        <v>3</v>
      </c>
    </row>
    <row r="2" spans="2:23" x14ac:dyDescent="0.25">
      <c r="B2" s="10" t="s">
        <v>64</v>
      </c>
      <c r="C2" s="10" t="s">
        <v>181</v>
      </c>
      <c r="D2" s="10" t="s">
        <v>182</v>
      </c>
      <c r="E2" s="10" t="s">
        <v>213</v>
      </c>
      <c r="F2" s="10" t="s">
        <v>202</v>
      </c>
      <c r="G2" s="10" t="s">
        <v>184</v>
      </c>
      <c r="H2" s="10" t="s">
        <v>214</v>
      </c>
      <c r="I2" s="10" t="s">
        <v>215</v>
      </c>
      <c r="J2" s="10" t="s">
        <v>188</v>
      </c>
      <c r="K2" s="10" t="s">
        <v>205</v>
      </c>
      <c r="L2" s="10" t="s">
        <v>190</v>
      </c>
      <c r="M2" s="10" t="s">
        <v>191</v>
      </c>
      <c r="N2" s="10" t="s">
        <v>192</v>
      </c>
      <c r="O2" s="365" t="s">
        <v>193</v>
      </c>
      <c r="P2" s="365" t="s">
        <v>194</v>
      </c>
      <c r="Q2" s="365" t="s">
        <v>195</v>
      </c>
      <c r="R2" s="365" t="s">
        <v>236</v>
      </c>
      <c r="S2" s="365"/>
    </row>
    <row r="3" spans="2:23" x14ac:dyDescent="0.25">
      <c r="B3" t="s">
        <v>2</v>
      </c>
      <c r="C3" s="236">
        <v>0</v>
      </c>
      <c r="D3" s="236">
        <v>0</v>
      </c>
      <c r="E3" s="236">
        <v>0</v>
      </c>
      <c r="F3" s="237">
        <v>38.18</v>
      </c>
      <c r="G3" s="237">
        <v>0</v>
      </c>
      <c r="H3" s="237">
        <v>243.81</v>
      </c>
      <c r="I3" s="237">
        <v>0</v>
      </c>
      <c r="J3" s="237">
        <v>0</v>
      </c>
      <c r="K3" s="237">
        <v>223.44</v>
      </c>
      <c r="L3" s="237">
        <v>52.5</v>
      </c>
      <c r="M3" s="237">
        <v>0</v>
      </c>
      <c r="N3" s="237">
        <v>0</v>
      </c>
      <c r="O3" s="237">
        <v>0</v>
      </c>
      <c r="P3" s="237">
        <v>0</v>
      </c>
      <c r="Q3" s="237">
        <v>0</v>
      </c>
      <c r="R3" s="237">
        <v>52.5</v>
      </c>
      <c r="S3" s="237"/>
    </row>
    <row r="4" spans="2:23" x14ac:dyDescent="0.25">
      <c r="B4" t="s">
        <v>3</v>
      </c>
      <c r="C4" s="236">
        <v>8234.25</v>
      </c>
      <c r="D4" s="236">
        <v>3425.63</v>
      </c>
      <c r="E4" s="236">
        <v>14762.89</v>
      </c>
      <c r="F4" s="237">
        <v>25900.87</v>
      </c>
      <c r="G4" s="237">
        <v>34640.21</v>
      </c>
      <c r="H4" s="237">
        <v>8138.8499999999995</v>
      </c>
      <c r="I4" s="237">
        <v>23093.440000000002</v>
      </c>
      <c r="J4" s="237">
        <v>17978.629999999997</v>
      </c>
      <c r="K4" s="237">
        <v>1564.75</v>
      </c>
      <c r="L4" s="237">
        <v>2331.630000000001</v>
      </c>
      <c r="M4" s="237">
        <v>1713.5999999999985</v>
      </c>
      <c r="N4" s="237">
        <v>857</v>
      </c>
      <c r="O4" s="237">
        <v>0</v>
      </c>
      <c r="P4" s="237">
        <v>567</v>
      </c>
      <c r="Q4" s="237">
        <v>731</v>
      </c>
      <c r="R4" s="237">
        <v>52.5</v>
      </c>
      <c r="S4" s="237"/>
    </row>
    <row r="5" spans="2:23" x14ac:dyDescent="0.25">
      <c r="B5" t="s">
        <v>4</v>
      </c>
      <c r="C5" s="236">
        <v>46456</v>
      </c>
      <c r="D5" s="236">
        <v>41906.07</v>
      </c>
      <c r="E5" s="236">
        <v>28805.9</v>
      </c>
      <c r="F5" s="237">
        <v>14411.53</v>
      </c>
      <c r="G5" s="237">
        <v>22988</v>
      </c>
      <c r="H5" s="237">
        <v>39321.240000000005</v>
      </c>
      <c r="I5" s="237">
        <v>41972</v>
      </c>
      <c r="J5" s="237">
        <v>50078</v>
      </c>
      <c r="K5" s="237">
        <v>16972.5</v>
      </c>
      <c r="L5" s="237">
        <v>15163</v>
      </c>
      <c r="M5" s="237">
        <v>-11559.900000000001</v>
      </c>
      <c r="N5" s="237">
        <v>31403</v>
      </c>
      <c r="O5" s="237">
        <v>29385</v>
      </c>
      <c r="P5" s="237">
        <v>35706.6</v>
      </c>
      <c r="Q5" s="237">
        <v>0</v>
      </c>
      <c r="R5" s="237">
        <v>52.5</v>
      </c>
      <c r="S5" s="237"/>
    </row>
    <row r="6" spans="2:23" x14ac:dyDescent="0.25">
      <c r="B6" t="s">
        <v>5</v>
      </c>
      <c r="C6" s="236">
        <v>0</v>
      </c>
      <c r="D6" s="236">
        <v>0</v>
      </c>
      <c r="E6" s="236">
        <v>0</v>
      </c>
      <c r="F6" s="237">
        <v>38.18</v>
      </c>
      <c r="G6" s="237">
        <v>0</v>
      </c>
      <c r="H6" s="237">
        <v>0</v>
      </c>
      <c r="I6" s="237">
        <v>0</v>
      </c>
      <c r="J6" s="237">
        <v>0</v>
      </c>
      <c r="K6" s="237">
        <v>0</v>
      </c>
      <c r="L6" s="237">
        <v>52.5</v>
      </c>
      <c r="M6" s="237">
        <v>0</v>
      </c>
      <c r="N6" s="237">
        <v>0</v>
      </c>
      <c r="O6" s="237">
        <v>0</v>
      </c>
      <c r="P6" s="237">
        <v>0</v>
      </c>
      <c r="Q6" s="237">
        <v>0</v>
      </c>
      <c r="R6" s="237">
        <v>52.5</v>
      </c>
      <c r="S6" s="237"/>
    </row>
    <row r="7" spans="2:23" x14ac:dyDescent="0.25">
      <c r="B7" t="s">
        <v>6</v>
      </c>
      <c r="C7" s="236">
        <v>11918.68</v>
      </c>
      <c r="D7" s="236">
        <v>8913.09</v>
      </c>
      <c r="E7" s="236">
        <v>14655.4</v>
      </c>
      <c r="F7" s="237">
        <v>-1356.7499999999995</v>
      </c>
      <c r="G7" s="237">
        <v>-4871.46</v>
      </c>
      <c r="H7" s="237">
        <v>1474.2</v>
      </c>
      <c r="I7" s="237">
        <v>4504.3999999999996</v>
      </c>
      <c r="J7" s="237">
        <v>2208.2800000000002</v>
      </c>
      <c r="K7" s="237">
        <v>3908.73</v>
      </c>
      <c r="L7" s="237">
        <v>7949.13</v>
      </c>
      <c r="M7" s="237">
        <v>1602</v>
      </c>
      <c r="N7" s="237">
        <v>7406</v>
      </c>
      <c r="O7" s="237">
        <v>11323</v>
      </c>
      <c r="P7" s="237">
        <v>4725.17</v>
      </c>
      <c r="Q7" s="237">
        <v>4327</v>
      </c>
      <c r="R7" s="237">
        <v>7572.38</v>
      </c>
      <c r="S7" s="237"/>
    </row>
    <row r="8" spans="2:23" x14ac:dyDescent="0.25">
      <c r="B8" t="s">
        <v>241</v>
      </c>
      <c r="C8" s="236"/>
      <c r="D8" s="236"/>
      <c r="E8" s="236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>
        <v>0</v>
      </c>
      <c r="S8" s="237"/>
    </row>
    <row r="9" spans="2:23" x14ac:dyDescent="0.25">
      <c r="B9" t="s">
        <v>242</v>
      </c>
      <c r="C9" s="236"/>
      <c r="D9" s="236"/>
      <c r="E9" s="236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>
        <v>0</v>
      </c>
      <c r="S9" s="237"/>
    </row>
    <row r="10" spans="2:23" x14ac:dyDescent="0.25">
      <c r="B10" s="241" t="s">
        <v>7</v>
      </c>
      <c r="C10" s="239">
        <v>451624.9</v>
      </c>
      <c r="D10" s="239">
        <v>574255.49</v>
      </c>
      <c r="E10" s="239">
        <v>477437.8</v>
      </c>
      <c r="F10" s="240">
        <v>423108.47</v>
      </c>
      <c r="G10" s="240">
        <v>450009.46</v>
      </c>
      <c r="H10" s="240">
        <v>431018.38999999996</v>
      </c>
      <c r="I10" s="240">
        <v>442565.64999999997</v>
      </c>
      <c r="J10" s="240">
        <v>447540.57</v>
      </c>
      <c r="K10" s="345">
        <v>438508.81999999995</v>
      </c>
      <c r="L10" s="345">
        <v>464464.77</v>
      </c>
      <c r="M10" s="240">
        <v>442794</v>
      </c>
      <c r="N10" s="240">
        <v>422681</v>
      </c>
      <c r="O10" s="345">
        <v>438375</v>
      </c>
      <c r="P10" s="345">
        <v>399625.00000000006</v>
      </c>
      <c r="Q10" s="345">
        <v>455812</v>
      </c>
      <c r="R10" s="345">
        <v>512383.45000000007</v>
      </c>
      <c r="S10" s="345"/>
    </row>
    <row r="11" spans="2:23" x14ac:dyDescent="0.25">
      <c r="B11" t="s">
        <v>8</v>
      </c>
      <c r="C11" s="245">
        <v>0</v>
      </c>
      <c r="D11" s="245">
        <v>0</v>
      </c>
      <c r="E11" s="245">
        <v>0</v>
      </c>
      <c r="F11" s="237">
        <v>38.18</v>
      </c>
      <c r="G11" s="237">
        <v>0</v>
      </c>
      <c r="H11" s="237">
        <v>0</v>
      </c>
      <c r="I11" s="237">
        <v>0</v>
      </c>
      <c r="J11" s="237">
        <v>0</v>
      </c>
      <c r="K11" s="237">
        <v>0</v>
      </c>
      <c r="L11" s="237">
        <v>52.5</v>
      </c>
      <c r="M11" s="237">
        <v>0</v>
      </c>
      <c r="N11" s="237">
        <v>0</v>
      </c>
      <c r="O11" s="237">
        <v>0</v>
      </c>
      <c r="P11" s="237">
        <v>0</v>
      </c>
      <c r="Q11" s="237">
        <v>0</v>
      </c>
      <c r="R11" s="237">
        <v>52.5</v>
      </c>
      <c r="S11" s="237"/>
      <c r="T11" s="93"/>
      <c r="U11" s="93"/>
    </row>
    <row r="12" spans="2:23" x14ac:dyDescent="0.25">
      <c r="B12" t="s">
        <v>9</v>
      </c>
      <c r="C12" s="245">
        <v>1154</v>
      </c>
      <c r="D12" s="245">
        <v>1498</v>
      </c>
      <c r="E12" s="245">
        <v>165</v>
      </c>
      <c r="F12" s="237">
        <v>192.18</v>
      </c>
      <c r="G12" s="237">
        <v>816.25</v>
      </c>
      <c r="H12" s="237">
        <v>2091.75</v>
      </c>
      <c r="I12" s="237">
        <v>3783.56</v>
      </c>
      <c r="J12" s="237">
        <v>16991.5</v>
      </c>
      <c r="K12" s="237">
        <v>2505.98</v>
      </c>
      <c r="L12" s="237">
        <v>1475.65</v>
      </c>
      <c r="M12" s="237">
        <v>9789</v>
      </c>
      <c r="N12" s="237">
        <v>1361.7699999999995</v>
      </c>
      <c r="O12" s="237">
        <v>1796</v>
      </c>
      <c r="P12" s="237">
        <v>3413.7500000000005</v>
      </c>
      <c r="Q12" s="237">
        <v>3747</v>
      </c>
      <c r="R12" s="237">
        <v>3134.5299999999993</v>
      </c>
      <c r="S12" s="237"/>
      <c r="T12" s="93"/>
      <c r="U12" s="93"/>
    </row>
    <row r="13" spans="2:23" x14ac:dyDescent="0.25">
      <c r="B13" t="s">
        <v>10</v>
      </c>
      <c r="C13" s="245">
        <v>21796.19</v>
      </c>
      <c r="D13" s="245">
        <v>16924</v>
      </c>
      <c r="E13" s="245">
        <v>20329.62</v>
      </c>
      <c r="F13" s="237">
        <v>10786.300000000001</v>
      </c>
      <c r="G13" s="237">
        <v>2163.2000000000003</v>
      </c>
      <c r="H13" s="237">
        <v>15927.82</v>
      </c>
      <c r="I13" s="237">
        <v>18970.88</v>
      </c>
      <c r="J13" s="237">
        <v>29302.5</v>
      </c>
      <c r="K13" s="237">
        <v>14326.55</v>
      </c>
      <c r="L13" s="237">
        <v>7502.57</v>
      </c>
      <c r="M13" s="237">
        <v>655</v>
      </c>
      <c r="N13" s="237">
        <v>6440.989999999998</v>
      </c>
      <c r="O13" s="237">
        <v>13433</v>
      </c>
      <c r="P13" s="237">
        <v>6670.44</v>
      </c>
      <c r="Q13" s="237">
        <v>-3668.6800000000003</v>
      </c>
      <c r="R13" s="237">
        <v>6061.2800000000025</v>
      </c>
      <c r="S13" s="237"/>
      <c r="T13" s="93"/>
      <c r="U13" s="93"/>
    </row>
    <row r="14" spans="2:23" x14ac:dyDescent="0.25">
      <c r="B14" t="s">
        <v>114</v>
      </c>
      <c r="C14" s="245">
        <v>0</v>
      </c>
      <c r="D14" s="245">
        <v>0</v>
      </c>
      <c r="E14" s="245">
        <v>0</v>
      </c>
      <c r="F14" s="237">
        <v>38</v>
      </c>
      <c r="G14" s="237">
        <v>0</v>
      </c>
      <c r="H14" s="237">
        <v>0</v>
      </c>
      <c r="I14" s="237">
        <v>0</v>
      </c>
      <c r="J14" s="237">
        <v>0</v>
      </c>
      <c r="K14" s="237">
        <v>0</v>
      </c>
      <c r="L14" s="237">
        <v>0</v>
      </c>
      <c r="M14" s="237">
        <v>0</v>
      </c>
      <c r="N14" s="237">
        <v>0</v>
      </c>
      <c r="O14" s="237">
        <v>0</v>
      </c>
      <c r="P14" s="237">
        <v>0</v>
      </c>
      <c r="Q14" s="237">
        <v>0</v>
      </c>
      <c r="R14" s="237">
        <v>0</v>
      </c>
      <c r="S14" s="237"/>
      <c r="T14" s="93"/>
      <c r="U14" s="93"/>
    </row>
    <row r="15" spans="2:23" x14ac:dyDescent="0.25">
      <c r="B15" s="241" t="s">
        <v>12</v>
      </c>
      <c r="C15" s="246">
        <v>19446.66</v>
      </c>
      <c r="D15" s="246">
        <v>5198.96</v>
      </c>
      <c r="E15" s="246">
        <v>570.57000000000016</v>
      </c>
      <c r="F15" s="240">
        <v>489.56</v>
      </c>
      <c r="G15" s="240">
        <v>9665.5</v>
      </c>
      <c r="H15" s="240">
        <v>5009.8999999999996</v>
      </c>
      <c r="I15" s="240">
        <v>20113.46</v>
      </c>
      <c r="J15" s="240">
        <v>2002</v>
      </c>
      <c r="K15" s="345">
        <v>7189.5</v>
      </c>
      <c r="L15" s="345">
        <v>7902.68</v>
      </c>
      <c r="M15" s="240">
        <v>5715</v>
      </c>
      <c r="N15" s="240">
        <v>35086.659999999996</v>
      </c>
      <c r="O15" s="345">
        <v>5949</v>
      </c>
      <c r="P15" s="345">
        <v>3714.56</v>
      </c>
      <c r="Q15" s="345">
        <v>9496.1200000000008</v>
      </c>
      <c r="R15" s="345">
        <v>14935.5</v>
      </c>
      <c r="S15" s="345"/>
      <c r="T15" s="93"/>
      <c r="U15" s="93"/>
    </row>
    <row r="16" spans="2:23" x14ac:dyDescent="0.25">
      <c r="B16" t="s">
        <v>13</v>
      </c>
      <c r="C16" s="245">
        <v>129624.09</v>
      </c>
      <c r="D16" s="245">
        <v>98880.89</v>
      </c>
      <c r="E16" s="245">
        <v>68679.929999999993</v>
      </c>
      <c r="F16" s="237">
        <v>128313.61</v>
      </c>
      <c r="G16" s="237">
        <v>75020.84</v>
      </c>
      <c r="H16" s="237">
        <v>109224.29</v>
      </c>
      <c r="I16" s="237">
        <v>31010.15</v>
      </c>
      <c r="J16" s="237">
        <v>83487.37</v>
      </c>
      <c r="K16" s="237">
        <v>47488.42</v>
      </c>
      <c r="L16" s="237">
        <v>78496.14</v>
      </c>
      <c r="M16" s="237">
        <v>66989</v>
      </c>
      <c r="N16" s="237">
        <v>37596.509999999995</v>
      </c>
      <c r="O16" s="237">
        <v>41837</v>
      </c>
      <c r="P16" s="237">
        <v>27495.489999999998</v>
      </c>
      <c r="Q16" s="237">
        <v>16115.91</v>
      </c>
      <c r="R16" s="237">
        <v>29935.260000000002</v>
      </c>
      <c r="S16" s="237"/>
      <c r="T16" s="93"/>
      <c r="U16" s="93"/>
      <c r="W16" t="s">
        <v>170</v>
      </c>
    </row>
    <row r="17" spans="2:21" x14ac:dyDescent="0.25">
      <c r="B17" t="s">
        <v>14</v>
      </c>
      <c r="C17" s="245">
        <v>134760.87</v>
      </c>
      <c r="D17" s="245">
        <v>118693.78</v>
      </c>
      <c r="E17" s="245">
        <v>175575.64</v>
      </c>
      <c r="F17" s="237">
        <v>144999.10999999999</v>
      </c>
      <c r="G17" s="237">
        <v>182901.77000000002</v>
      </c>
      <c r="H17" s="237">
        <v>126385.19</v>
      </c>
      <c r="I17" s="237">
        <v>132645.81</v>
      </c>
      <c r="J17" s="237">
        <v>167821.06</v>
      </c>
      <c r="K17" s="237">
        <v>160652.33000000002</v>
      </c>
      <c r="L17" s="237">
        <v>88343.360000000001</v>
      </c>
      <c r="M17" s="237">
        <v>119304</v>
      </c>
      <c r="N17" s="237">
        <v>58882.89</v>
      </c>
      <c r="O17" s="237">
        <v>36204</v>
      </c>
      <c r="P17" s="237">
        <v>25766.36</v>
      </c>
      <c r="Q17" s="237">
        <v>4167.25</v>
      </c>
      <c r="R17" s="237">
        <v>30200.31</v>
      </c>
      <c r="S17" s="237"/>
      <c r="T17" s="93"/>
      <c r="U17" s="93"/>
    </row>
    <row r="18" spans="2:21" x14ac:dyDescent="0.25">
      <c r="B18" t="s">
        <v>15</v>
      </c>
      <c r="C18" s="245">
        <v>69490.720000000001</v>
      </c>
      <c r="D18" s="245">
        <v>84552.92</v>
      </c>
      <c r="E18" s="245">
        <v>115287.26000000001</v>
      </c>
      <c r="F18" s="237">
        <v>130598</v>
      </c>
      <c r="G18" s="237">
        <v>118883.16</v>
      </c>
      <c r="H18" s="237">
        <v>138659.66999999998</v>
      </c>
      <c r="I18" s="237">
        <v>112589.83</v>
      </c>
      <c r="J18" s="237">
        <v>143809.26</v>
      </c>
      <c r="K18" s="237">
        <v>148084.97</v>
      </c>
      <c r="L18" s="237">
        <v>104156.98000000001</v>
      </c>
      <c r="M18" s="237">
        <v>94677</v>
      </c>
      <c r="N18" s="237">
        <v>86844.39</v>
      </c>
      <c r="O18" s="237">
        <v>63556</v>
      </c>
      <c r="P18" s="237">
        <v>22286.77</v>
      </c>
      <c r="Q18" s="237">
        <v>23156.920000000002</v>
      </c>
      <c r="R18" s="237">
        <v>40291.020000000004</v>
      </c>
      <c r="S18" s="237"/>
      <c r="T18" s="93"/>
      <c r="U18" s="93"/>
    </row>
    <row r="19" spans="2:21" x14ac:dyDescent="0.25">
      <c r="B19" t="s">
        <v>16</v>
      </c>
      <c r="C19" s="245">
        <v>179168.3</v>
      </c>
      <c r="D19" s="245">
        <v>146527.84</v>
      </c>
      <c r="E19" s="245">
        <v>228777.90999999997</v>
      </c>
      <c r="F19" s="237">
        <v>192960.77000000002</v>
      </c>
      <c r="G19" s="237">
        <v>132128.82</v>
      </c>
      <c r="H19" s="237">
        <v>71319.53</v>
      </c>
      <c r="I19" s="237">
        <v>78748.73</v>
      </c>
      <c r="J19" s="237">
        <v>199721.62999999998</v>
      </c>
      <c r="K19" s="237">
        <v>101216.18</v>
      </c>
      <c r="L19" s="237">
        <v>182056.58</v>
      </c>
      <c r="M19" s="237">
        <v>153685</v>
      </c>
      <c r="N19" s="237">
        <v>172470.24</v>
      </c>
      <c r="O19" s="237">
        <v>70937</v>
      </c>
      <c r="P19" s="237">
        <v>105600.51</v>
      </c>
      <c r="Q19" s="237">
        <v>8594.5999999999985</v>
      </c>
      <c r="R19" s="237">
        <v>23054.02</v>
      </c>
      <c r="S19" s="237"/>
      <c r="T19" s="93"/>
      <c r="U19" s="93"/>
    </row>
    <row r="20" spans="2:21" x14ac:dyDescent="0.25">
      <c r="B20" s="241" t="s">
        <v>17</v>
      </c>
      <c r="C20" s="246">
        <v>529847.72</v>
      </c>
      <c r="D20" s="246">
        <v>505387.46</v>
      </c>
      <c r="E20" s="246">
        <v>484779.04000000004</v>
      </c>
      <c r="F20" s="240">
        <v>529241.41</v>
      </c>
      <c r="G20" s="240">
        <v>508020.42</v>
      </c>
      <c r="H20" s="240">
        <v>498638.96000000008</v>
      </c>
      <c r="I20" s="240">
        <v>497765.6</v>
      </c>
      <c r="J20" s="240">
        <v>534100.17000000016</v>
      </c>
      <c r="K20" s="345">
        <v>509205.27</v>
      </c>
      <c r="L20" s="345">
        <v>512647.82999999996</v>
      </c>
      <c r="M20" s="240">
        <v>506697</v>
      </c>
      <c r="N20" s="240">
        <v>524404.28</v>
      </c>
      <c r="O20" s="345">
        <v>599648</v>
      </c>
      <c r="P20" s="345">
        <v>445265</v>
      </c>
      <c r="Q20" s="345">
        <v>537377.49</v>
      </c>
      <c r="R20" s="345">
        <v>541962</v>
      </c>
      <c r="S20" s="345"/>
      <c r="T20" s="93"/>
      <c r="U20" s="93"/>
    </row>
    <row r="21" spans="2:21" x14ac:dyDescent="0.25">
      <c r="B21" t="s">
        <v>18</v>
      </c>
      <c r="C21" s="237">
        <v>1271.1099999999999</v>
      </c>
      <c r="D21" s="237">
        <v>0</v>
      </c>
      <c r="E21" s="237">
        <v>0</v>
      </c>
      <c r="F21" s="237">
        <v>42</v>
      </c>
      <c r="G21" s="237">
        <v>353.27</v>
      </c>
      <c r="H21" s="237">
        <v>566.28</v>
      </c>
      <c r="I21" s="237">
        <v>672.84</v>
      </c>
      <c r="J21" s="237">
        <v>1682.1</v>
      </c>
      <c r="K21" s="237">
        <v>42</v>
      </c>
      <c r="L21" s="237">
        <v>0</v>
      </c>
      <c r="M21" s="237">
        <v>0</v>
      </c>
      <c r="N21" s="237">
        <v>3544</v>
      </c>
      <c r="O21" s="237">
        <v>0</v>
      </c>
      <c r="P21" s="237">
        <v>0</v>
      </c>
      <c r="Q21" s="237">
        <v>0</v>
      </c>
      <c r="R21" s="237">
        <v>1051.26</v>
      </c>
      <c r="S21" s="237"/>
    </row>
    <row r="22" spans="2:21" x14ac:dyDescent="0.25">
      <c r="B22" t="s">
        <v>19</v>
      </c>
      <c r="C22" s="237">
        <v>122.95</v>
      </c>
      <c r="D22" s="237">
        <v>3012.1800000000003</v>
      </c>
      <c r="E22" s="237">
        <v>0</v>
      </c>
      <c r="F22" s="237">
        <v>2307.9</v>
      </c>
      <c r="G22" s="237">
        <v>0</v>
      </c>
      <c r="H22" s="237">
        <v>0</v>
      </c>
      <c r="I22" s="237">
        <v>0</v>
      </c>
      <c r="J22" s="237">
        <v>5330.56</v>
      </c>
      <c r="K22" s="237">
        <v>15447.3</v>
      </c>
      <c r="L22" s="237">
        <v>537.80999999999995</v>
      </c>
      <c r="M22" s="237">
        <v>0</v>
      </c>
      <c r="N22" s="237">
        <v>673</v>
      </c>
      <c r="O22" s="237">
        <v>3571.07</v>
      </c>
      <c r="P22" s="237">
        <v>2559</v>
      </c>
      <c r="Q22" s="237">
        <v>215.8</v>
      </c>
      <c r="R22" s="237">
        <v>3747.97</v>
      </c>
      <c r="S22" s="237"/>
    </row>
    <row r="23" spans="2:21" x14ac:dyDescent="0.25">
      <c r="B23" t="s">
        <v>20</v>
      </c>
      <c r="C23" s="237">
        <v>26475.98</v>
      </c>
      <c r="D23" s="237">
        <v>38364.15</v>
      </c>
      <c r="E23" s="237">
        <v>46589.15</v>
      </c>
      <c r="F23" s="237">
        <v>22144.94</v>
      </c>
      <c r="G23" s="237">
        <v>28299.37</v>
      </c>
      <c r="H23" s="237">
        <v>40814.670000000006</v>
      </c>
      <c r="I23" s="237">
        <v>22188.71</v>
      </c>
      <c r="J23" s="237">
        <v>36897.21</v>
      </c>
      <c r="K23" s="237">
        <v>51678.86</v>
      </c>
      <c r="L23" s="237">
        <v>-2506.9700000000012</v>
      </c>
      <c r="M23" s="237">
        <v>0</v>
      </c>
      <c r="N23" s="237">
        <v>376</v>
      </c>
      <c r="O23" s="237">
        <v>0</v>
      </c>
      <c r="P23" s="237">
        <v>0</v>
      </c>
      <c r="Q23" s="237">
        <v>0</v>
      </c>
      <c r="R23" s="237">
        <v>42</v>
      </c>
      <c r="S23" s="237"/>
    </row>
    <row r="24" spans="2:21" x14ac:dyDescent="0.25">
      <c r="B24" t="s">
        <v>21</v>
      </c>
      <c r="C24" s="237">
        <v>0</v>
      </c>
      <c r="D24" s="237">
        <v>0</v>
      </c>
      <c r="E24" s="237">
        <v>0</v>
      </c>
      <c r="F24" s="237">
        <v>38.18</v>
      </c>
      <c r="G24" s="237">
        <v>0</v>
      </c>
      <c r="H24" s="237">
        <v>0</v>
      </c>
      <c r="I24" s="237">
        <v>0</v>
      </c>
      <c r="J24" s="237">
        <v>0</v>
      </c>
      <c r="K24" s="237">
        <v>0</v>
      </c>
      <c r="L24" s="237">
        <v>52.5</v>
      </c>
      <c r="M24" s="237">
        <v>2652</v>
      </c>
      <c r="N24" s="237">
        <v>884</v>
      </c>
      <c r="O24" s="237">
        <v>0</v>
      </c>
      <c r="P24" s="237">
        <v>6500</v>
      </c>
      <c r="Q24" s="237">
        <v>304</v>
      </c>
      <c r="R24" s="237">
        <v>552.5</v>
      </c>
      <c r="S24" s="237"/>
    </row>
    <row r="25" spans="2:21" x14ac:dyDescent="0.25">
      <c r="B25" t="s">
        <v>22</v>
      </c>
      <c r="C25" s="237">
        <v>124</v>
      </c>
      <c r="D25" s="237">
        <v>67.5</v>
      </c>
      <c r="E25" s="237">
        <v>0</v>
      </c>
      <c r="F25" s="237">
        <v>38.18</v>
      </c>
      <c r="G25" s="237">
        <v>0</v>
      </c>
      <c r="H25" s="237">
        <v>2513.6999999999998</v>
      </c>
      <c r="I25" s="237">
        <v>114.98</v>
      </c>
      <c r="J25" s="237">
        <v>0</v>
      </c>
      <c r="K25" s="237">
        <v>0</v>
      </c>
      <c r="L25" s="237">
        <v>123.9</v>
      </c>
      <c r="M25" s="237">
        <v>0</v>
      </c>
      <c r="N25" s="237">
        <v>0</v>
      </c>
      <c r="O25" s="237">
        <v>5805.6</v>
      </c>
      <c r="P25" s="237">
        <v>0</v>
      </c>
      <c r="Q25" s="237">
        <v>0</v>
      </c>
      <c r="R25" s="237">
        <v>52.5</v>
      </c>
      <c r="S25" s="237"/>
    </row>
    <row r="26" spans="2:21" x14ac:dyDescent="0.25">
      <c r="B26" t="s">
        <v>23</v>
      </c>
      <c r="C26" s="237">
        <v>0</v>
      </c>
      <c r="D26" s="237">
        <v>2700</v>
      </c>
      <c r="E26" s="237">
        <v>8800</v>
      </c>
      <c r="F26" s="237">
        <v>2400</v>
      </c>
      <c r="G26" s="237">
        <v>0</v>
      </c>
      <c r="H26" s="237">
        <v>0</v>
      </c>
      <c r="I26" s="237">
        <v>715</v>
      </c>
      <c r="J26" s="237">
        <v>1122.08</v>
      </c>
      <c r="K26" s="237">
        <v>5456.64</v>
      </c>
      <c r="L26" s="237">
        <v>52.5</v>
      </c>
      <c r="M26" s="237">
        <v>0</v>
      </c>
      <c r="N26" s="237">
        <v>0</v>
      </c>
      <c r="O26" s="237">
        <v>0</v>
      </c>
      <c r="P26" s="237">
        <v>0</v>
      </c>
      <c r="Q26" s="237">
        <v>78.75</v>
      </c>
      <c r="R26" s="237">
        <v>52.5</v>
      </c>
      <c r="S26" s="237"/>
    </row>
    <row r="27" spans="2:21" x14ac:dyDescent="0.25">
      <c r="B27" s="241" t="s">
        <v>24</v>
      </c>
      <c r="C27" s="240">
        <v>60</v>
      </c>
      <c r="D27" s="240">
        <v>355.11</v>
      </c>
      <c r="E27" s="240">
        <v>278.25</v>
      </c>
      <c r="F27" s="240">
        <v>375.9</v>
      </c>
      <c r="G27" s="240">
        <v>0</v>
      </c>
      <c r="H27" s="240">
        <v>0</v>
      </c>
      <c r="I27" s="240">
        <v>278.25</v>
      </c>
      <c r="J27" s="240">
        <v>278.25</v>
      </c>
      <c r="K27" s="345">
        <v>42</v>
      </c>
      <c r="L27" s="345">
        <v>278.25</v>
      </c>
      <c r="M27" s="240">
        <v>0</v>
      </c>
      <c r="N27" s="240">
        <v>0</v>
      </c>
      <c r="O27" s="345">
        <v>0</v>
      </c>
      <c r="P27" s="345">
        <v>352</v>
      </c>
      <c r="Q27" s="345">
        <v>0</v>
      </c>
      <c r="R27" s="345">
        <v>42</v>
      </c>
      <c r="S27" s="345"/>
    </row>
    <row r="28" spans="2:21" x14ac:dyDescent="0.25">
      <c r="B28" t="s">
        <v>25</v>
      </c>
      <c r="C28" s="237">
        <v>55826.080000000002</v>
      </c>
      <c r="D28" s="237">
        <v>55780</v>
      </c>
      <c r="E28" s="237">
        <v>107213.93</v>
      </c>
      <c r="F28" s="237">
        <v>291937.3</v>
      </c>
      <c r="G28" s="237">
        <v>140251.31</v>
      </c>
      <c r="H28" s="237">
        <v>123709.23000000001</v>
      </c>
      <c r="I28" s="237">
        <v>127928.3</v>
      </c>
      <c r="J28" s="237">
        <v>141430.78</v>
      </c>
      <c r="K28" s="237">
        <v>87681.12000000001</v>
      </c>
      <c r="L28" s="237">
        <v>174302.79</v>
      </c>
      <c r="M28" s="237">
        <v>148715</v>
      </c>
      <c r="N28" s="237">
        <v>147914</v>
      </c>
      <c r="O28" s="237">
        <v>83492.930000000008</v>
      </c>
      <c r="P28" s="237">
        <v>102304</v>
      </c>
      <c r="Q28" s="237">
        <v>90145.56</v>
      </c>
      <c r="R28" s="237">
        <v>55945.2</v>
      </c>
      <c r="S28" s="237"/>
    </row>
    <row r="29" spans="2:21" x14ac:dyDescent="0.25">
      <c r="B29" t="s">
        <v>26</v>
      </c>
      <c r="C29" s="237">
        <v>119527.35</v>
      </c>
      <c r="D29" s="237">
        <v>118640.04</v>
      </c>
      <c r="E29" s="237">
        <v>157874.81999999998</v>
      </c>
      <c r="F29" s="237">
        <v>190497.19</v>
      </c>
      <c r="G29" s="237">
        <v>122349.08000000003</v>
      </c>
      <c r="H29" s="237">
        <v>147967.13999999998</v>
      </c>
      <c r="I29" s="237">
        <v>132784.84</v>
      </c>
      <c r="J29" s="237">
        <v>136811.32</v>
      </c>
      <c r="K29" s="237">
        <v>185804.51</v>
      </c>
      <c r="L29" s="237">
        <v>139955.59</v>
      </c>
      <c r="M29" s="237">
        <v>133844</v>
      </c>
      <c r="N29" s="237">
        <v>165497</v>
      </c>
      <c r="O29" s="237">
        <v>139505.62</v>
      </c>
      <c r="P29" s="237">
        <v>142207</v>
      </c>
      <c r="Q29" s="237">
        <v>189943.18</v>
      </c>
      <c r="R29" s="237">
        <v>113787.87</v>
      </c>
      <c r="S29" s="237"/>
    </row>
    <row r="30" spans="2:21" x14ac:dyDescent="0.25">
      <c r="B30" t="s">
        <v>27</v>
      </c>
      <c r="C30" s="237">
        <v>175342.45999999996</v>
      </c>
      <c r="D30" s="237">
        <v>245647.93000000002</v>
      </c>
      <c r="E30" s="237">
        <v>152042.63999999998</v>
      </c>
      <c r="F30" s="237">
        <v>333411.53000000003</v>
      </c>
      <c r="G30" s="237">
        <v>170250.61</v>
      </c>
      <c r="H30" s="237">
        <v>161814.91</v>
      </c>
      <c r="I30" s="237">
        <v>221176.65000000002</v>
      </c>
      <c r="J30" s="237">
        <v>180311.53</v>
      </c>
      <c r="K30" s="237">
        <v>168381.31</v>
      </c>
      <c r="L30" s="237">
        <v>159442.52000000002</v>
      </c>
      <c r="M30" s="237">
        <v>175916</v>
      </c>
      <c r="N30" s="237">
        <v>170424</v>
      </c>
      <c r="O30" s="237">
        <v>182459.42</v>
      </c>
      <c r="P30" s="237">
        <v>150904</v>
      </c>
      <c r="Q30" s="237">
        <v>172907.32</v>
      </c>
      <c r="R30" s="237">
        <v>133847.22</v>
      </c>
      <c r="S30" s="237"/>
    </row>
    <row r="31" spans="2:21" x14ac:dyDescent="0.25">
      <c r="B31" t="s">
        <v>28</v>
      </c>
      <c r="C31" s="237">
        <v>238753.65</v>
      </c>
      <c r="D31" s="237">
        <v>209942.21</v>
      </c>
      <c r="E31" s="237">
        <v>248446.58000000002</v>
      </c>
      <c r="F31" s="237">
        <v>286396.99</v>
      </c>
      <c r="G31" s="237">
        <v>254388.66000000003</v>
      </c>
      <c r="H31" s="237">
        <v>206535.05000000002</v>
      </c>
      <c r="I31" s="237">
        <v>225464.05000000002</v>
      </c>
      <c r="J31" s="237">
        <v>226780.61999999997</v>
      </c>
      <c r="K31" s="237">
        <v>313853.18</v>
      </c>
      <c r="L31" s="237">
        <v>207403.76</v>
      </c>
      <c r="M31" s="237">
        <v>283103</v>
      </c>
      <c r="N31" s="237">
        <v>267760</v>
      </c>
      <c r="O31" s="237">
        <v>221599.30999999997</v>
      </c>
      <c r="P31" s="237">
        <v>169853</v>
      </c>
      <c r="Q31" s="237">
        <v>260552.06999999998</v>
      </c>
      <c r="R31" s="237">
        <v>184504.84</v>
      </c>
      <c r="S31" s="237"/>
    </row>
    <row r="32" spans="2:21" x14ac:dyDescent="0.25">
      <c r="B32" t="s">
        <v>29</v>
      </c>
      <c r="C32" s="237">
        <v>12542.539999999999</v>
      </c>
      <c r="D32" s="237">
        <v>130105.51000000001</v>
      </c>
      <c r="E32" s="237">
        <v>72089.569999999992</v>
      </c>
      <c r="F32" s="237">
        <v>92885.18</v>
      </c>
      <c r="G32" s="237">
        <v>-23907.61</v>
      </c>
      <c r="H32" s="237">
        <v>48037.899999999994</v>
      </c>
      <c r="I32" s="237">
        <v>47398.01</v>
      </c>
      <c r="J32" s="237">
        <v>35825.979999999996</v>
      </c>
      <c r="K32" s="237">
        <v>27479.48</v>
      </c>
      <c r="L32" s="237">
        <v>27440.66</v>
      </c>
      <c r="M32" s="237">
        <v>7619</v>
      </c>
      <c r="N32" s="237">
        <v>22615</v>
      </c>
      <c r="O32" s="237">
        <v>16843.75</v>
      </c>
      <c r="P32" s="237">
        <v>48861</v>
      </c>
      <c r="Q32" s="237">
        <v>35096.93</v>
      </c>
      <c r="R32" s="237">
        <v>34431.589999999997</v>
      </c>
      <c r="S32" s="237"/>
    </row>
    <row r="33" spans="2:22" x14ac:dyDescent="0.25">
      <c r="B33" t="s">
        <v>30</v>
      </c>
      <c r="C33" s="237">
        <v>42410.44</v>
      </c>
      <c r="D33" s="237">
        <v>65358.789999999994</v>
      </c>
      <c r="E33" s="237">
        <v>51895.29</v>
      </c>
      <c r="F33" s="237">
        <v>83497.81</v>
      </c>
      <c r="G33" s="237">
        <v>74459.260000000009</v>
      </c>
      <c r="H33" s="237">
        <v>62594.68</v>
      </c>
      <c r="I33" s="237">
        <v>76777.489999999991</v>
      </c>
      <c r="J33" s="237">
        <v>72531.28</v>
      </c>
      <c r="K33" s="237">
        <v>74724.180000000008</v>
      </c>
      <c r="L33" s="237">
        <v>53418.130000000005</v>
      </c>
      <c r="M33" s="237">
        <v>49922</v>
      </c>
      <c r="N33" s="237">
        <v>51836</v>
      </c>
      <c r="O33" s="237">
        <v>45231.03</v>
      </c>
      <c r="P33" s="237">
        <v>48579</v>
      </c>
      <c r="Q33" s="237">
        <v>104934.84999999999</v>
      </c>
      <c r="R33" s="237">
        <v>50451.38</v>
      </c>
      <c r="S33" s="237"/>
    </row>
    <row r="34" spans="2:22" x14ac:dyDescent="0.25">
      <c r="B34" t="s">
        <v>31</v>
      </c>
      <c r="C34" s="237">
        <v>848829.58000000031</v>
      </c>
      <c r="D34" s="237">
        <v>664727.17000000004</v>
      </c>
      <c r="E34" s="237">
        <v>962867.25000000012</v>
      </c>
      <c r="F34" s="237">
        <v>876512.88000000012</v>
      </c>
      <c r="G34" s="237">
        <v>761754.8600000001</v>
      </c>
      <c r="H34" s="237">
        <v>824487.99000000011</v>
      </c>
      <c r="I34" s="237">
        <v>802547.66</v>
      </c>
      <c r="J34" s="237">
        <v>811649.39999999991</v>
      </c>
      <c r="K34" s="237">
        <v>719322.60999999987</v>
      </c>
      <c r="L34" s="237">
        <v>832349.65000000014</v>
      </c>
      <c r="M34" s="237">
        <v>873754</v>
      </c>
      <c r="N34" s="237">
        <v>856859</v>
      </c>
      <c r="O34" s="237">
        <v>829568.37</v>
      </c>
      <c r="P34" s="237">
        <v>713726</v>
      </c>
      <c r="Q34" s="237">
        <v>808886.62</v>
      </c>
      <c r="R34" s="237">
        <v>798640.55999999982</v>
      </c>
      <c r="S34" s="237"/>
    </row>
    <row r="35" spans="2:22" x14ac:dyDescent="0.25">
      <c r="B35" s="241" t="s">
        <v>32</v>
      </c>
      <c r="C35" s="240">
        <v>918961.36999999988</v>
      </c>
      <c r="D35" s="240">
        <v>833735.90000000014</v>
      </c>
      <c r="E35" s="240">
        <v>920924.58999999985</v>
      </c>
      <c r="F35" s="240">
        <v>908788.74000000011</v>
      </c>
      <c r="G35" s="240">
        <v>850094.45</v>
      </c>
      <c r="H35" s="240">
        <v>847706.28</v>
      </c>
      <c r="I35" s="240">
        <v>875239.15</v>
      </c>
      <c r="J35" s="240">
        <v>860965.96</v>
      </c>
      <c r="K35" s="345">
        <v>841787.79</v>
      </c>
      <c r="L35" s="345">
        <v>951988.3</v>
      </c>
      <c r="M35" s="240">
        <v>249082</v>
      </c>
      <c r="N35" s="240">
        <v>865770</v>
      </c>
      <c r="O35" s="345">
        <v>870472.67000000016</v>
      </c>
      <c r="P35" s="345">
        <v>797478</v>
      </c>
      <c r="Q35" s="345">
        <v>878314.14</v>
      </c>
      <c r="R35" s="345">
        <v>850205.49</v>
      </c>
      <c r="S35" s="345"/>
      <c r="T35" s="442"/>
      <c r="U35" s="89"/>
      <c r="V35" s="89"/>
    </row>
    <row r="36" spans="2:22" x14ac:dyDescent="0.25">
      <c r="B36" t="s">
        <v>34</v>
      </c>
      <c r="C36" s="89"/>
      <c r="D36" s="89"/>
      <c r="E36" s="89"/>
      <c r="F36" s="12">
        <v>29125.869999999995</v>
      </c>
      <c r="G36" s="12">
        <v>42525.64</v>
      </c>
      <c r="H36" s="12">
        <v>37538.31</v>
      </c>
      <c r="I36" s="12">
        <v>64546.23</v>
      </c>
      <c r="J36" s="12">
        <v>75300.06</v>
      </c>
      <c r="K36" s="237">
        <v>42604.95</v>
      </c>
      <c r="L36" s="237">
        <v>39471</v>
      </c>
      <c r="M36" s="237">
        <v>23123</v>
      </c>
      <c r="N36" s="237">
        <v>24312</v>
      </c>
      <c r="O36" s="237">
        <v>24447.190000000002</v>
      </c>
      <c r="P36" s="237">
        <v>32952</v>
      </c>
      <c r="Q36" s="237">
        <v>57095.240000000005</v>
      </c>
      <c r="R36" s="237">
        <v>44149.250000000007</v>
      </c>
      <c r="S36" s="237"/>
      <c r="T36" s="89"/>
      <c r="U36" s="89"/>
      <c r="V36" s="103"/>
    </row>
    <row r="37" spans="2:22" x14ac:dyDescent="0.25">
      <c r="B37" t="s">
        <v>35</v>
      </c>
      <c r="C37" s="89"/>
      <c r="D37" s="89"/>
      <c r="E37" s="89"/>
      <c r="F37" s="237">
        <v>172029.02000000002</v>
      </c>
      <c r="G37" s="237">
        <v>181693.4</v>
      </c>
      <c r="H37" s="237">
        <v>115095.32</v>
      </c>
      <c r="I37" s="237">
        <v>112956.97</v>
      </c>
      <c r="J37" s="237">
        <v>181976.99000000002</v>
      </c>
      <c r="K37" s="237">
        <v>90536.9</v>
      </c>
      <c r="L37" s="237">
        <v>109895</v>
      </c>
      <c r="M37" s="237">
        <v>167167</v>
      </c>
      <c r="N37" s="237">
        <v>175642</v>
      </c>
      <c r="O37" s="237">
        <v>109959.50000000001</v>
      </c>
      <c r="P37" s="237">
        <v>127590</v>
      </c>
      <c r="Q37" s="237">
        <v>125050.76999999999</v>
      </c>
      <c r="R37" s="237">
        <v>130734.82</v>
      </c>
      <c r="S37" s="237"/>
      <c r="T37" s="89"/>
      <c r="U37" s="89"/>
      <c r="V37" s="103"/>
    </row>
    <row r="38" spans="2:22" x14ac:dyDescent="0.25">
      <c r="B38" t="s">
        <v>36</v>
      </c>
      <c r="C38" s="89"/>
      <c r="D38" s="89"/>
      <c r="E38" s="89"/>
      <c r="F38" s="237">
        <v>1294.8400000000001</v>
      </c>
      <c r="G38" s="237">
        <v>15613.899999999998</v>
      </c>
      <c r="H38" s="237">
        <v>21401.68</v>
      </c>
      <c r="I38" s="237">
        <v>11064.71</v>
      </c>
      <c r="J38" s="237">
        <v>12816.55</v>
      </c>
      <c r="K38" s="237">
        <v>22661.82</v>
      </c>
      <c r="L38" s="237">
        <v>16132</v>
      </c>
      <c r="M38" s="237">
        <v>30079</v>
      </c>
      <c r="N38" s="237">
        <v>25658</v>
      </c>
      <c r="O38" s="237">
        <v>15462.540000000005</v>
      </c>
      <c r="P38" s="237">
        <v>9889</v>
      </c>
      <c r="Q38" s="237">
        <v>22265.659999999996</v>
      </c>
      <c r="R38" s="237">
        <v>25001.980000000003</v>
      </c>
      <c r="S38" s="237"/>
      <c r="T38" s="89"/>
      <c r="U38" s="89"/>
      <c r="V38" s="103"/>
    </row>
    <row r="39" spans="2:22" x14ac:dyDescent="0.25">
      <c r="B39" t="s">
        <v>37</v>
      </c>
      <c r="C39" s="89"/>
      <c r="D39" s="89"/>
      <c r="E39" s="89"/>
      <c r="F39" s="237">
        <v>48674.619999999995</v>
      </c>
      <c r="G39" s="237">
        <v>14758.800000000003</v>
      </c>
      <c r="H39" s="237">
        <v>14473.990000000002</v>
      </c>
      <c r="I39" s="237">
        <v>18338.810000000001</v>
      </c>
      <c r="J39" s="237">
        <v>27952.19</v>
      </c>
      <c r="K39" s="237">
        <v>21584.54</v>
      </c>
      <c r="L39" s="237">
        <v>82303</v>
      </c>
      <c r="M39" s="237">
        <v>105927</v>
      </c>
      <c r="N39" s="237">
        <v>41981</v>
      </c>
      <c r="O39" s="237">
        <v>72735.19</v>
      </c>
      <c r="P39" s="237">
        <v>39228</v>
      </c>
      <c r="Q39" s="237">
        <v>14710.04</v>
      </c>
      <c r="R39" s="237">
        <v>18219.88</v>
      </c>
      <c r="S39" s="237"/>
      <c r="T39" s="89"/>
      <c r="U39" s="89"/>
      <c r="V39" s="103"/>
    </row>
    <row r="40" spans="2:22" x14ac:dyDescent="0.25">
      <c r="B40" t="s">
        <v>38</v>
      </c>
      <c r="C40" s="89"/>
      <c r="D40" s="89"/>
      <c r="E40" s="89"/>
      <c r="F40" s="237">
        <v>43941.11</v>
      </c>
      <c r="G40" s="237">
        <v>62952.36</v>
      </c>
      <c r="H40" s="237">
        <v>67601.650000000009</v>
      </c>
      <c r="I40" s="237">
        <v>118651.62</v>
      </c>
      <c r="J40" s="237">
        <v>78241.990000000005</v>
      </c>
      <c r="K40" s="237">
        <v>46664.99</v>
      </c>
      <c r="L40" s="237">
        <v>85261</v>
      </c>
      <c r="M40" s="237">
        <v>158479</v>
      </c>
      <c r="N40" s="237">
        <v>118638</v>
      </c>
      <c r="O40" s="237">
        <v>61190.889999999992</v>
      </c>
      <c r="P40" s="237">
        <v>61471</v>
      </c>
      <c r="Q40" s="237">
        <v>66421.089999999982</v>
      </c>
      <c r="R40" s="237">
        <v>67185.490000000005</v>
      </c>
      <c r="S40" s="237"/>
      <c r="T40" s="89"/>
      <c r="U40" s="89"/>
      <c r="V40" s="103"/>
    </row>
    <row r="41" spans="2:22" x14ac:dyDescent="0.25">
      <c r="B41" t="s">
        <v>39</v>
      </c>
      <c r="C41" s="89"/>
      <c r="D41" s="89"/>
      <c r="E41" s="89"/>
      <c r="F41" s="237">
        <v>57206.25</v>
      </c>
      <c r="G41" s="237">
        <v>41336.789999999994</v>
      </c>
      <c r="H41" s="237">
        <v>34413.800000000003</v>
      </c>
      <c r="I41" s="237">
        <v>30084.260000000002</v>
      </c>
      <c r="J41" s="237">
        <v>38951.06</v>
      </c>
      <c r="K41" s="237">
        <v>34820.49</v>
      </c>
      <c r="L41" s="237">
        <v>20968</v>
      </c>
      <c r="M41" s="237">
        <v>34005</v>
      </c>
      <c r="N41" s="237">
        <v>85270</v>
      </c>
      <c r="O41" s="237">
        <v>46002.180000000008</v>
      </c>
      <c r="P41" s="237">
        <v>52034</v>
      </c>
      <c r="Q41" s="237">
        <v>53345.63</v>
      </c>
      <c r="R41" s="237">
        <v>30811.02</v>
      </c>
      <c r="S41" s="237"/>
      <c r="T41" s="89"/>
      <c r="U41" s="89"/>
      <c r="V41" s="103"/>
    </row>
    <row r="42" spans="2:22" x14ac:dyDescent="0.25">
      <c r="B42" t="s">
        <v>33</v>
      </c>
      <c r="C42" s="89"/>
      <c r="D42" s="89"/>
      <c r="E42" s="89"/>
      <c r="F42" s="237">
        <v>174592.13</v>
      </c>
      <c r="G42" s="237">
        <v>277293.94</v>
      </c>
      <c r="H42" s="237">
        <v>224086.11</v>
      </c>
      <c r="I42" s="237">
        <v>252871.71</v>
      </c>
      <c r="J42" s="237">
        <v>182658.32</v>
      </c>
      <c r="K42" s="237">
        <v>122368.33</v>
      </c>
      <c r="L42" s="237">
        <v>68825</v>
      </c>
      <c r="M42" s="237">
        <v>70940</v>
      </c>
      <c r="N42" s="237">
        <v>91622</v>
      </c>
      <c r="O42" s="237">
        <v>77477.649999999994</v>
      </c>
      <c r="P42" s="237">
        <v>80321</v>
      </c>
      <c r="Q42" s="237">
        <v>100918.06999999999</v>
      </c>
      <c r="R42" s="237">
        <v>122799.65999999999</v>
      </c>
      <c r="S42" s="237"/>
      <c r="T42" s="89"/>
      <c r="U42" s="89"/>
      <c r="V42" s="103"/>
    </row>
    <row r="43" spans="2:22" x14ac:dyDescent="0.25">
      <c r="B43" s="241" t="s">
        <v>40</v>
      </c>
      <c r="C43" s="244"/>
      <c r="D43" s="244"/>
      <c r="E43" s="244"/>
      <c r="F43" s="240">
        <v>147032.95000000001</v>
      </c>
      <c r="G43" s="240">
        <v>248359.75</v>
      </c>
      <c r="H43" s="240">
        <v>210698.47999999998</v>
      </c>
      <c r="I43" s="240">
        <v>266389.59000000003</v>
      </c>
      <c r="J43" s="240">
        <v>108006.44</v>
      </c>
      <c r="K43" s="345">
        <v>143447.38</v>
      </c>
      <c r="L43" s="345">
        <v>253859</v>
      </c>
      <c r="M43" s="240">
        <v>165676</v>
      </c>
      <c r="N43" s="240">
        <v>225065</v>
      </c>
      <c r="O43" s="345">
        <v>181538.61000000002</v>
      </c>
      <c r="P43" s="345">
        <v>154481</v>
      </c>
      <c r="Q43" s="345">
        <v>163584.22</v>
      </c>
      <c r="R43" s="345">
        <v>236318.35000000003</v>
      </c>
      <c r="S43" s="345"/>
      <c r="T43" s="89"/>
      <c r="U43" s="89"/>
      <c r="V43" s="103"/>
    </row>
    <row r="44" spans="2:22" x14ac:dyDescent="0.25">
      <c r="B44" t="s">
        <v>41</v>
      </c>
      <c r="C44" s="89"/>
      <c r="D44" s="89"/>
      <c r="E44" s="89"/>
      <c r="F44" s="237">
        <v>98347.849999999991</v>
      </c>
      <c r="G44" s="237">
        <v>76115.110000000015</v>
      </c>
      <c r="H44" s="237">
        <v>33747.869999999995</v>
      </c>
      <c r="I44" s="237">
        <v>75724.66</v>
      </c>
      <c r="J44" s="237">
        <v>70838.280000000013</v>
      </c>
      <c r="K44" s="237">
        <v>74242.8</v>
      </c>
      <c r="L44" s="237">
        <v>59194</v>
      </c>
      <c r="M44" s="237">
        <v>188369</v>
      </c>
      <c r="N44" s="357">
        <v>361943</v>
      </c>
      <c r="O44" s="237">
        <v>210010.01000000004</v>
      </c>
      <c r="P44" s="237">
        <v>82505</v>
      </c>
      <c r="Q44" s="237">
        <v>61019.23</v>
      </c>
      <c r="R44" s="237">
        <v>146153.75</v>
      </c>
      <c r="S44" s="237"/>
      <c r="T44" s="89"/>
      <c r="U44" s="89"/>
      <c r="V44" s="103"/>
    </row>
    <row r="45" spans="2:22" x14ac:dyDescent="0.25">
      <c r="B45" t="s">
        <v>42</v>
      </c>
      <c r="C45" s="89"/>
      <c r="D45" s="89"/>
      <c r="E45" s="89"/>
      <c r="F45" s="237">
        <v>86371.020000000019</v>
      </c>
      <c r="G45" s="237">
        <v>95893.709999999992</v>
      </c>
      <c r="H45" s="237">
        <v>47282.47</v>
      </c>
      <c r="I45" s="237">
        <v>59395.59</v>
      </c>
      <c r="J45" s="237">
        <v>49759.17</v>
      </c>
      <c r="K45" s="237">
        <v>105372.63999999998</v>
      </c>
      <c r="L45" s="237">
        <v>33250</v>
      </c>
      <c r="M45" s="237">
        <v>69955</v>
      </c>
      <c r="N45" s="357">
        <v>59969</v>
      </c>
      <c r="O45" s="237">
        <v>39108.699999999997</v>
      </c>
      <c r="P45" s="237">
        <v>62517</v>
      </c>
      <c r="Q45" s="237">
        <v>33327.450000000004</v>
      </c>
      <c r="R45" s="237">
        <v>135127.43</v>
      </c>
      <c r="S45" s="237"/>
      <c r="T45" s="89"/>
      <c r="U45" s="89"/>
      <c r="V45" s="103"/>
    </row>
    <row r="46" spans="2:22" x14ac:dyDescent="0.25">
      <c r="B46" t="s">
        <v>43</v>
      </c>
      <c r="C46" s="89"/>
      <c r="D46" s="89"/>
      <c r="E46" s="89"/>
      <c r="F46" s="237">
        <v>184127.84000000003</v>
      </c>
      <c r="G46" s="237">
        <v>201454.46</v>
      </c>
      <c r="H46" s="237">
        <v>288223.01999999996</v>
      </c>
      <c r="I46" s="237">
        <v>306056.26000000007</v>
      </c>
      <c r="J46" s="237">
        <v>172650.59000000003</v>
      </c>
      <c r="K46" s="237">
        <v>221180.67000000004</v>
      </c>
      <c r="L46" s="237">
        <v>236050</v>
      </c>
      <c r="M46" s="237">
        <v>193759</v>
      </c>
      <c r="N46" s="357">
        <v>298206</v>
      </c>
      <c r="O46" s="237">
        <v>147693.30000000002</v>
      </c>
      <c r="P46" s="237">
        <v>307975</v>
      </c>
      <c r="Q46" s="237">
        <v>156551.76</v>
      </c>
      <c r="R46" s="237">
        <v>74640.39</v>
      </c>
      <c r="S46" s="237"/>
      <c r="T46" s="89"/>
      <c r="U46" s="89"/>
      <c r="V46" s="103"/>
    </row>
    <row r="47" spans="2:22" x14ac:dyDescent="0.25">
      <c r="B47" t="s">
        <v>44</v>
      </c>
      <c r="C47" s="89"/>
      <c r="D47" s="89"/>
      <c r="E47" s="89"/>
      <c r="F47" s="237">
        <v>125795.41</v>
      </c>
      <c r="G47" s="237">
        <v>300157.07</v>
      </c>
      <c r="H47" s="237">
        <v>231929.35</v>
      </c>
      <c r="I47" s="237">
        <v>40848.160000000003</v>
      </c>
      <c r="J47" s="237">
        <v>44416.2</v>
      </c>
      <c r="K47" s="237">
        <v>36794.36</v>
      </c>
      <c r="L47" s="237">
        <v>63043</v>
      </c>
      <c r="M47" s="237">
        <v>199841</v>
      </c>
      <c r="N47" s="357">
        <v>151081</v>
      </c>
      <c r="O47" s="237">
        <v>126076.48000000001</v>
      </c>
      <c r="P47" s="237">
        <v>48460</v>
      </c>
      <c r="Q47" s="237">
        <v>131061.12</v>
      </c>
      <c r="R47" s="237">
        <v>50799.909999999996</v>
      </c>
      <c r="S47" s="237"/>
      <c r="T47" s="89"/>
      <c r="U47" s="89"/>
      <c r="V47" s="103"/>
    </row>
    <row r="48" spans="2:22" x14ac:dyDescent="0.25">
      <c r="B48" t="s">
        <v>45</v>
      </c>
      <c r="C48" s="89"/>
      <c r="D48" s="89"/>
      <c r="E48" s="89"/>
      <c r="F48" s="237">
        <v>237686.33</v>
      </c>
      <c r="G48" s="237">
        <v>150144.03</v>
      </c>
      <c r="H48" s="237">
        <v>75490.850000000006</v>
      </c>
      <c r="I48" s="237">
        <v>59350.69</v>
      </c>
      <c r="J48" s="237">
        <v>91952.76</v>
      </c>
      <c r="K48" s="237">
        <v>61781.750000000007</v>
      </c>
      <c r="L48" s="237">
        <v>52912</v>
      </c>
      <c r="M48" s="237">
        <v>96459</v>
      </c>
      <c r="N48" s="357">
        <v>54754</v>
      </c>
      <c r="O48" s="237">
        <v>46291.96</v>
      </c>
      <c r="P48" s="237">
        <v>40325</v>
      </c>
      <c r="Q48" s="237">
        <v>47558.119999999995</v>
      </c>
      <c r="R48" s="237">
        <v>117485.69999999998</v>
      </c>
      <c r="S48" s="237"/>
      <c r="T48" s="89"/>
      <c r="U48" s="89"/>
      <c r="V48" s="103"/>
    </row>
    <row r="49" spans="2:23" x14ac:dyDescent="0.25">
      <c r="B49" t="s">
        <v>46</v>
      </c>
      <c r="C49" s="89"/>
      <c r="D49" s="89"/>
      <c r="E49" s="89"/>
      <c r="F49" s="237">
        <v>143621.38999999998</v>
      </c>
      <c r="G49" s="237">
        <v>62863.42</v>
      </c>
      <c r="H49" s="237">
        <v>-6836.5400000000009</v>
      </c>
      <c r="I49" s="237">
        <v>73619.42</v>
      </c>
      <c r="J49" s="237">
        <v>239886.62</v>
      </c>
      <c r="K49" s="237">
        <v>79007.960000000006</v>
      </c>
      <c r="L49" s="237">
        <v>170619</v>
      </c>
      <c r="M49" s="237">
        <v>51834</v>
      </c>
      <c r="N49" s="357">
        <v>238657</v>
      </c>
      <c r="O49" s="237">
        <v>121220.43</v>
      </c>
      <c r="P49" s="237">
        <v>66596</v>
      </c>
      <c r="Q49" s="237">
        <v>65670.12999999999</v>
      </c>
      <c r="R49" s="237">
        <v>63491.560000000012</v>
      </c>
      <c r="S49" s="237"/>
      <c r="T49" s="89"/>
      <c r="U49" s="89"/>
      <c r="V49" s="103"/>
    </row>
    <row r="50" spans="2:23" x14ac:dyDescent="0.25">
      <c r="B50" t="s">
        <v>47</v>
      </c>
      <c r="C50" s="89"/>
      <c r="D50" s="89"/>
      <c r="E50" s="89"/>
      <c r="F50" s="237">
        <v>18830.829999999998</v>
      </c>
      <c r="G50" s="237">
        <v>37633.839999999997</v>
      </c>
      <c r="H50" s="237">
        <v>43847.38</v>
      </c>
      <c r="I50" s="237">
        <v>36927.57</v>
      </c>
      <c r="J50" s="237">
        <v>132544.73000000001</v>
      </c>
      <c r="K50" s="237">
        <v>75149.069999999992</v>
      </c>
      <c r="L50" s="237">
        <v>151942</v>
      </c>
      <c r="M50" s="237">
        <v>59329</v>
      </c>
      <c r="N50" s="357">
        <v>63347</v>
      </c>
      <c r="O50" s="237">
        <v>44900.04</v>
      </c>
      <c r="P50" s="237">
        <v>186921</v>
      </c>
      <c r="Q50" s="237">
        <v>29869.5</v>
      </c>
      <c r="R50" s="237">
        <v>43189.460000000006</v>
      </c>
      <c r="S50" s="237"/>
      <c r="T50" s="89"/>
      <c r="U50" s="89"/>
      <c r="V50" s="103"/>
    </row>
    <row r="51" spans="2:23" x14ac:dyDescent="0.25">
      <c r="B51" s="241" t="s">
        <v>48</v>
      </c>
      <c r="C51" s="244"/>
      <c r="D51" s="244"/>
      <c r="E51" s="244"/>
      <c r="F51" s="240">
        <v>10675.57</v>
      </c>
      <c r="G51" s="240">
        <v>125153.57999999999</v>
      </c>
      <c r="H51" s="240">
        <v>85618.880000000005</v>
      </c>
      <c r="I51" s="240">
        <v>59201.68</v>
      </c>
      <c r="J51" s="240">
        <v>91734.16</v>
      </c>
      <c r="K51" s="345">
        <v>49589.62</v>
      </c>
      <c r="L51" s="345">
        <v>42920</v>
      </c>
      <c r="M51" s="240">
        <v>30957</v>
      </c>
      <c r="N51" s="358">
        <v>29998</v>
      </c>
      <c r="O51" s="345">
        <v>34501.050000000003</v>
      </c>
      <c r="P51" s="345">
        <v>33776</v>
      </c>
      <c r="Q51" s="345">
        <v>49473.79</v>
      </c>
      <c r="R51" s="345">
        <v>110945.54000000001</v>
      </c>
      <c r="S51" s="345"/>
      <c r="T51" s="89"/>
      <c r="U51" s="89"/>
      <c r="V51" s="103"/>
    </row>
    <row r="52" spans="2:23" x14ac:dyDescent="0.25">
      <c r="B52" t="s">
        <v>49</v>
      </c>
      <c r="C52" s="89"/>
      <c r="D52" s="89"/>
      <c r="E52" s="89"/>
      <c r="F52" s="12">
        <v>279696.94999999995</v>
      </c>
      <c r="G52" s="12">
        <v>208711.52000000002</v>
      </c>
      <c r="H52" s="12">
        <v>52664.800000000003</v>
      </c>
      <c r="I52" s="12">
        <v>279278.28000000003</v>
      </c>
      <c r="J52" s="12">
        <v>72460.599999999991</v>
      </c>
      <c r="K52" s="237">
        <v>93899.31</v>
      </c>
      <c r="L52" s="237">
        <v>59989</v>
      </c>
      <c r="M52" s="237">
        <v>58365</v>
      </c>
      <c r="N52" s="367">
        <v>295356</v>
      </c>
      <c r="O52" s="237">
        <v>115831.79000000001</v>
      </c>
      <c r="P52" s="237">
        <v>41554</v>
      </c>
      <c r="Q52" s="237">
        <v>41798.14</v>
      </c>
      <c r="R52" s="237">
        <v>140939.91999999998</v>
      </c>
      <c r="S52" s="237"/>
      <c r="T52" s="89"/>
      <c r="U52" s="89"/>
      <c r="V52" s="103"/>
    </row>
    <row r="53" spans="2:23" x14ac:dyDescent="0.25">
      <c r="B53" t="s">
        <v>50</v>
      </c>
      <c r="C53" s="89"/>
      <c r="D53" s="89"/>
      <c r="E53" s="89"/>
      <c r="F53" s="12">
        <v>80309.660000000018</v>
      </c>
      <c r="G53" s="12">
        <v>79802.92</v>
      </c>
      <c r="H53" s="12">
        <v>35461.590000000004</v>
      </c>
      <c r="I53" s="12">
        <v>63276.36</v>
      </c>
      <c r="J53" s="12">
        <v>59875.08</v>
      </c>
      <c r="K53" s="237">
        <v>67648.89</v>
      </c>
      <c r="L53" s="237">
        <v>219989</v>
      </c>
      <c r="M53" s="237">
        <v>60271</v>
      </c>
      <c r="N53" s="367">
        <v>188541</v>
      </c>
      <c r="O53" s="237">
        <v>177201.39999999997</v>
      </c>
      <c r="P53" s="237">
        <v>196356</v>
      </c>
      <c r="Q53" s="237">
        <v>203869.22999999995</v>
      </c>
      <c r="R53" s="237">
        <v>76707.19</v>
      </c>
      <c r="S53" s="237"/>
      <c r="T53" s="89"/>
      <c r="U53" s="89"/>
      <c r="V53" s="103"/>
    </row>
    <row r="54" spans="2:23" x14ac:dyDescent="0.25">
      <c r="B54" t="s">
        <v>51</v>
      </c>
      <c r="C54" s="89"/>
      <c r="D54" s="89"/>
      <c r="E54" s="89"/>
      <c r="F54" s="12">
        <v>172370.87</v>
      </c>
      <c r="G54" s="12">
        <v>157893.04</v>
      </c>
      <c r="H54" s="12">
        <v>163985.71</v>
      </c>
      <c r="I54" s="12">
        <v>108094.75999999998</v>
      </c>
      <c r="J54" s="12">
        <v>186862.05</v>
      </c>
      <c r="K54" s="237">
        <v>88495.93</v>
      </c>
      <c r="L54" s="237">
        <v>9798</v>
      </c>
      <c r="M54" s="237">
        <v>0</v>
      </c>
      <c r="N54" s="367">
        <v>0</v>
      </c>
      <c r="O54" s="237">
        <v>0</v>
      </c>
      <c r="P54" s="237">
        <v>0</v>
      </c>
      <c r="Q54" s="237">
        <v>0</v>
      </c>
      <c r="R54" s="237">
        <v>0</v>
      </c>
      <c r="S54" s="237"/>
      <c r="T54" s="89"/>
      <c r="U54" s="89"/>
      <c r="V54" s="103"/>
    </row>
    <row r="55" spans="2:23" x14ac:dyDescent="0.25">
      <c r="B55" t="s">
        <v>52</v>
      </c>
      <c r="C55" s="89"/>
      <c r="D55" s="89"/>
      <c r="E55" s="89"/>
      <c r="F55" s="12">
        <v>86086.11</v>
      </c>
      <c r="G55" s="12">
        <v>85359.200000000012</v>
      </c>
      <c r="H55" s="12">
        <v>64344.200000000004</v>
      </c>
      <c r="I55" s="12">
        <v>171422.25</v>
      </c>
      <c r="J55" s="12">
        <v>207928.81</v>
      </c>
      <c r="K55" s="237">
        <v>55340.73</v>
      </c>
      <c r="L55" s="237">
        <v>33827</v>
      </c>
      <c r="M55" s="237">
        <v>92607</v>
      </c>
      <c r="N55" s="367">
        <v>127504</v>
      </c>
      <c r="O55" s="237">
        <v>46966.310000000005</v>
      </c>
      <c r="P55" s="237">
        <v>16655</v>
      </c>
      <c r="Q55" s="237">
        <v>29520.739999999998</v>
      </c>
      <c r="R55" s="237">
        <v>54784.270000000004</v>
      </c>
      <c r="S55" s="237"/>
      <c r="T55" s="89"/>
      <c r="U55" s="89"/>
      <c r="V55" s="103"/>
    </row>
    <row r="56" spans="2:23" x14ac:dyDescent="0.25">
      <c r="B56" t="s">
        <v>53</v>
      </c>
      <c r="C56" s="89"/>
      <c r="D56" s="89"/>
      <c r="E56" s="89"/>
      <c r="F56" s="12">
        <v>263024.39</v>
      </c>
      <c r="G56" s="12">
        <v>26073.26</v>
      </c>
      <c r="H56" s="12">
        <v>46212.490000000005</v>
      </c>
      <c r="I56" s="12">
        <v>10483.599999999999</v>
      </c>
      <c r="J56" s="12">
        <v>35851.439999999995</v>
      </c>
      <c r="K56" s="237">
        <v>18418.580000000005</v>
      </c>
      <c r="L56" s="237">
        <v>31939</v>
      </c>
      <c r="M56" s="237">
        <v>41035</v>
      </c>
      <c r="N56" s="367">
        <v>47738</v>
      </c>
      <c r="O56" s="237">
        <v>54433.259999999995</v>
      </c>
      <c r="P56" s="237">
        <v>42481</v>
      </c>
      <c r="Q56" s="237">
        <v>44644.26</v>
      </c>
      <c r="R56" s="237">
        <v>60598.71</v>
      </c>
      <c r="S56" s="237"/>
      <c r="T56" s="89"/>
      <c r="U56" s="89"/>
      <c r="V56" s="103"/>
    </row>
    <row r="57" spans="2:23" x14ac:dyDescent="0.25">
      <c r="B57" t="s">
        <v>54</v>
      </c>
      <c r="C57" s="89"/>
      <c r="D57" s="89"/>
      <c r="E57" s="89"/>
      <c r="F57" s="12">
        <v>156201.35999999999</v>
      </c>
      <c r="G57" s="12">
        <v>268942.21999999997</v>
      </c>
      <c r="H57" s="12">
        <v>312764.7</v>
      </c>
      <c r="I57" s="12">
        <v>114917.67999999998</v>
      </c>
      <c r="J57" s="12">
        <v>282134.55</v>
      </c>
      <c r="K57" s="237">
        <v>233155.17</v>
      </c>
      <c r="L57" s="237">
        <v>166187</v>
      </c>
      <c r="M57" s="237">
        <v>103051</v>
      </c>
      <c r="N57" s="367">
        <v>334250</v>
      </c>
      <c r="O57" s="237">
        <v>147902.31</v>
      </c>
      <c r="P57" s="237">
        <v>423018</v>
      </c>
      <c r="Q57" s="237">
        <v>116352.93000000001</v>
      </c>
      <c r="R57" s="237">
        <v>81049.070000000007</v>
      </c>
      <c r="S57" s="237"/>
      <c r="T57" s="89"/>
      <c r="U57" s="89"/>
      <c r="V57" s="103"/>
    </row>
    <row r="58" spans="2:23" x14ac:dyDescent="0.25">
      <c r="N58" s="368"/>
      <c r="O58" s="237"/>
      <c r="P58" s="237"/>
      <c r="Q58" s="237"/>
      <c r="R58" s="237"/>
      <c r="S58" s="237"/>
    </row>
    <row r="59" spans="2:23" x14ac:dyDescent="0.25">
      <c r="B59" t="s">
        <v>158</v>
      </c>
      <c r="N59" s="368"/>
      <c r="O59" s="237">
        <v>183247</v>
      </c>
      <c r="P59" s="237">
        <v>172483</v>
      </c>
      <c r="Q59" s="237">
        <v>192107.24</v>
      </c>
      <c r="R59" s="237">
        <v>184711.7</v>
      </c>
      <c r="S59" s="237"/>
    </row>
    <row r="60" spans="2:23" x14ac:dyDescent="0.25">
      <c r="B60" s="112"/>
      <c r="C60" s="10" t="s">
        <v>181</v>
      </c>
      <c r="D60" s="10" t="s">
        <v>182</v>
      </c>
      <c r="E60" s="10" t="s">
        <v>213</v>
      </c>
      <c r="F60" s="10" t="s">
        <v>202</v>
      </c>
      <c r="G60" s="10" t="s">
        <v>184</v>
      </c>
      <c r="H60" s="10" t="s">
        <v>214</v>
      </c>
      <c r="I60" s="10" t="s">
        <v>215</v>
      </c>
      <c r="J60" s="10" t="s">
        <v>188</v>
      </c>
      <c r="K60" s="10" t="s">
        <v>205</v>
      </c>
      <c r="L60" s="10" t="s">
        <v>190</v>
      </c>
      <c r="M60" s="10" t="s">
        <v>191</v>
      </c>
      <c r="N60" s="10" t="s">
        <v>192</v>
      </c>
      <c r="O60" s="369" t="s">
        <v>193</v>
      </c>
      <c r="P60" s="365" t="s">
        <v>194</v>
      </c>
      <c r="Q60" s="365" t="s">
        <v>195</v>
      </c>
      <c r="R60" s="365" t="s">
        <v>236</v>
      </c>
      <c r="S60" s="365"/>
    </row>
    <row r="61" spans="2:23" x14ac:dyDescent="0.25">
      <c r="B61" t="s">
        <v>220</v>
      </c>
      <c r="C61" s="91">
        <v>518233.83</v>
      </c>
      <c r="D61" s="91">
        <v>628500.28</v>
      </c>
      <c r="E61" s="91">
        <v>535661.99</v>
      </c>
      <c r="F61" s="91">
        <v>462140.48</v>
      </c>
      <c r="G61" s="91">
        <v>502766.21</v>
      </c>
      <c r="H61" s="91">
        <v>480196.49</v>
      </c>
      <c r="I61" s="91">
        <v>512135.49</v>
      </c>
      <c r="J61" s="91">
        <v>517805.48</v>
      </c>
      <c r="K61" s="91">
        <v>461178.23999999993</v>
      </c>
      <c r="L61" s="91">
        <v>490013.53</v>
      </c>
      <c r="M61" s="91">
        <v>434549.7</v>
      </c>
      <c r="N61" s="91">
        <v>462347</v>
      </c>
      <c r="O61" s="91">
        <v>479083</v>
      </c>
      <c r="P61" s="91">
        <v>440623.77000000008</v>
      </c>
      <c r="Q61" s="91">
        <v>460870</v>
      </c>
      <c r="R61" s="91">
        <v>520165.83000000007</v>
      </c>
      <c r="S61" s="91"/>
      <c r="T61" s="89"/>
      <c r="U61" s="89"/>
      <c r="V61" s="89"/>
      <c r="W61" s="89"/>
    </row>
    <row r="62" spans="2:23" x14ac:dyDescent="0.25">
      <c r="B62" t="s">
        <v>141</v>
      </c>
      <c r="C62" s="91">
        <v>42396.85</v>
      </c>
      <c r="D62" s="91">
        <v>23620.959999999999</v>
      </c>
      <c r="E62" s="91">
        <v>21065.19</v>
      </c>
      <c r="F62" s="91">
        <v>11544.220000000001</v>
      </c>
      <c r="G62" s="91">
        <v>12644.95</v>
      </c>
      <c r="H62" s="91">
        <v>23029.47</v>
      </c>
      <c r="I62" s="91">
        <v>42867.9</v>
      </c>
      <c r="J62" s="91">
        <v>48296</v>
      </c>
      <c r="K62" s="91">
        <v>24022.03</v>
      </c>
      <c r="L62" s="91">
        <v>16933.400000000001</v>
      </c>
      <c r="M62" s="91">
        <v>16159</v>
      </c>
      <c r="N62" s="91">
        <v>42889.419999999991</v>
      </c>
      <c r="O62" s="91">
        <v>21178</v>
      </c>
      <c r="P62" s="91">
        <v>13798.75</v>
      </c>
      <c r="Q62" s="91">
        <v>9574.44</v>
      </c>
      <c r="R62" s="91">
        <v>24183.81</v>
      </c>
      <c r="S62" s="91"/>
      <c r="T62" s="89"/>
      <c r="U62" s="89"/>
      <c r="V62" s="89"/>
      <c r="W62" s="89"/>
    </row>
    <row r="63" spans="2:23" x14ac:dyDescent="0.25">
      <c r="B63" t="s">
        <v>142</v>
      </c>
      <c r="C63" s="91">
        <v>1042891.7</v>
      </c>
      <c r="D63" s="91">
        <v>954042.8899999999</v>
      </c>
      <c r="E63" s="91">
        <v>1073099.78</v>
      </c>
      <c r="F63" s="91">
        <v>1126112.8999999999</v>
      </c>
      <c r="G63" s="91">
        <v>1016955.01</v>
      </c>
      <c r="H63" s="91">
        <v>944227.64</v>
      </c>
      <c r="I63" s="91">
        <v>852760.11999999988</v>
      </c>
      <c r="J63" s="91">
        <v>1128939.4900000002</v>
      </c>
      <c r="K63" s="91">
        <v>966647.16999999993</v>
      </c>
      <c r="L63" s="91">
        <v>965700.8899999999</v>
      </c>
      <c r="M63" s="91">
        <v>941352</v>
      </c>
      <c r="N63" s="91">
        <v>880198.31</v>
      </c>
      <c r="O63" s="91">
        <v>812182</v>
      </c>
      <c r="P63" s="91">
        <v>626414.13</v>
      </c>
      <c r="Q63" s="91">
        <v>589412.17000000004</v>
      </c>
      <c r="R63" s="91">
        <v>665442.61</v>
      </c>
      <c r="S63" s="91"/>
      <c r="T63" s="89"/>
      <c r="U63" s="89"/>
      <c r="V63" s="89"/>
      <c r="W63" s="89"/>
    </row>
    <row r="64" spans="2:23" x14ac:dyDescent="0.25">
      <c r="B64" t="s">
        <v>217</v>
      </c>
      <c r="C64" s="91">
        <v>28054.04</v>
      </c>
      <c r="D64" s="91">
        <v>44498.94</v>
      </c>
      <c r="E64" s="91">
        <v>55667.4</v>
      </c>
      <c r="F64" s="91">
        <v>27347.100000000002</v>
      </c>
      <c r="G64" s="91">
        <v>28652.639999999999</v>
      </c>
      <c r="H64" s="91">
        <v>43894.65</v>
      </c>
      <c r="I64" s="91">
        <v>23969.78</v>
      </c>
      <c r="J64" s="91">
        <v>45310.2</v>
      </c>
      <c r="K64" s="91">
        <v>72666.8</v>
      </c>
      <c r="L64" s="91">
        <v>-1462.0100000000011</v>
      </c>
      <c r="M64" s="91">
        <v>2652</v>
      </c>
      <c r="N64" s="91">
        <v>5477</v>
      </c>
      <c r="O64" s="91">
        <v>9376.67</v>
      </c>
      <c r="P64" s="91">
        <v>9411</v>
      </c>
      <c r="Q64" s="91">
        <v>598.54999999999995</v>
      </c>
      <c r="R64" s="91">
        <v>5540.73</v>
      </c>
      <c r="S64" s="91"/>
      <c r="T64" s="89"/>
      <c r="U64" s="89"/>
      <c r="V64" s="89"/>
      <c r="W64" s="89"/>
    </row>
    <row r="65" spans="2:23" x14ac:dyDescent="0.25">
      <c r="B65" t="s">
        <v>144</v>
      </c>
      <c r="C65" s="91">
        <v>2412193.4700000002</v>
      </c>
      <c r="D65" s="91">
        <v>2323937.5499999998</v>
      </c>
      <c r="E65" s="91">
        <v>2673354.67</v>
      </c>
      <c r="F65" s="91">
        <v>3063927.62</v>
      </c>
      <c r="G65" s="91">
        <v>2349640.62</v>
      </c>
      <c r="H65" s="91">
        <v>2422853.1800000006</v>
      </c>
      <c r="I65" s="91">
        <v>2509316.15</v>
      </c>
      <c r="J65" s="91">
        <v>2466306.87</v>
      </c>
      <c r="K65" s="91">
        <v>2419034.1799999997</v>
      </c>
      <c r="L65" s="91">
        <v>2546301.4000000004</v>
      </c>
      <c r="M65" s="91">
        <v>1921955</v>
      </c>
      <c r="N65" s="91">
        <v>2548675</v>
      </c>
      <c r="O65" s="91">
        <v>2389173.1</v>
      </c>
      <c r="P65" s="91">
        <v>2173912</v>
      </c>
      <c r="Q65" s="91">
        <v>2540780.67</v>
      </c>
      <c r="R65" s="91">
        <v>2221814.1499999994</v>
      </c>
      <c r="S65" s="91"/>
      <c r="T65" s="89"/>
      <c r="U65" s="89"/>
      <c r="V65" s="89"/>
      <c r="W65" s="89"/>
    </row>
    <row r="66" spans="2:23" x14ac:dyDescent="0.25">
      <c r="B66" t="s">
        <v>145</v>
      </c>
      <c r="C66" s="91">
        <v>0</v>
      </c>
      <c r="D66" s="91">
        <v>0</v>
      </c>
      <c r="E66" s="91">
        <v>0</v>
      </c>
      <c r="F66" s="91">
        <v>673896.79</v>
      </c>
      <c r="G66" s="91">
        <v>884534.58</v>
      </c>
      <c r="H66" s="91">
        <v>725309.34</v>
      </c>
      <c r="I66" s="91">
        <v>874903.89999999991</v>
      </c>
      <c r="J66" s="91">
        <v>705903.60000000009</v>
      </c>
      <c r="K66" s="91">
        <v>524689.39999999991</v>
      </c>
      <c r="L66" s="91">
        <v>676714</v>
      </c>
      <c r="M66" s="91">
        <v>755396</v>
      </c>
      <c r="N66" s="91">
        <v>788188</v>
      </c>
      <c r="O66" s="91">
        <v>588813.75</v>
      </c>
      <c r="P66" s="91">
        <v>557966</v>
      </c>
      <c r="Q66" s="91">
        <v>603390.71999999997</v>
      </c>
      <c r="R66" s="91">
        <v>675220.45000000007</v>
      </c>
      <c r="S66" s="91"/>
      <c r="T66" s="89"/>
      <c r="U66" s="89"/>
      <c r="V66" s="89"/>
      <c r="W66" s="89"/>
    </row>
    <row r="67" spans="2:23" x14ac:dyDescent="0.25">
      <c r="B67" t="s">
        <v>121</v>
      </c>
      <c r="C67" s="91">
        <v>0</v>
      </c>
      <c r="D67" s="91">
        <v>0</v>
      </c>
      <c r="E67" s="91">
        <v>0</v>
      </c>
      <c r="F67" s="91">
        <v>905456.23999999987</v>
      </c>
      <c r="G67" s="91">
        <v>1049415.2200000002</v>
      </c>
      <c r="H67" s="91">
        <v>799303.27999999991</v>
      </c>
      <c r="I67" s="91">
        <v>711124.03000000014</v>
      </c>
      <c r="J67" s="91">
        <v>893782.51000000013</v>
      </c>
      <c r="K67" s="91">
        <v>703118.87</v>
      </c>
      <c r="L67" s="91">
        <v>809930</v>
      </c>
      <c r="M67" s="91">
        <v>890503</v>
      </c>
      <c r="N67" s="91">
        <v>1257955</v>
      </c>
      <c r="O67" s="91">
        <v>769801.97</v>
      </c>
      <c r="P67" s="91">
        <v>829075</v>
      </c>
      <c r="Q67" s="91">
        <v>574531.10000000009</v>
      </c>
      <c r="R67" s="91">
        <v>741833.74</v>
      </c>
      <c r="S67" s="91"/>
      <c r="T67" s="89"/>
      <c r="U67" s="89"/>
      <c r="V67" s="89"/>
      <c r="W67" s="89"/>
    </row>
    <row r="68" spans="2:23" x14ac:dyDescent="0.25">
      <c r="B68" t="s">
        <v>218</v>
      </c>
      <c r="C68" s="91">
        <v>0</v>
      </c>
      <c r="D68" s="91">
        <v>0</v>
      </c>
      <c r="E68" s="91">
        <v>0</v>
      </c>
      <c r="F68" s="91">
        <v>1037689.34</v>
      </c>
      <c r="G68" s="91">
        <v>826782.15999999992</v>
      </c>
      <c r="H68" s="91">
        <v>675433.49</v>
      </c>
      <c r="I68" s="91">
        <v>747472.92999999993</v>
      </c>
      <c r="J68" s="91">
        <v>845112.53</v>
      </c>
      <c r="K68" s="91">
        <v>556958.61</v>
      </c>
      <c r="L68" s="91">
        <v>521729</v>
      </c>
      <c r="M68" s="91">
        <v>355329</v>
      </c>
      <c r="N68" s="91">
        <v>993389</v>
      </c>
      <c r="O68" s="91">
        <v>542335.06999999995</v>
      </c>
      <c r="P68" s="91">
        <v>720064</v>
      </c>
      <c r="Q68" s="91">
        <v>436185.29999999993</v>
      </c>
      <c r="R68" s="91">
        <v>414079.16000000003</v>
      </c>
      <c r="S68" s="91"/>
      <c r="T68" s="89"/>
      <c r="U68" s="89"/>
      <c r="V68" s="89"/>
      <c r="W68" s="89"/>
    </row>
    <row r="69" spans="2:23" x14ac:dyDescent="0.25">
      <c r="K69" s="89"/>
    </row>
    <row r="72" spans="2:23" x14ac:dyDescent="0.25">
      <c r="B72" t="s">
        <v>240</v>
      </c>
      <c r="C72" t="s">
        <v>230</v>
      </c>
      <c r="D72" t="s">
        <v>222</v>
      </c>
      <c r="E72" t="s">
        <v>223</v>
      </c>
      <c r="F72" t="s">
        <v>224</v>
      </c>
      <c r="G72" t="s">
        <v>239</v>
      </c>
      <c r="H72" t="s">
        <v>238</v>
      </c>
    </row>
    <row r="73" spans="2:23" x14ac:dyDescent="0.25">
      <c r="B73" t="s">
        <v>220</v>
      </c>
      <c r="C73" s="89">
        <v>1682396.1</v>
      </c>
      <c r="D73" s="89">
        <v>1445103.18</v>
      </c>
      <c r="E73" s="89">
        <v>1491119.21</v>
      </c>
      <c r="F73" s="89">
        <v>1386910.23</v>
      </c>
      <c r="G73" s="89">
        <v>1380576.77</v>
      </c>
    </row>
    <row r="74" spans="2:23" x14ac:dyDescent="0.25">
      <c r="B74" t="s">
        <v>141</v>
      </c>
      <c r="C74" s="89">
        <v>87083</v>
      </c>
      <c r="D74" s="89">
        <v>47218.64</v>
      </c>
      <c r="E74" s="89">
        <v>115185.93</v>
      </c>
      <c r="F74" s="89">
        <v>75981.819999999992</v>
      </c>
      <c r="G74" s="89">
        <v>44551.19</v>
      </c>
    </row>
    <row r="75" spans="2:23" x14ac:dyDescent="0.25">
      <c r="B75" t="s">
        <v>142</v>
      </c>
      <c r="C75" s="89">
        <v>3070034.37</v>
      </c>
      <c r="D75" s="89">
        <v>3087295.5500000003</v>
      </c>
      <c r="E75" s="89">
        <v>2948346.7800000003</v>
      </c>
      <c r="F75" s="89">
        <v>2787251.2</v>
      </c>
      <c r="G75" s="89">
        <v>2028008.2999999998</v>
      </c>
    </row>
    <row r="76" spans="2:23" x14ac:dyDescent="0.25">
      <c r="B76" t="s">
        <v>217</v>
      </c>
      <c r="C76" s="89">
        <v>128220.38</v>
      </c>
      <c r="D76" s="89">
        <v>99894.390000000014</v>
      </c>
      <c r="E76" s="89">
        <v>141946.78</v>
      </c>
      <c r="F76" s="89">
        <v>6666.9899999999989</v>
      </c>
      <c r="G76" s="89">
        <v>19386.219999999998</v>
      </c>
    </row>
    <row r="77" spans="2:23" x14ac:dyDescent="0.25">
      <c r="B77" t="s">
        <v>144</v>
      </c>
      <c r="C77" s="89">
        <v>7409485.6899999995</v>
      </c>
      <c r="D77" s="89">
        <v>7836421.4200000009</v>
      </c>
      <c r="E77" s="89">
        <v>7394657.1999999993</v>
      </c>
      <c r="F77" s="89">
        <v>7016931.4000000004</v>
      </c>
      <c r="G77" s="89">
        <v>7103865.7699999996</v>
      </c>
    </row>
    <row r="78" spans="2:23" x14ac:dyDescent="0.25">
      <c r="B78" t="s">
        <v>145</v>
      </c>
      <c r="C78" s="89">
        <v>0</v>
      </c>
      <c r="D78" s="89">
        <v>2283740.71</v>
      </c>
      <c r="E78" s="89">
        <v>2105496.9</v>
      </c>
      <c r="F78" s="89">
        <v>2220298</v>
      </c>
      <c r="G78" s="89">
        <v>1750170.47</v>
      </c>
    </row>
    <row r="79" spans="2:23" x14ac:dyDescent="0.25">
      <c r="B79" t="s">
        <v>121</v>
      </c>
      <c r="C79" s="89">
        <v>0</v>
      </c>
      <c r="D79" s="89">
        <v>2754174.7399999998</v>
      </c>
      <c r="E79" s="89">
        <v>2308025.41</v>
      </c>
      <c r="F79" s="89">
        <v>2958388</v>
      </c>
      <c r="G79" s="89">
        <v>2173408.0700000003</v>
      </c>
    </row>
    <row r="80" spans="2:23" x14ac:dyDescent="0.25">
      <c r="B80" t="s">
        <v>218</v>
      </c>
      <c r="C80" s="89">
        <v>0</v>
      </c>
      <c r="D80" s="89">
        <v>2539904.9900000002</v>
      </c>
      <c r="E80" s="89">
        <v>2149544.0699999998</v>
      </c>
      <c r="F80" s="89">
        <v>1870447</v>
      </c>
      <c r="G80" s="89">
        <v>1698584.3699999996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0082-D31E-4570-9EFA-C58FDCF981D6}">
  <dimension ref="A1:T78"/>
  <sheetViews>
    <sheetView topLeftCell="A25" zoomScale="85" zoomScaleNormal="85" workbookViewId="0">
      <selection activeCell="S4" sqref="S4"/>
    </sheetView>
  </sheetViews>
  <sheetFormatPr defaultRowHeight="15" x14ac:dyDescent="0.25"/>
  <cols>
    <col min="11" max="11" width="11.42578125" customWidth="1"/>
    <col min="17" max="17" width="9" bestFit="1" customWidth="1"/>
  </cols>
  <sheetData>
    <row r="1" spans="2:19" x14ac:dyDescent="0.25">
      <c r="L1">
        <v>4</v>
      </c>
    </row>
    <row r="2" spans="2:19" x14ac:dyDescent="0.25">
      <c r="B2" s="10" t="s">
        <v>225</v>
      </c>
      <c r="C2" s="10" t="s">
        <v>181</v>
      </c>
      <c r="D2" s="10" t="s">
        <v>182</v>
      </c>
      <c r="E2" s="10" t="s">
        <v>213</v>
      </c>
      <c r="F2" s="10" t="s">
        <v>202</v>
      </c>
      <c r="G2" s="10" t="s">
        <v>184</v>
      </c>
      <c r="H2" s="10" t="s">
        <v>214</v>
      </c>
      <c r="I2" s="10" t="s">
        <v>215</v>
      </c>
      <c r="J2" s="10" t="s">
        <v>188</v>
      </c>
      <c r="K2" s="10" t="s">
        <v>205</v>
      </c>
      <c r="L2" s="10" t="s">
        <v>190</v>
      </c>
      <c r="M2" s="10" t="s">
        <v>191</v>
      </c>
      <c r="N2" s="9" t="s">
        <v>192</v>
      </c>
      <c r="O2" s="365" t="s">
        <v>193</v>
      </c>
      <c r="P2" s="365" t="s">
        <v>194</v>
      </c>
      <c r="Q2" s="365" t="s">
        <v>195</v>
      </c>
      <c r="R2" s="365" t="s">
        <v>236</v>
      </c>
      <c r="S2" s="365"/>
    </row>
    <row r="3" spans="2:19" x14ac:dyDescent="0.25">
      <c r="B3" s="11" t="s">
        <v>2</v>
      </c>
      <c r="C3" s="236">
        <v>1022.66</v>
      </c>
      <c r="D3" s="236">
        <v>944.63</v>
      </c>
      <c r="E3" s="236">
        <v>559.25</v>
      </c>
      <c r="F3" s="237">
        <v>659.90000000000009</v>
      </c>
      <c r="G3" s="237">
        <v>542.9</v>
      </c>
      <c r="H3" s="237">
        <v>820.26</v>
      </c>
      <c r="I3" s="237">
        <v>968.13</v>
      </c>
      <c r="J3" s="237">
        <v>402.73</v>
      </c>
      <c r="K3" s="237">
        <v>693.25</v>
      </c>
      <c r="L3" s="237">
        <v>742.6</v>
      </c>
      <c r="M3" s="237">
        <v>404</v>
      </c>
      <c r="N3" s="237">
        <v>1135</v>
      </c>
      <c r="O3" s="237">
        <v>646</v>
      </c>
      <c r="P3" s="237">
        <v>432.61</v>
      </c>
      <c r="Q3" s="237">
        <v>721</v>
      </c>
      <c r="R3" s="237">
        <v>316.05</v>
      </c>
      <c r="S3" s="237"/>
    </row>
    <row r="4" spans="2:19" x14ac:dyDescent="0.25">
      <c r="B4" s="11" t="s">
        <v>3</v>
      </c>
      <c r="C4" s="236">
        <v>105923.96</v>
      </c>
      <c r="D4" s="236">
        <v>87993.5</v>
      </c>
      <c r="E4" s="236">
        <v>44823.4</v>
      </c>
      <c r="F4" s="237">
        <v>50413.65</v>
      </c>
      <c r="G4" s="237">
        <v>44271.99</v>
      </c>
      <c r="H4" s="237">
        <v>54273.99</v>
      </c>
      <c r="I4" s="237">
        <v>54809.75</v>
      </c>
      <c r="J4" s="237">
        <v>48601.320000000007</v>
      </c>
      <c r="K4" s="237">
        <v>43938.29</v>
      </c>
      <c r="L4" s="237">
        <v>50026.29</v>
      </c>
      <c r="M4" s="237">
        <v>46252</v>
      </c>
      <c r="N4" s="237">
        <v>50028</v>
      </c>
      <c r="O4" s="237">
        <v>42092</v>
      </c>
      <c r="P4" s="237">
        <v>50996.85</v>
      </c>
      <c r="Q4" s="237">
        <v>57863</v>
      </c>
      <c r="R4" s="237">
        <v>12773.77</v>
      </c>
      <c r="S4" s="237"/>
    </row>
    <row r="5" spans="2:19" x14ac:dyDescent="0.25">
      <c r="B5" s="11" t="s">
        <v>4</v>
      </c>
      <c r="C5" s="236">
        <v>87765.08</v>
      </c>
      <c r="D5" s="236">
        <v>54951.32</v>
      </c>
      <c r="E5" s="236">
        <v>56501.67</v>
      </c>
      <c r="F5" s="237">
        <v>60313.68</v>
      </c>
      <c r="G5" s="237">
        <v>54321.009999999995</v>
      </c>
      <c r="H5" s="237">
        <v>68047.600000000006</v>
      </c>
      <c r="I5" s="237">
        <v>51309.2</v>
      </c>
      <c r="J5" s="237">
        <v>57836.77</v>
      </c>
      <c r="K5" s="237">
        <v>49688.800000000003</v>
      </c>
      <c r="L5" s="237">
        <v>73254.289999999994</v>
      </c>
      <c r="M5" s="237">
        <v>53077</v>
      </c>
      <c r="N5" s="237">
        <v>90741</v>
      </c>
      <c r="O5" s="237">
        <v>63395</v>
      </c>
      <c r="P5" s="237">
        <v>76184.53</v>
      </c>
      <c r="Q5" s="237">
        <v>38297</v>
      </c>
      <c r="R5" s="237">
        <v>-1435.96</v>
      </c>
      <c r="S5" s="237"/>
    </row>
    <row r="6" spans="2:19" x14ac:dyDescent="0.25">
      <c r="B6" s="11" t="s">
        <v>5</v>
      </c>
      <c r="C6" s="236">
        <v>992.65</v>
      </c>
      <c r="D6" s="236">
        <v>979.3</v>
      </c>
      <c r="E6" s="236">
        <v>1460.75</v>
      </c>
      <c r="F6" s="237">
        <v>1483.49</v>
      </c>
      <c r="G6" s="237">
        <v>1244.08</v>
      </c>
      <c r="H6" s="237">
        <v>2094.15</v>
      </c>
      <c r="I6" s="237">
        <v>1761.5</v>
      </c>
      <c r="J6" s="237">
        <v>2092.6799999999998</v>
      </c>
      <c r="K6" s="237">
        <v>2009.62</v>
      </c>
      <c r="L6" s="237">
        <v>1080.47</v>
      </c>
      <c r="M6" s="237">
        <v>1143</v>
      </c>
      <c r="N6" s="237">
        <v>983</v>
      </c>
      <c r="O6" s="237">
        <v>2340</v>
      </c>
      <c r="P6" s="237">
        <v>793</v>
      </c>
      <c r="Q6" s="237">
        <v>900</v>
      </c>
      <c r="R6" s="237">
        <v>1074.4100000000001</v>
      </c>
      <c r="S6" s="237"/>
    </row>
    <row r="7" spans="2:19" x14ac:dyDescent="0.25">
      <c r="B7" s="11" t="s">
        <v>6</v>
      </c>
      <c r="C7" s="236">
        <v>9657.68</v>
      </c>
      <c r="D7" s="236">
        <v>9846.869999999999</v>
      </c>
      <c r="E7" s="236">
        <v>9351.69</v>
      </c>
      <c r="F7" s="237">
        <v>7891.96</v>
      </c>
      <c r="G7" s="237">
        <v>9075.27</v>
      </c>
      <c r="H7" s="237">
        <v>8756.1400000000012</v>
      </c>
      <c r="I7" s="237">
        <v>7881.41</v>
      </c>
      <c r="J7" s="237">
        <v>7894.32</v>
      </c>
      <c r="K7" s="237">
        <v>6515.59</v>
      </c>
      <c r="L7" s="237">
        <v>6971.92</v>
      </c>
      <c r="M7" s="237">
        <v>9803</v>
      </c>
      <c r="N7" s="237">
        <v>12126</v>
      </c>
      <c r="O7" s="237">
        <v>6225</v>
      </c>
      <c r="P7" s="237">
        <v>7189.6100000000006</v>
      </c>
      <c r="Q7" s="237">
        <v>9995</v>
      </c>
      <c r="R7" s="237">
        <v>8462.44</v>
      </c>
      <c r="S7" s="237"/>
    </row>
    <row r="8" spans="2:19" x14ac:dyDescent="0.25">
      <c r="B8" s="11" t="s">
        <v>241</v>
      </c>
      <c r="C8" s="236"/>
      <c r="D8" s="236"/>
      <c r="E8" s="236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>
        <v>19585.05</v>
      </c>
      <c r="S8" s="237"/>
    </row>
    <row r="9" spans="2:19" x14ac:dyDescent="0.25">
      <c r="B9" s="11" t="s">
        <v>242</v>
      </c>
      <c r="C9" s="236"/>
      <c r="D9" s="236"/>
      <c r="E9" s="236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>
        <v>9475.15</v>
      </c>
      <c r="S9" s="237"/>
    </row>
    <row r="10" spans="2:19" x14ac:dyDescent="0.25">
      <c r="B10" s="238" t="s">
        <v>7</v>
      </c>
      <c r="C10" s="239">
        <v>8176.77</v>
      </c>
      <c r="D10" s="239">
        <v>48345.270000000004</v>
      </c>
      <c r="E10" s="239">
        <v>21922.66</v>
      </c>
      <c r="F10" s="240">
        <v>12485.28</v>
      </c>
      <c r="G10" s="240">
        <v>15975.92</v>
      </c>
      <c r="H10" s="240">
        <v>15944.48</v>
      </c>
      <c r="I10" s="240">
        <v>18231.940000000002</v>
      </c>
      <c r="J10" s="240">
        <v>25472.799999999999</v>
      </c>
      <c r="K10" s="345">
        <v>15874.3</v>
      </c>
      <c r="L10" s="345">
        <v>12166.77</v>
      </c>
      <c r="M10" s="240">
        <v>19081</v>
      </c>
      <c r="N10" s="240">
        <v>12806</v>
      </c>
      <c r="O10" s="345">
        <v>17305</v>
      </c>
      <c r="P10" s="345">
        <v>7871.47</v>
      </c>
      <c r="Q10" s="345">
        <v>33077</v>
      </c>
      <c r="R10" s="345">
        <v>19419.739999999998</v>
      </c>
      <c r="S10" s="345"/>
    </row>
    <row r="11" spans="2:19" x14ac:dyDescent="0.25">
      <c r="B11" s="11" t="s">
        <v>8</v>
      </c>
      <c r="C11" s="245">
        <v>23353.809999999998</v>
      </c>
      <c r="D11" s="245">
        <v>20366.27</v>
      </c>
      <c r="E11" s="245">
        <v>23247.24</v>
      </c>
      <c r="F11" s="237">
        <v>39206.129999999997</v>
      </c>
      <c r="G11" s="237">
        <v>29411.66</v>
      </c>
      <c r="H11" s="237">
        <v>20800.09</v>
      </c>
      <c r="I11" s="237">
        <v>34794.720000000001</v>
      </c>
      <c r="J11" s="237">
        <v>36737.96</v>
      </c>
      <c r="K11" s="237">
        <v>18255.400000000001</v>
      </c>
      <c r="L11" s="237">
        <v>24669.210000000003</v>
      </c>
      <c r="M11" s="237">
        <v>20012</v>
      </c>
      <c r="N11" s="237">
        <v>25484</v>
      </c>
      <c r="O11" s="237">
        <v>24071</v>
      </c>
      <c r="P11" s="237">
        <v>19345.370000000003</v>
      </c>
      <c r="Q11" s="237">
        <v>19717.560000000001</v>
      </c>
      <c r="R11" s="237">
        <v>20911.869999999995</v>
      </c>
      <c r="S11" s="237"/>
    </row>
    <row r="12" spans="2:19" x14ac:dyDescent="0.25">
      <c r="B12" s="11" t="s">
        <v>9</v>
      </c>
      <c r="C12" s="245">
        <v>35699.78</v>
      </c>
      <c r="D12" s="245">
        <v>27587.7</v>
      </c>
      <c r="E12" s="245">
        <v>32157.42</v>
      </c>
      <c r="F12" s="237">
        <v>42273.210000000006</v>
      </c>
      <c r="G12" s="237">
        <v>33865.980000000003</v>
      </c>
      <c r="H12" s="237">
        <v>27129.200000000001</v>
      </c>
      <c r="I12" s="237">
        <v>42961.54</v>
      </c>
      <c r="J12" s="237">
        <v>31010.39</v>
      </c>
      <c r="K12" s="237">
        <v>21421.82</v>
      </c>
      <c r="L12" s="237">
        <v>25202.94</v>
      </c>
      <c r="M12" s="237">
        <v>29253</v>
      </c>
      <c r="N12" s="237">
        <v>25273</v>
      </c>
      <c r="O12" s="237">
        <v>13317</v>
      </c>
      <c r="P12" s="237">
        <v>22334.52</v>
      </c>
      <c r="Q12" s="237">
        <v>23295.749999999993</v>
      </c>
      <c r="R12" s="237">
        <v>25183.289999999994</v>
      </c>
      <c r="S12" s="237"/>
    </row>
    <row r="13" spans="2:19" x14ac:dyDescent="0.25">
      <c r="B13" s="11" t="s">
        <v>10</v>
      </c>
      <c r="C13" s="245">
        <v>56626.450000000004</v>
      </c>
      <c r="D13" s="245">
        <v>102549.24</v>
      </c>
      <c r="E13" s="245">
        <v>50596.47</v>
      </c>
      <c r="F13" s="237">
        <v>64643.08</v>
      </c>
      <c r="G13" s="237">
        <v>53985.53</v>
      </c>
      <c r="H13" s="237">
        <v>37960.53</v>
      </c>
      <c r="I13" s="237">
        <v>82413.3</v>
      </c>
      <c r="J13" s="237">
        <v>53628.24</v>
      </c>
      <c r="K13" s="237">
        <v>74140.2</v>
      </c>
      <c r="L13" s="237">
        <v>49088.57</v>
      </c>
      <c r="M13" s="237">
        <v>64970</v>
      </c>
      <c r="N13" s="237">
        <v>72939</v>
      </c>
      <c r="O13" s="237">
        <v>64314</v>
      </c>
      <c r="P13" s="237">
        <v>66295.350000000006</v>
      </c>
      <c r="Q13" s="237">
        <v>54331.9</v>
      </c>
      <c r="R13" s="237">
        <v>69973.999999999985</v>
      </c>
      <c r="S13" s="237"/>
    </row>
    <row r="14" spans="2:19" x14ac:dyDescent="0.25">
      <c r="B14" s="11" t="s">
        <v>114</v>
      </c>
      <c r="C14" s="245">
        <v>3404.7</v>
      </c>
      <c r="D14" s="245">
        <v>4970.18</v>
      </c>
      <c r="E14" s="245">
        <v>3502.68</v>
      </c>
      <c r="F14" s="237">
        <v>782</v>
      </c>
      <c r="G14" s="237">
        <v>2763.87</v>
      </c>
      <c r="H14" s="237">
        <v>2493.4700000000003</v>
      </c>
      <c r="I14" s="237">
        <v>6090.45</v>
      </c>
      <c r="J14" s="237">
        <v>6037.64</v>
      </c>
      <c r="K14" s="237">
        <v>2374.9499999999998</v>
      </c>
      <c r="L14" s="237">
        <v>7285.24</v>
      </c>
      <c r="M14" s="237">
        <v>4090</v>
      </c>
      <c r="N14" s="237">
        <v>2923</v>
      </c>
      <c r="O14" s="237">
        <v>3919</v>
      </c>
      <c r="P14" s="237">
        <v>2816.73</v>
      </c>
      <c r="Q14" s="237">
        <v>2769.39</v>
      </c>
      <c r="R14" s="237">
        <v>3362.01</v>
      </c>
      <c r="S14" s="237"/>
    </row>
    <row r="15" spans="2:19" x14ac:dyDescent="0.25">
      <c r="B15" s="238" t="s">
        <v>12</v>
      </c>
      <c r="C15" s="246">
        <v>54234.05</v>
      </c>
      <c r="D15" s="246">
        <v>43432.480000000003</v>
      </c>
      <c r="E15" s="246">
        <v>49753.14</v>
      </c>
      <c r="F15" s="240">
        <v>40762.740000000005</v>
      </c>
      <c r="G15" s="240">
        <v>55104.619999999995</v>
      </c>
      <c r="H15" s="240">
        <v>40968.51</v>
      </c>
      <c r="I15" s="240">
        <v>47639.51</v>
      </c>
      <c r="J15" s="240">
        <v>49781.18</v>
      </c>
      <c r="K15" s="345">
        <v>35799.379999999997</v>
      </c>
      <c r="L15" s="345">
        <v>44186.460000000006</v>
      </c>
      <c r="M15" s="240">
        <v>37117</v>
      </c>
      <c r="N15" s="240">
        <v>47142</v>
      </c>
      <c r="O15" s="345">
        <v>39561</v>
      </c>
      <c r="P15" s="345">
        <v>40552.639999999999</v>
      </c>
      <c r="Q15" s="345">
        <v>38198.410000000003</v>
      </c>
      <c r="R15" s="345">
        <v>47372.840000000004</v>
      </c>
      <c r="S15" s="345"/>
    </row>
    <row r="16" spans="2:19" x14ac:dyDescent="0.25">
      <c r="B16" s="11" t="s">
        <v>13</v>
      </c>
      <c r="C16" s="245">
        <v>2312.2199999999998</v>
      </c>
      <c r="D16" s="245">
        <v>28104.44</v>
      </c>
      <c r="E16" s="245">
        <v>13881.57</v>
      </c>
      <c r="F16" s="237">
        <v>12783.08</v>
      </c>
      <c r="G16" s="237">
        <v>14018.12</v>
      </c>
      <c r="H16" s="237">
        <v>7982.37</v>
      </c>
      <c r="I16" s="237">
        <v>15419.58</v>
      </c>
      <c r="J16" s="237">
        <v>26790.84</v>
      </c>
      <c r="K16" s="237">
        <v>14615.84</v>
      </c>
      <c r="L16" s="237">
        <v>15526.36</v>
      </c>
      <c r="M16" s="237">
        <v>9933</v>
      </c>
      <c r="N16" s="237">
        <v>23174</v>
      </c>
      <c r="O16" s="237">
        <v>23950</v>
      </c>
      <c r="P16" s="237">
        <v>10337.76</v>
      </c>
      <c r="Q16" s="237">
        <v>18700.28</v>
      </c>
      <c r="R16" s="237">
        <v>14977.3</v>
      </c>
      <c r="S16" s="237"/>
    </row>
    <row r="17" spans="2:20" x14ac:dyDescent="0.25">
      <c r="B17" s="11" t="s">
        <v>14</v>
      </c>
      <c r="C17" s="245">
        <v>8236.2000000000007</v>
      </c>
      <c r="D17" s="245">
        <v>8719.7200000000012</v>
      </c>
      <c r="E17" s="245">
        <v>9739.34</v>
      </c>
      <c r="F17" s="237">
        <v>12977.59</v>
      </c>
      <c r="G17" s="237">
        <v>7598.3099999999995</v>
      </c>
      <c r="H17" s="237">
        <v>8469.36</v>
      </c>
      <c r="I17" s="237">
        <v>3090.13</v>
      </c>
      <c r="J17" s="237">
        <v>9746.69</v>
      </c>
      <c r="K17" s="237">
        <v>11141.29</v>
      </c>
      <c r="L17" s="237">
        <v>10873.55</v>
      </c>
      <c r="M17" s="237">
        <v>9228</v>
      </c>
      <c r="N17" s="237">
        <v>15028</v>
      </c>
      <c r="O17" s="237">
        <v>9412</v>
      </c>
      <c r="P17" s="237">
        <v>10486.01</v>
      </c>
      <c r="Q17" s="237">
        <v>7261.15</v>
      </c>
      <c r="R17" s="237">
        <v>9585.0300000000007</v>
      </c>
      <c r="S17" s="237"/>
    </row>
    <row r="18" spans="2:20" x14ac:dyDescent="0.25">
      <c r="B18" s="11" t="s">
        <v>15</v>
      </c>
      <c r="C18" s="245">
        <v>4803.79</v>
      </c>
      <c r="D18" s="245">
        <v>7782.22</v>
      </c>
      <c r="E18" s="245">
        <v>7635.8499999999995</v>
      </c>
      <c r="F18" s="237">
        <v>12673.310000000001</v>
      </c>
      <c r="G18" s="237">
        <v>7088.72</v>
      </c>
      <c r="H18" s="237">
        <v>6117.92</v>
      </c>
      <c r="I18" s="237">
        <v>4434.1799999999994</v>
      </c>
      <c r="J18" s="237">
        <v>5977.9</v>
      </c>
      <c r="K18" s="237">
        <v>8019.5</v>
      </c>
      <c r="L18" s="237">
        <v>6059.66</v>
      </c>
      <c r="M18" s="237">
        <v>7131</v>
      </c>
      <c r="N18" s="237">
        <v>9475</v>
      </c>
      <c r="O18" s="237">
        <v>5915</v>
      </c>
      <c r="P18" s="237">
        <v>7540.35</v>
      </c>
      <c r="Q18" s="237">
        <v>7098.6299999999992</v>
      </c>
      <c r="R18" s="237">
        <v>9830.7199999999993</v>
      </c>
      <c r="S18" s="237"/>
    </row>
    <row r="19" spans="2:20" x14ac:dyDescent="0.25">
      <c r="B19" s="11" t="s">
        <v>16</v>
      </c>
      <c r="C19" s="245">
        <v>21099.940000000002</v>
      </c>
      <c r="D19" s="245">
        <v>10826.16</v>
      </c>
      <c r="E19" s="245">
        <v>15337.91</v>
      </c>
      <c r="F19" s="237">
        <v>20630.599999999999</v>
      </c>
      <c r="G19" s="237">
        <v>17555.02</v>
      </c>
      <c r="H19" s="237">
        <v>13222.86</v>
      </c>
      <c r="I19" s="237">
        <v>5216.63</v>
      </c>
      <c r="J19" s="237">
        <v>17256.53</v>
      </c>
      <c r="K19" s="237">
        <v>13826.94</v>
      </c>
      <c r="L19" s="237">
        <v>18452.36</v>
      </c>
      <c r="M19" s="237">
        <v>12287</v>
      </c>
      <c r="N19" s="237">
        <v>20302</v>
      </c>
      <c r="O19" s="237">
        <v>17494</v>
      </c>
      <c r="P19" s="237">
        <v>15905.4</v>
      </c>
      <c r="Q19" s="237">
        <v>17333.150000000001</v>
      </c>
      <c r="R19" s="237">
        <v>12063.34</v>
      </c>
      <c r="S19" s="237"/>
    </row>
    <row r="20" spans="2:20" x14ac:dyDescent="0.25">
      <c r="B20" s="238" t="s">
        <v>17</v>
      </c>
      <c r="C20" s="246">
        <v>24007.039999999997</v>
      </c>
      <c r="D20" s="246">
        <v>12439.99</v>
      </c>
      <c r="E20" s="246">
        <v>1776.3</v>
      </c>
      <c r="F20" s="240">
        <v>10586.18</v>
      </c>
      <c r="G20" s="240">
        <v>8101.57</v>
      </c>
      <c r="H20" s="240">
        <v>16853.39</v>
      </c>
      <c r="I20" s="240">
        <v>17087.75</v>
      </c>
      <c r="J20" s="240">
        <v>2323.7800000000002</v>
      </c>
      <c r="K20" s="345">
        <v>15687.94</v>
      </c>
      <c r="L20" s="345">
        <v>17359.260000000002</v>
      </c>
      <c r="M20" s="240">
        <v>17089</v>
      </c>
      <c r="N20" s="240">
        <v>18054</v>
      </c>
      <c r="O20" s="345">
        <v>9434</v>
      </c>
      <c r="P20" s="345">
        <v>14711.98</v>
      </c>
      <c r="Q20" s="345">
        <v>15937.6</v>
      </c>
      <c r="R20" s="345">
        <v>13850.539999999999</v>
      </c>
      <c r="S20" s="345"/>
    </row>
    <row r="21" spans="2:20" x14ac:dyDescent="0.25">
      <c r="B21" s="11" t="s">
        <v>18</v>
      </c>
      <c r="C21" s="237">
        <v>40033.42</v>
      </c>
      <c r="D21" s="237">
        <v>28848.9</v>
      </c>
      <c r="E21" s="237">
        <v>17911.27</v>
      </c>
      <c r="F21" s="237">
        <v>33641.53</v>
      </c>
      <c r="G21" s="237">
        <v>26779.559999999998</v>
      </c>
      <c r="H21" s="237">
        <v>19319.030000000002</v>
      </c>
      <c r="I21" s="237">
        <v>30036.28</v>
      </c>
      <c r="J21" s="237">
        <v>28208.880000000001</v>
      </c>
      <c r="K21" s="237">
        <v>31182.1</v>
      </c>
      <c r="L21" s="237">
        <v>29297.59</v>
      </c>
      <c r="M21" s="237">
        <v>36802</v>
      </c>
      <c r="N21" s="237">
        <v>34615</v>
      </c>
      <c r="O21" s="237">
        <v>26979.9</v>
      </c>
      <c r="P21" s="237">
        <v>26389</v>
      </c>
      <c r="Q21" s="237">
        <v>22387.489999999998</v>
      </c>
      <c r="R21" s="237">
        <v>31163.68</v>
      </c>
      <c r="S21" s="237"/>
    </row>
    <row r="22" spans="2:20" x14ac:dyDescent="0.25">
      <c r="B22" s="11" t="s">
        <v>19</v>
      </c>
      <c r="C22" s="237">
        <v>21885.34</v>
      </c>
      <c r="D22" s="237">
        <v>24313.53</v>
      </c>
      <c r="E22" s="237">
        <v>24181.75</v>
      </c>
      <c r="F22" s="237">
        <v>23659.489999999998</v>
      </c>
      <c r="G22" s="237">
        <v>25517.95</v>
      </c>
      <c r="H22" s="237">
        <v>24024.639999999999</v>
      </c>
      <c r="I22" s="237">
        <v>24602.74</v>
      </c>
      <c r="J22" s="237">
        <v>23980.27</v>
      </c>
      <c r="K22" s="237">
        <v>24451.119999999999</v>
      </c>
      <c r="L22" s="237">
        <v>21414.52</v>
      </c>
      <c r="M22" s="237">
        <v>22015</v>
      </c>
      <c r="N22" s="237">
        <v>26450</v>
      </c>
      <c r="O22" s="237">
        <v>26518.89</v>
      </c>
      <c r="P22" s="237">
        <v>19021</v>
      </c>
      <c r="Q22" s="237">
        <v>23563.010000000002</v>
      </c>
      <c r="R22" s="237">
        <v>24614.46</v>
      </c>
      <c r="S22" s="237"/>
    </row>
    <row r="23" spans="2:20" x14ac:dyDescent="0.25">
      <c r="B23" s="11" t="s">
        <v>20</v>
      </c>
      <c r="C23" s="237">
        <v>36125.5</v>
      </c>
      <c r="D23" s="237">
        <v>32651.84</v>
      </c>
      <c r="E23" s="237">
        <v>34221.99</v>
      </c>
      <c r="F23" s="237">
        <v>30071.29</v>
      </c>
      <c r="G23" s="237">
        <v>33981.06</v>
      </c>
      <c r="H23" s="237">
        <v>35236.29</v>
      </c>
      <c r="I23" s="237">
        <v>32268.92</v>
      </c>
      <c r="J23" s="237">
        <v>34005.49</v>
      </c>
      <c r="K23" s="237">
        <v>39612.600000000006</v>
      </c>
      <c r="L23" s="237">
        <v>35941.450000000004</v>
      </c>
      <c r="M23" s="237">
        <v>33755</v>
      </c>
      <c r="N23" s="237">
        <v>40584</v>
      </c>
      <c r="O23" s="237">
        <v>32944.69</v>
      </c>
      <c r="P23" s="237">
        <v>31834</v>
      </c>
      <c r="Q23" s="237">
        <v>33855.159999999996</v>
      </c>
      <c r="R23" s="237">
        <v>35533.990000000005</v>
      </c>
      <c r="S23" s="237"/>
    </row>
    <row r="24" spans="2:20" x14ac:dyDescent="0.25">
      <c r="B24" s="11" t="s">
        <v>21</v>
      </c>
      <c r="C24" s="237">
        <v>40792.990000000005</v>
      </c>
      <c r="D24" s="237">
        <v>38961.460000000006</v>
      </c>
      <c r="E24" s="237">
        <v>41491.759999999995</v>
      </c>
      <c r="F24" s="237">
        <v>47655.41</v>
      </c>
      <c r="G24" s="237">
        <v>39907.33</v>
      </c>
      <c r="H24" s="237">
        <v>43937.06</v>
      </c>
      <c r="I24" s="237">
        <v>47102.04</v>
      </c>
      <c r="J24" s="237">
        <v>44204.54</v>
      </c>
      <c r="K24" s="237">
        <v>41121.360000000001</v>
      </c>
      <c r="L24" s="237">
        <v>40423.54</v>
      </c>
      <c r="M24" s="237">
        <v>39234</v>
      </c>
      <c r="N24" s="237">
        <v>57572</v>
      </c>
      <c r="O24" s="237">
        <v>26290</v>
      </c>
      <c r="P24" s="237">
        <v>42461</v>
      </c>
      <c r="Q24" s="237">
        <v>47515.71</v>
      </c>
      <c r="R24" s="237">
        <v>37584.46</v>
      </c>
      <c r="S24" s="237"/>
    </row>
    <row r="25" spans="2:20" x14ac:dyDescent="0.25">
      <c r="B25" s="11" t="s">
        <v>22</v>
      </c>
      <c r="C25" s="237">
        <v>19906.13</v>
      </c>
      <c r="D25" s="237">
        <v>22267.789999999997</v>
      </c>
      <c r="E25" s="237">
        <v>24192.050000000003</v>
      </c>
      <c r="F25" s="237">
        <v>17201.12</v>
      </c>
      <c r="G25" s="237">
        <v>15823.32</v>
      </c>
      <c r="H25" s="237">
        <v>13210.57</v>
      </c>
      <c r="I25" s="237">
        <v>9791.3700000000008</v>
      </c>
      <c r="J25" s="237">
        <v>17936.57</v>
      </c>
      <c r="K25" s="237">
        <v>10709.95</v>
      </c>
      <c r="L25" s="237">
        <v>12018.58</v>
      </c>
      <c r="M25" s="237">
        <v>13956</v>
      </c>
      <c r="N25" s="237">
        <v>12081</v>
      </c>
      <c r="O25" s="237">
        <v>13324.71</v>
      </c>
      <c r="P25" s="237">
        <v>13818</v>
      </c>
      <c r="Q25" s="237">
        <v>13799.24</v>
      </c>
      <c r="R25" s="237">
        <v>9044.99</v>
      </c>
      <c r="S25" s="237"/>
    </row>
    <row r="26" spans="2:20" x14ac:dyDescent="0.25">
      <c r="B26" s="11" t="s">
        <v>23</v>
      </c>
      <c r="C26" s="237">
        <v>22032.710000000003</v>
      </c>
      <c r="D26" s="237">
        <v>15507.86</v>
      </c>
      <c r="E26" s="237">
        <v>16143.09</v>
      </c>
      <c r="F26" s="237">
        <v>18296.629999999997</v>
      </c>
      <c r="G26" s="237">
        <v>19205.05</v>
      </c>
      <c r="H26" s="237">
        <v>16701.870000000003</v>
      </c>
      <c r="I26" s="237">
        <v>20251.37</v>
      </c>
      <c r="J26" s="237">
        <v>13069.56</v>
      </c>
      <c r="K26" s="237">
        <v>16541.43</v>
      </c>
      <c r="L26" s="237">
        <v>15492.77</v>
      </c>
      <c r="M26" s="237">
        <v>11788</v>
      </c>
      <c r="N26" s="237">
        <v>22205</v>
      </c>
      <c r="O26" s="237">
        <v>14104.78</v>
      </c>
      <c r="P26" s="237">
        <v>13630</v>
      </c>
      <c r="Q26" s="237">
        <v>12935.619999999999</v>
      </c>
      <c r="R26" s="237">
        <v>12973.470000000001</v>
      </c>
      <c r="S26" s="237"/>
    </row>
    <row r="27" spans="2:20" x14ac:dyDescent="0.25">
      <c r="B27" s="238" t="s">
        <v>24</v>
      </c>
      <c r="C27" s="240">
        <v>26361.279999999999</v>
      </c>
      <c r="D27" s="240">
        <v>30325.03</v>
      </c>
      <c r="E27" s="240">
        <v>27548.44</v>
      </c>
      <c r="F27" s="240">
        <v>28610.93</v>
      </c>
      <c r="G27" s="240">
        <v>30393.200000000001</v>
      </c>
      <c r="H27" s="240">
        <v>29877.199999999997</v>
      </c>
      <c r="I27" s="240">
        <v>30074.31</v>
      </c>
      <c r="J27" s="240">
        <v>29395.33</v>
      </c>
      <c r="K27" s="345">
        <v>29294.73</v>
      </c>
      <c r="L27" s="345">
        <v>29129.41</v>
      </c>
      <c r="M27" s="240">
        <v>29455</v>
      </c>
      <c r="N27" s="240">
        <v>30855</v>
      </c>
      <c r="O27" s="345">
        <v>26815.16</v>
      </c>
      <c r="P27" s="345">
        <v>27468</v>
      </c>
      <c r="Q27" s="345">
        <v>33283.58</v>
      </c>
      <c r="R27" s="345">
        <v>29390.93</v>
      </c>
      <c r="S27" s="345"/>
    </row>
    <row r="28" spans="2:20" x14ac:dyDescent="0.25">
      <c r="B28" s="11" t="s">
        <v>25</v>
      </c>
      <c r="C28" s="237">
        <v>17265.45</v>
      </c>
      <c r="D28" s="237">
        <v>23531.670000000002</v>
      </c>
      <c r="E28" s="237">
        <v>34056.9</v>
      </c>
      <c r="F28" s="237">
        <v>14186.27</v>
      </c>
      <c r="G28" s="237">
        <v>36322.960000000006</v>
      </c>
      <c r="H28" s="237">
        <v>7500.4900000000007</v>
      </c>
      <c r="I28" s="237">
        <v>13624.220000000001</v>
      </c>
      <c r="J28" s="237">
        <v>20151.310000000001</v>
      </c>
      <c r="K28" s="237">
        <v>15232.36</v>
      </c>
      <c r="L28" s="237">
        <v>27907.47</v>
      </c>
      <c r="M28" s="237">
        <v>14829</v>
      </c>
      <c r="N28" s="237">
        <v>24395</v>
      </c>
      <c r="O28" s="237">
        <v>17838.429999999997</v>
      </c>
      <c r="P28" s="237">
        <v>16545</v>
      </c>
      <c r="Q28" s="237">
        <v>19675.14</v>
      </c>
      <c r="R28" s="237">
        <v>6107.0300000000007</v>
      </c>
      <c r="S28" s="237"/>
      <c r="T28" s="156"/>
    </row>
    <row r="29" spans="2:20" x14ac:dyDescent="0.25">
      <c r="B29" s="11" t="s">
        <v>26</v>
      </c>
      <c r="C29" s="237">
        <v>33419.949999999997</v>
      </c>
      <c r="D29" s="237">
        <v>15709.62</v>
      </c>
      <c r="E29" s="237">
        <v>23409.88</v>
      </c>
      <c r="F29" s="237">
        <v>17986.11</v>
      </c>
      <c r="G29" s="237">
        <v>22654.58</v>
      </c>
      <c r="H29" s="237">
        <v>17294.48</v>
      </c>
      <c r="I29" s="237">
        <v>20061.29</v>
      </c>
      <c r="J29" s="237">
        <v>21935.33</v>
      </c>
      <c r="K29" s="237">
        <v>27654.639999999999</v>
      </c>
      <c r="L29" s="237">
        <v>21656.84</v>
      </c>
      <c r="M29" s="237">
        <v>22471</v>
      </c>
      <c r="N29" s="237">
        <v>30373</v>
      </c>
      <c r="O29" s="237">
        <v>20120</v>
      </c>
      <c r="P29" s="237">
        <v>20425</v>
      </c>
      <c r="Q29" s="237">
        <v>26458.799999999999</v>
      </c>
      <c r="R29" s="237">
        <v>31922.2</v>
      </c>
      <c r="S29" s="237"/>
      <c r="T29" s="156"/>
    </row>
    <row r="30" spans="2:20" x14ac:dyDescent="0.25">
      <c r="B30" s="11" t="s">
        <v>27</v>
      </c>
      <c r="C30" s="237">
        <v>14414.41</v>
      </c>
      <c r="D30" s="237">
        <v>17147.829999999998</v>
      </c>
      <c r="E30" s="237">
        <v>11579.349999999999</v>
      </c>
      <c r="F30" s="237">
        <v>21384.69</v>
      </c>
      <c r="G30" s="237">
        <v>16642.919999999998</v>
      </c>
      <c r="H30" s="237">
        <v>19991.769999999997</v>
      </c>
      <c r="I30" s="237">
        <v>22545.599999999999</v>
      </c>
      <c r="J30" s="237">
        <v>25861.93</v>
      </c>
      <c r="K30" s="237">
        <v>18725.919999999998</v>
      </c>
      <c r="L30" s="237">
        <v>21888.45</v>
      </c>
      <c r="M30" s="237">
        <v>21540</v>
      </c>
      <c r="N30" s="237">
        <v>27197</v>
      </c>
      <c r="O30" s="237">
        <v>15437.14</v>
      </c>
      <c r="P30" s="237">
        <v>20558</v>
      </c>
      <c r="Q30" s="237">
        <v>22332.62</v>
      </c>
      <c r="R30" s="237">
        <v>14693.2</v>
      </c>
      <c r="S30" s="237"/>
      <c r="T30" s="156"/>
    </row>
    <row r="31" spans="2:20" x14ac:dyDescent="0.25">
      <c r="B31" s="11" t="s">
        <v>28</v>
      </c>
      <c r="C31" s="237">
        <v>15274.24</v>
      </c>
      <c r="D31" s="237">
        <v>26595.25</v>
      </c>
      <c r="E31" s="237">
        <v>27747.78</v>
      </c>
      <c r="F31" s="237">
        <v>25452.739999999998</v>
      </c>
      <c r="G31" s="237">
        <v>30874.95</v>
      </c>
      <c r="H31" s="237">
        <v>24077.75</v>
      </c>
      <c r="I31" s="237">
        <v>23141.01</v>
      </c>
      <c r="J31" s="237">
        <v>28696.53</v>
      </c>
      <c r="K31" s="237">
        <v>26401.19</v>
      </c>
      <c r="L31" s="237">
        <v>25353.01</v>
      </c>
      <c r="M31" s="237">
        <v>24482</v>
      </c>
      <c r="N31" s="237">
        <v>41898</v>
      </c>
      <c r="O31" s="237">
        <v>20692.330000000002</v>
      </c>
      <c r="P31" s="237">
        <v>26412</v>
      </c>
      <c r="Q31" s="237">
        <v>27348.87</v>
      </c>
      <c r="R31" s="237">
        <v>28490.67</v>
      </c>
      <c r="S31" s="237"/>
      <c r="T31" s="156"/>
    </row>
    <row r="32" spans="2:20" x14ac:dyDescent="0.25">
      <c r="B32" s="11" t="s">
        <v>29</v>
      </c>
      <c r="C32" s="237">
        <v>24162.079999999998</v>
      </c>
      <c r="D32" s="237">
        <v>29218.21</v>
      </c>
      <c r="E32" s="237">
        <v>29557.559999999998</v>
      </c>
      <c r="F32" s="237">
        <v>26860.3</v>
      </c>
      <c r="G32" s="237">
        <v>35273.58</v>
      </c>
      <c r="H32" s="237">
        <v>25087.289999999997</v>
      </c>
      <c r="I32" s="237">
        <v>35705.24</v>
      </c>
      <c r="J32" s="237">
        <v>30947.29</v>
      </c>
      <c r="K32" s="237">
        <v>21571</v>
      </c>
      <c r="L32" s="237">
        <v>33053.57</v>
      </c>
      <c r="M32" s="237">
        <v>18382</v>
      </c>
      <c r="N32" s="237">
        <v>49473</v>
      </c>
      <c r="O32" s="237">
        <v>31846.329999999998</v>
      </c>
      <c r="P32" s="237">
        <v>13614</v>
      </c>
      <c r="Q32" s="237">
        <v>39234.980000000003</v>
      </c>
      <c r="R32" s="237">
        <v>21489.399999999998</v>
      </c>
      <c r="S32" s="237"/>
      <c r="T32" s="156"/>
    </row>
    <row r="33" spans="2:20" x14ac:dyDescent="0.25">
      <c r="B33" s="11" t="s">
        <v>30</v>
      </c>
      <c r="C33" s="237">
        <v>3803.6600000000003</v>
      </c>
      <c r="D33" s="237">
        <v>4831.2800000000007</v>
      </c>
      <c r="E33" s="237">
        <v>4797.5600000000004</v>
      </c>
      <c r="F33" s="237">
        <v>5880.2300000000005</v>
      </c>
      <c r="G33" s="237">
        <v>4085.8799999999997</v>
      </c>
      <c r="H33" s="237">
        <v>6585.82</v>
      </c>
      <c r="I33" s="237">
        <v>5704.98</v>
      </c>
      <c r="J33" s="237">
        <v>4399.74</v>
      </c>
      <c r="K33" s="237">
        <v>3973.01</v>
      </c>
      <c r="L33" s="237">
        <v>7210.0199999999995</v>
      </c>
      <c r="M33" s="237">
        <v>6570</v>
      </c>
      <c r="N33" s="237">
        <v>8742</v>
      </c>
      <c r="O33" s="237">
        <v>6630.02</v>
      </c>
      <c r="P33" s="237">
        <v>3667</v>
      </c>
      <c r="Q33" s="237">
        <v>4610.62</v>
      </c>
      <c r="R33" s="237">
        <v>2956.63</v>
      </c>
      <c r="S33" s="237"/>
      <c r="T33" s="156"/>
    </row>
    <row r="34" spans="2:20" x14ac:dyDescent="0.25">
      <c r="B34" s="11" t="s">
        <v>31</v>
      </c>
      <c r="C34" s="237">
        <v>18016.169999999998</v>
      </c>
      <c r="D34" s="237">
        <v>8910.8599999999988</v>
      </c>
      <c r="E34" s="237">
        <v>18297.419999999998</v>
      </c>
      <c r="F34" s="237">
        <v>28054.99</v>
      </c>
      <c r="G34" s="237">
        <v>15573.51</v>
      </c>
      <c r="H34" s="237">
        <v>15347.44</v>
      </c>
      <c r="I34" s="237">
        <v>15866.64</v>
      </c>
      <c r="J34" s="237">
        <v>18544.419999999998</v>
      </c>
      <c r="K34" s="237">
        <v>23351.21</v>
      </c>
      <c r="L34" s="237">
        <v>15713.88</v>
      </c>
      <c r="M34" s="237">
        <v>22690</v>
      </c>
      <c r="N34" s="237">
        <v>39230</v>
      </c>
      <c r="O34" s="237">
        <v>18185.16</v>
      </c>
      <c r="P34" s="237">
        <v>9037</v>
      </c>
      <c r="Q34" s="237">
        <v>29193.87</v>
      </c>
      <c r="R34" s="237">
        <v>20617.46</v>
      </c>
      <c r="S34" s="237"/>
      <c r="T34" s="156"/>
    </row>
    <row r="35" spans="2:20" x14ac:dyDescent="0.25">
      <c r="B35" s="238" t="s">
        <v>32</v>
      </c>
      <c r="C35" s="240">
        <v>20471.27</v>
      </c>
      <c r="D35" s="240">
        <v>17921.47</v>
      </c>
      <c r="E35" s="240">
        <v>22531.02</v>
      </c>
      <c r="F35" s="240">
        <v>25401.9</v>
      </c>
      <c r="G35" s="240">
        <v>21466.57</v>
      </c>
      <c r="H35" s="240">
        <v>21748.59</v>
      </c>
      <c r="I35" s="240">
        <v>47166.98</v>
      </c>
      <c r="J35" s="240">
        <v>17274.919999999998</v>
      </c>
      <c r="K35" s="345">
        <v>19256.86</v>
      </c>
      <c r="L35" s="345">
        <v>27062.84</v>
      </c>
      <c r="M35" s="240">
        <v>19318</v>
      </c>
      <c r="N35" s="240">
        <v>42555</v>
      </c>
      <c r="O35" s="345">
        <v>26946.34</v>
      </c>
      <c r="P35" s="345">
        <v>-2763</v>
      </c>
      <c r="Q35" s="345">
        <v>24159.83</v>
      </c>
      <c r="R35" s="345">
        <v>19221.59</v>
      </c>
      <c r="S35" s="237"/>
      <c r="T35" s="156"/>
    </row>
    <row r="36" spans="2:20" x14ac:dyDescent="0.25">
      <c r="B36" s="11" t="s">
        <v>34</v>
      </c>
      <c r="C36" s="89"/>
      <c r="D36" s="89"/>
      <c r="E36" s="89"/>
      <c r="F36" s="237">
        <v>1517.53</v>
      </c>
      <c r="G36" s="237">
        <v>10840.789999999999</v>
      </c>
      <c r="H36" s="237">
        <v>9089.380000000001</v>
      </c>
      <c r="I36" s="237">
        <v>13191.36</v>
      </c>
      <c r="J36" s="237">
        <v>6832.32</v>
      </c>
      <c r="K36" s="237">
        <v>8856.5499999999993</v>
      </c>
      <c r="L36" s="237">
        <v>7154</v>
      </c>
      <c r="M36" s="237">
        <v>11200</v>
      </c>
      <c r="N36" s="237">
        <v>12487</v>
      </c>
      <c r="O36" s="237">
        <v>10529.67</v>
      </c>
      <c r="P36" s="237">
        <v>14400</v>
      </c>
      <c r="Q36" s="237">
        <v>11414.810000000001</v>
      </c>
      <c r="R36" s="237">
        <v>19753.259999999998</v>
      </c>
      <c r="S36" s="237"/>
    </row>
    <row r="37" spans="2:20" x14ac:dyDescent="0.25">
      <c r="B37" s="11" t="s">
        <v>35</v>
      </c>
      <c r="C37" s="89"/>
      <c r="D37" s="89"/>
      <c r="E37" s="89"/>
      <c r="F37" s="237">
        <v>23765.99</v>
      </c>
      <c r="G37" s="237">
        <v>13051.37</v>
      </c>
      <c r="H37" s="237">
        <v>13783.93</v>
      </c>
      <c r="I37" s="237">
        <v>1391.0900000000001</v>
      </c>
      <c r="J37" s="237">
        <v>15732.289999999999</v>
      </c>
      <c r="K37" s="237">
        <v>10821.61</v>
      </c>
      <c r="L37" s="237">
        <v>10701</v>
      </c>
      <c r="M37" s="237">
        <v>33995</v>
      </c>
      <c r="N37" s="237">
        <v>171666</v>
      </c>
      <c r="O37" s="237">
        <v>27381.01</v>
      </c>
      <c r="P37" s="237">
        <v>-4330</v>
      </c>
      <c r="Q37" s="237">
        <v>44130.459999999992</v>
      </c>
      <c r="R37" s="237">
        <v>34386.1</v>
      </c>
      <c r="S37" s="237"/>
    </row>
    <row r="38" spans="2:20" x14ac:dyDescent="0.25">
      <c r="B38" s="11" t="s">
        <v>36</v>
      </c>
      <c r="C38" s="89"/>
      <c r="D38" s="89"/>
      <c r="E38" s="89"/>
      <c r="F38" s="237">
        <v>5657.13</v>
      </c>
      <c r="G38" s="237">
        <v>11233.55</v>
      </c>
      <c r="H38" s="237">
        <v>5801.46</v>
      </c>
      <c r="I38" s="237">
        <v>5613.9299999999994</v>
      </c>
      <c r="J38" s="237">
        <v>-1117.52</v>
      </c>
      <c r="K38" s="237">
        <v>6025.9299999999994</v>
      </c>
      <c r="L38" s="237">
        <v>15057</v>
      </c>
      <c r="M38" s="237">
        <v>43804</v>
      </c>
      <c r="N38" s="237">
        <v>59649</v>
      </c>
      <c r="O38" s="237">
        <v>3476.0099999999989</v>
      </c>
      <c r="P38" s="237">
        <v>-5124</v>
      </c>
      <c r="Q38" s="237">
        <v>-8283.0699999999979</v>
      </c>
      <c r="R38" s="237">
        <v>7683.17</v>
      </c>
      <c r="S38" s="237"/>
    </row>
    <row r="39" spans="2:20" x14ac:dyDescent="0.25">
      <c r="B39" s="11" t="s">
        <v>37</v>
      </c>
      <c r="C39" s="89"/>
      <c r="D39" s="89"/>
      <c r="E39" s="89"/>
      <c r="F39" s="237">
        <v>16756.36</v>
      </c>
      <c r="G39" s="237">
        <v>20388.810000000001</v>
      </c>
      <c r="H39" s="237">
        <v>11085.18</v>
      </c>
      <c r="I39" s="237">
        <v>10033.720000000001</v>
      </c>
      <c r="J39" s="237">
        <v>2877.46</v>
      </c>
      <c r="K39" s="237">
        <v>6060.97</v>
      </c>
      <c r="L39" s="237">
        <v>7661</v>
      </c>
      <c r="M39" s="237">
        <v>84579</v>
      </c>
      <c r="N39" s="237">
        <v>69007</v>
      </c>
      <c r="O39" s="237">
        <v>30072.71</v>
      </c>
      <c r="P39" s="237">
        <v>7710</v>
      </c>
      <c r="Q39" s="237">
        <v>15773.469999999996</v>
      </c>
      <c r="R39" s="237">
        <v>10731.009999999998</v>
      </c>
      <c r="S39" s="237"/>
    </row>
    <row r="40" spans="2:20" x14ac:dyDescent="0.25">
      <c r="B40" s="11" t="s">
        <v>38</v>
      </c>
      <c r="C40" s="89"/>
      <c r="D40" s="89"/>
      <c r="E40" s="89"/>
      <c r="F40" s="237">
        <v>14242.58</v>
      </c>
      <c r="G40" s="237">
        <v>23082.37</v>
      </c>
      <c r="H40" s="237">
        <v>21751.699999999997</v>
      </c>
      <c r="I40" s="237">
        <v>18204.84</v>
      </c>
      <c r="J40" s="237">
        <v>10450.06</v>
      </c>
      <c r="K40" s="237">
        <v>18770.72</v>
      </c>
      <c r="L40" s="237">
        <v>20178</v>
      </c>
      <c r="M40" s="237">
        <v>63060</v>
      </c>
      <c r="N40" s="237">
        <v>91440</v>
      </c>
      <c r="O40" s="237">
        <v>11365.180000000004</v>
      </c>
      <c r="P40" s="237">
        <v>21363</v>
      </c>
      <c r="Q40" s="237">
        <v>31593.020000000004</v>
      </c>
      <c r="R40" s="237">
        <v>9406.9300000000039</v>
      </c>
      <c r="S40" s="237"/>
    </row>
    <row r="41" spans="2:20" x14ac:dyDescent="0.25">
      <c r="B41" s="11" t="s">
        <v>39</v>
      </c>
      <c r="C41" s="89"/>
      <c r="D41" s="89"/>
      <c r="E41" s="89"/>
      <c r="F41" s="237">
        <v>6342.71</v>
      </c>
      <c r="G41" s="237">
        <v>5599.39</v>
      </c>
      <c r="H41" s="237">
        <v>12006.34</v>
      </c>
      <c r="I41" s="237">
        <v>6167.05</v>
      </c>
      <c r="J41" s="237">
        <v>3199.78</v>
      </c>
      <c r="K41" s="237">
        <v>9855.76</v>
      </c>
      <c r="L41" s="237">
        <v>6660</v>
      </c>
      <c r="M41" s="237">
        <v>50211</v>
      </c>
      <c r="N41" s="237">
        <v>63504</v>
      </c>
      <c r="O41" s="237">
        <v>24269.800000000003</v>
      </c>
      <c r="P41" s="237">
        <v>10751</v>
      </c>
      <c r="Q41" s="237">
        <v>6712.76</v>
      </c>
      <c r="R41" s="237">
        <v>14768.46</v>
      </c>
      <c r="S41" s="237"/>
    </row>
    <row r="42" spans="2:20" x14ac:dyDescent="0.25">
      <c r="B42" s="11" t="s">
        <v>33</v>
      </c>
      <c r="C42" s="89"/>
      <c r="D42" s="89"/>
      <c r="E42" s="89"/>
      <c r="F42" s="237">
        <v>19953.310000000001</v>
      </c>
      <c r="G42" s="237">
        <v>19489.41</v>
      </c>
      <c r="H42" s="237">
        <v>29016.79</v>
      </c>
      <c r="I42" s="237">
        <v>-1361.5700000000002</v>
      </c>
      <c r="J42" s="237">
        <v>14346.16</v>
      </c>
      <c r="K42" s="237">
        <v>8120.4</v>
      </c>
      <c r="L42" s="237">
        <v>9902</v>
      </c>
      <c r="M42" s="237">
        <v>21124</v>
      </c>
      <c r="N42" s="237">
        <v>101212</v>
      </c>
      <c r="O42" s="237">
        <v>14813.419999999998</v>
      </c>
      <c r="P42" s="237">
        <v>21556</v>
      </c>
      <c r="Q42" s="237">
        <v>32626.149999999998</v>
      </c>
      <c r="R42" s="237">
        <v>27828.369999999995</v>
      </c>
      <c r="S42" s="237"/>
    </row>
    <row r="43" spans="2:20" x14ac:dyDescent="0.25">
      <c r="B43" s="238" t="s">
        <v>40</v>
      </c>
      <c r="C43" s="244"/>
      <c r="D43" s="244"/>
      <c r="E43" s="244"/>
      <c r="F43" s="240">
        <v>24382.07</v>
      </c>
      <c r="G43" s="240">
        <v>16987.87</v>
      </c>
      <c r="H43" s="240">
        <v>22545.66</v>
      </c>
      <c r="I43" s="240">
        <v>15547.37</v>
      </c>
      <c r="J43" s="240">
        <v>23530.3</v>
      </c>
      <c r="K43" s="345">
        <v>17018.05</v>
      </c>
      <c r="L43" s="345">
        <v>18998</v>
      </c>
      <c r="M43" s="240">
        <v>141833</v>
      </c>
      <c r="N43" s="240">
        <v>93466</v>
      </c>
      <c r="O43" s="345">
        <v>30373.260000000009</v>
      </c>
      <c r="P43" s="345">
        <v>48362</v>
      </c>
      <c r="Q43" s="345">
        <v>18241.080000000002</v>
      </c>
      <c r="R43" s="345">
        <v>23689.389999999996</v>
      </c>
      <c r="S43" s="345"/>
    </row>
    <row r="44" spans="2:20" x14ac:dyDescent="0.25">
      <c r="B44" s="11" t="s">
        <v>41</v>
      </c>
      <c r="C44" s="89"/>
      <c r="D44" s="89"/>
      <c r="E44" s="89"/>
      <c r="F44" s="237">
        <v>24086.71</v>
      </c>
      <c r="G44" s="237">
        <v>12208.24</v>
      </c>
      <c r="H44" s="237">
        <v>8338</v>
      </c>
      <c r="I44" s="237">
        <v>18201.509999999998</v>
      </c>
      <c r="J44" s="237">
        <v>22606.15</v>
      </c>
      <c r="K44" s="237">
        <v>31339.41</v>
      </c>
      <c r="L44" s="237">
        <v>22759</v>
      </c>
      <c r="M44" s="237">
        <v>168957</v>
      </c>
      <c r="N44" s="237">
        <v>69310</v>
      </c>
      <c r="O44" s="237">
        <v>12560.18</v>
      </c>
      <c r="P44" s="237">
        <v>-10007</v>
      </c>
      <c r="Q44" s="237">
        <v>31609.319999999996</v>
      </c>
      <c r="R44" s="237">
        <v>34548.92</v>
      </c>
      <c r="S44" s="237"/>
    </row>
    <row r="45" spans="2:20" x14ac:dyDescent="0.25">
      <c r="B45" s="11" t="s">
        <v>42</v>
      </c>
      <c r="C45" s="89"/>
      <c r="D45" s="89"/>
      <c r="E45" s="89"/>
      <c r="F45" s="237">
        <v>15468.57</v>
      </c>
      <c r="G45" s="237">
        <v>23077.64</v>
      </c>
      <c r="H45" s="237">
        <v>16445.96</v>
      </c>
      <c r="I45" s="237">
        <v>24947.68</v>
      </c>
      <c r="J45" s="237">
        <v>18339.419999999998</v>
      </c>
      <c r="K45" s="237">
        <v>14493.19</v>
      </c>
      <c r="L45" s="237">
        <v>13782</v>
      </c>
      <c r="M45" s="237">
        <v>21603</v>
      </c>
      <c r="N45" s="237">
        <v>44154</v>
      </c>
      <c r="O45" s="237">
        <v>19581.239999999998</v>
      </c>
      <c r="P45" s="237">
        <v>22404</v>
      </c>
      <c r="Q45" s="237">
        <v>11643.800000000001</v>
      </c>
      <c r="R45" s="237">
        <v>37914.25</v>
      </c>
      <c r="S45" s="237"/>
    </row>
    <row r="46" spans="2:20" x14ac:dyDescent="0.25">
      <c r="B46" s="11" t="s">
        <v>43</v>
      </c>
      <c r="C46" s="89"/>
      <c r="D46" s="89"/>
      <c r="E46" s="89"/>
      <c r="F46" s="237">
        <v>20285.62</v>
      </c>
      <c r="G46" s="237">
        <v>10723</v>
      </c>
      <c r="H46" s="237">
        <v>21682.98</v>
      </c>
      <c r="I46" s="237">
        <v>35719.230000000003</v>
      </c>
      <c r="J46" s="237">
        <v>9688.82</v>
      </c>
      <c r="K46" s="237">
        <v>13244.17</v>
      </c>
      <c r="L46" s="237">
        <v>18645</v>
      </c>
      <c r="M46" s="237">
        <v>26339</v>
      </c>
      <c r="N46" s="237">
        <v>39143</v>
      </c>
      <c r="O46" s="237">
        <v>27220.279999999995</v>
      </c>
      <c r="P46" s="237">
        <v>36271</v>
      </c>
      <c r="Q46" s="237">
        <v>32078.19</v>
      </c>
      <c r="R46" s="237">
        <v>37254.22</v>
      </c>
      <c r="S46" s="237"/>
    </row>
    <row r="47" spans="2:20" x14ac:dyDescent="0.25">
      <c r="B47" s="11" t="s">
        <v>44</v>
      </c>
      <c r="C47" s="89"/>
      <c r="D47" s="89"/>
      <c r="E47" s="89"/>
      <c r="F47" s="237">
        <v>55867.33</v>
      </c>
      <c r="G47" s="237">
        <v>21867.53</v>
      </c>
      <c r="H47" s="237">
        <v>-1096.02</v>
      </c>
      <c r="I47" s="237">
        <v>17654.53</v>
      </c>
      <c r="J47" s="237">
        <v>15424.35</v>
      </c>
      <c r="K47" s="237">
        <v>18444.97</v>
      </c>
      <c r="L47" s="237">
        <v>19209</v>
      </c>
      <c r="M47" s="237">
        <v>33169</v>
      </c>
      <c r="N47" s="237">
        <v>90570</v>
      </c>
      <c r="O47" s="237">
        <v>22442.74</v>
      </c>
      <c r="P47" s="237">
        <v>32982</v>
      </c>
      <c r="Q47" s="237">
        <v>32428.37</v>
      </c>
      <c r="R47" s="237">
        <v>30297.370000000003</v>
      </c>
      <c r="S47" s="237"/>
    </row>
    <row r="48" spans="2:20" x14ac:dyDescent="0.25">
      <c r="B48" s="11" t="s">
        <v>45</v>
      </c>
      <c r="C48" s="89"/>
      <c r="D48" s="89"/>
      <c r="E48" s="89"/>
      <c r="F48" s="237">
        <v>23379.96</v>
      </c>
      <c r="G48" s="237">
        <v>27367.469999999998</v>
      </c>
      <c r="H48" s="237">
        <v>17949.04</v>
      </c>
      <c r="I48" s="237">
        <v>18949.41</v>
      </c>
      <c r="J48" s="237">
        <v>10178.790000000001</v>
      </c>
      <c r="K48" s="237">
        <v>29251.59</v>
      </c>
      <c r="L48" s="237">
        <v>15739</v>
      </c>
      <c r="M48" s="237">
        <v>127375</v>
      </c>
      <c r="N48" s="237">
        <v>219878</v>
      </c>
      <c r="O48" s="237">
        <v>31733.52</v>
      </c>
      <c r="P48" s="237">
        <v>16527</v>
      </c>
      <c r="Q48" s="237">
        <v>41978.39</v>
      </c>
      <c r="R48" s="237">
        <v>27416.55</v>
      </c>
      <c r="S48" s="237"/>
    </row>
    <row r="49" spans="2:20" x14ac:dyDescent="0.25">
      <c r="B49" s="11" t="s">
        <v>46</v>
      </c>
      <c r="C49" s="89"/>
      <c r="D49" s="89"/>
      <c r="E49" s="89"/>
      <c r="F49" s="237">
        <v>20438.3</v>
      </c>
      <c r="G49" s="237">
        <v>21801.599999999999</v>
      </c>
      <c r="H49" s="237">
        <v>15519.94</v>
      </c>
      <c r="I49" s="237">
        <v>18657.78</v>
      </c>
      <c r="J49" s="237">
        <v>10343.89</v>
      </c>
      <c r="K49" s="237">
        <v>26778.95</v>
      </c>
      <c r="L49" s="237">
        <v>22998</v>
      </c>
      <c r="M49" s="237">
        <v>119628</v>
      </c>
      <c r="N49" s="237">
        <v>134994</v>
      </c>
      <c r="O49" s="237">
        <v>26324.959999999999</v>
      </c>
      <c r="P49" s="237">
        <v>-4765</v>
      </c>
      <c r="Q49" s="237">
        <v>40554.29</v>
      </c>
      <c r="R49" s="237">
        <v>46814.539999999994</v>
      </c>
      <c r="S49" s="237"/>
    </row>
    <row r="50" spans="2:20" x14ac:dyDescent="0.25">
      <c r="B50" s="11" t="s">
        <v>47</v>
      </c>
      <c r="C50" s="89"/>
      <c r="D50" s="89"/>
      <c r="E50" s="89"/>
      <c r="F50" s="237">
        <v>22051.09</v>
      </c>
      <c r="G50" s="237">
        <v>26610.62</v>
      </c>
      <c r="H50" s="237">
        <v>8520.880000000001</v>
      </c>
      <c r="I50" s="237">
        <v>16917.12</v>
      </c>
      <c r="J50" s="237">
        <v>12474.75</v>
      </c>
      <c r="K50" s="237">
        <v>15725.11</v>
      </c>
      <c r="L50" s="237">
        <v>12318</v>
      </c>
      <c r="M50" s="237">
        <v>144542</v>
      </c>
      <c r="N50" s="237">
        <v>67383</v>
      </c>
      <c r="O50" s="237">
        <v>15197.060000000001</v>
      </c>
      <c r="P50" s="237">
        <v>14343</v>
      </c>
      <c r="Q50" s="237">
        <v>20438.48</v>
      </c>
      <c r="R50" s="237">
        <v>15355.819999999998</v>
      </c>
      <c r="S50" s="237"/>
    </row>
    <row r="51" spans="2:20" x14ac:dyDescent="0.25">
      <c r="B51" s="238" t="s">
        <v>48</v>
      </c>
      <c r="C51" s="244"/>
      <c r="D51" s="244"/>
      <c r="E51" s="244"/>
      <c r="F51" s="240">
        <v>18588.46</v>
      </c>
      <c r="G51" s="240">
        <v>25620.21</v>
      </c>
      <c r="H51" s="240">
        <v>24616.799999999999</v>
      </c>
      <c r="I51" s="240">
        <v>18202.419999999998</v>
      </c>
      <c r="J51" s="240">
        <v>15785.26</v>
      </c>
      <c r="K51" s="345">
        <v>11249.32</v>
      </c>
      <c r="L51" s="345">
        <v>17440</v>
      </c>
      <c r="M51" s="240">
        <v>22876</v>
      </c>
      <c r="N51" s="240">
        <v>20963</v>
      </c>
      <c r="O51" s="345">
        <v>20784.719999999998</v>
      </c>
      <c r="P51" s="345">
        <v>26047</v>
      </c>
      <c r="Q51" s="345">
        <v>28126.98</v>
      </c>
      <c r="R51" s="345">
        <v>24243.840000000004</v>
      </c>
      <c r="S51" s="345"/>
    </row>
    <row r="52" spans="2:20" x14ac:dyDescent="0.25">
      <c r="B52" s="11" t="s">
        <v>49</v>
      </c>
      <c r="C52" s="89"/>
      <c r="D52" s="89"/>
      <c r="E52" s="89"/>
      <c r="F52" s="12">
        <v>42982.85</v>
      </c>
      <c r="G52" s="12">
        <v>6775.7200000000012</v>
      </c>
      <c r="H52" s="12">
        <v>23525.14</v>
      </c>
      <c r="I52" s="12">
        <v>18962.7</v>
      </c>
      <c r="J52" s="12">
        <v>24701.119999999999</v>
      </c>
      <c r="K52" s="237">
        <v>18889.48</v>
      </c>
      <c r="L52" s="237">
        <v>23948</v>
      </c>
      <c r="M52" s="237">
        <v>33235</v>
      </c>
      <c r="N52" s="237">
        <v>116981</v>
      </c>
      <c r="O52" s="237">
        <v>31949.899999999998</v>
      </c>
      <c r="P52" s="237">
        <v>28457</v>
      </c>
      <c r="Q52" s="237">
        <v>31267.589999999997</v>
      </c>
      <c r="R52" s="237">
        <v>32749.940000000002</v>
      </c>
      <c r="S52" s="237"/>
      <c r="T52" s="93"/>
    </row>
    <row r="53" spans="2:20" x14ac:dyDescent="0.25">
      <c r="B53" s="11" t="s">
        <v>50</v>
      </c>
      <c r="C53" s="89"/>
      <c r="D53" s="89"/>
      <c r="E53" s="89"/>
      <c r="F53" s="12">
        <v>15885.15</v>
      </c>
      <c r="G53" s="12">
        <v>5595.3000000000029</v>
      </c>
      <c r="H53" s="12">
        <v>19111.55</v>
      </c>
      <c r="I53" s="12">
        <v>-5698.87</v>
      </c>
      <c r="J53" s="12">
        <v>63305.7</v>
      </c>
      <c r="K53" s="237">
        <v>25573.859999999997</v>
      </c>
      <c r="L53" s="237">
        <v>9926</v>
      </c>
      <c r="M53" s="237">
        <v>48823</v>
      </c>
      <c r="N53" s="237">
        <v>81020</v>
      </c>
      <c r="O53" s="237">
        <v>75362.289999999979</v>
      </c>
      <c r="P53" s="237">
        <v>50958</v>
      </c>
      <c r="Q53" s="237">
        <v>74573.440000000002</v>
      </c>
      <c r="R53" s="237">
        <v>58559.990000000005</v>
      </c>
      <c r="S53" s="237"/>
      <c r="T53" s="93"/>
    </row>
    <row r="54" spans="2:20" x14ac:dyDescent="0.25">
      <c r="B54" s="11" t="s">
        <v>51</v>
      </c>
      <c r="C54" s="89"/>
      <c r="D54" s="89"/>
      <c r="E54" s="89"/>
      <c r="F54" s="12">
        <v>27399.93</v>
      </c>
      <c r="G54" s="12">
        <v>29220.66</v>
      </c>
      <c r="H54" s="12">
        <v>28690.28</v>
      </c>
      <c r="I54" s="12">
        <v>19429.169999999998</v>
      </c>
      <c r="J54" s="12">
        <v>26560.460000000003</v>
      </c>
      <c r="K54" s="237">
        <v>25605.87</v>
      </c>
      <c r="L54" s="237">
        <v>-6190</v>
      </c>
      <c r="M54" s="237">
        <v>0</v>
      </c>
      <c r="N54" s="237">
        <v>0</v>
      </c>
      <c r="O54" s="237">
        <v>0</v>
      </c>
      <c r="P54" s="237">
        <v>0</v>
      </c>
      <c r="Q54" s="237">
        <v>0</v>
      </c>
      <c r="R54" s="237">
        <v>0</v>
      </c>
      <c r="S54" s="237"/>
      <c r="T54" s="93"/>
    </row>
    <row r="55" spans="2:20" x14ac:dyDescent="0.25">
      <c r="B55" s="11" t="s">
        <v>52</v>
      </c>
      <c r="C55" s="89"/>
      <c r="D55" s="89"/>
      <c r="E55" s="89"/>
      <c r="F55" s="12">
        <v>19252.939999999999</v>
      </c>
      <c r="G55" s="12">
        <v>26629.87</v>
      </c>
      <c r="H55" s="12">
        <v>14120.980000000001</v>
      </c>
      <c r="I55" s="12">
        <v>14109.46</v>
      </c>
      <c r="J55" s="12">
        <v>16389.47</v>
      </c>
      <c r="K55" s="237">
        <v>12111.3</v>
      </c>
      <c r="L55" s="237">
        <v>17498</v>
      </c>
      <c r="M55" s="237">
        <v>17623</v>
      </c>
      <c r="N55" s="237">
        <v>80029</v>
      </c>
      <c r="O55" s="237">
        <v>-2686.0700000000015</v>
      </c>
      <c r="P55" s="237">
        <v>14994</v>
      </c>
      <c r="Q55" s="237">
        <v>18939.43</v>
      </c>
      <c r="R55" s="237">
        <v>32529.860000000004</v>
      </c>
      <c r="S55" s="237"/>
      <c r="T55" s="93"/>
    </row>
    <row r="56" spans="2:20" x14ac:dyDescent="0.25">
      <c r="B56" s="11" t="s">
        <v>53</v>
      </c>
      <c r="C56" s="89"/>
      <c r="D56" s="89"/>
      <c r="E56" s="89"/>
      <c r="F56" s="12">
        <v>15407.93</v>
      </c>
      <c r="G56" s="12">
        <v>24153.94</v>
      </c>
      <c r="H56" s="12">
        <v>19786.53</v>
      </c>
      <c r="I56" s="12">
        <v>19909.91</v>
      </c>
      <c r="J56" s="12">
        <v>23710.400000000001</v>
      </c>
      <c r="K56" s="237">
        <v>13873.28</v>
      </c>
      <c r="L56" s="237">
        <v>14156</v>
      </c>
      <c r="M56" s="237">
        <v>25972</v>
      </c>
      <c r="N56" s="237">
        <v>23401</v>
      </c>
      <c r="O56" s="237">
        <v>22854.590000000004</v>
      </c>
      <c r="P56" s="237">
        <v>18449</v>
      </c>
      <c r="Q56" s="237">
        <v>22798.21</v>
      </c>
      <c r="R56" s="237">
        <v>30129.3</v>
      </c>
      <c r="S56" s="237"/>
      <c r="T56" s="93"/>
    </row>
    <row r="57" spans="2:20" x14ac:dyDescent="0.25">
      <c r="B57" s="11" t="s">
        <v>54</v>
      </c>
      <c r="C57" s="89"/>
      <c r="D57" s="89"/>
      <c r="E57" s="89"/>
      <c r="F57" s="12">
        <v>11046.05</v>
      </c>
      <c r="G57" s="12">
        <v>19968.18</v>
      </c>
      <c r="H57" s="12">
        <v>23538.73</v>
      </c>
      <c r="I57" s="12">
        <v>15273.17</v>
      </c>
      <c r="J57" s="12">
        <v>17835.419999999998</v>
      </c>
      <c r="K57" s="237">
        <v>18491.509999999998</v>
      </c>
      <c r="L57" s="237">
        <v>15395</v>
      </c>
      <c r="M57" s="237">
        <v>37391</v>
      </c>
      <c r="N57" s="237">
        <v>50011</v>
      </c>
      <c r="O57" s="237">
        <v>39649.760000000002</v>
      </c>
      <c r="P57" s="237">
        <v>31255</v>
      </c>
      <c r="Q57" s="237">
        <v>33708.57</v>
      </c>
      <c r="R57" s="237">
        <v>31040.11</v>
      </c>
      <c r="S57" s="237"/>
      <c r="T57" s="93"/>
    </row>
    <row r="59" spans="2:20" x14ac:dyDescent="0.25">
      <c r="C59" s="10" t="s">
        <v>181</v>
      </c>
      <c r="D59" s="10" t="s">
        <v>182</v>
      </c>
      <c r="E59" s="10" t="s">
        <v>213</v>
      </c>
      <c r="F59" s="10" t="s">
        <v>202</v>
      </c>
      <c r="G59" s="10" t="s">
        <v>184</v>
      </c>
      <c r="H59" s="10" t="s">
        <v>214</v>
      </c>
      <c r="I59" s="10" t="s">
        <v>215</v>
      </c>
      <c r="J59" s="10" t="s">
        <v>188</v>
      </c>
      <c r="K59" s="10" t="s">
        <v>205</v>
      </c>
      <c r="L59" s="10" t="s">
        <v>190</v>
      </c>
      <c r="M59" s="10" t="s">
        <v>191</v>
      </c>
      <c r="N59" s="9" t="s">
        <v>192</v>
      </c>
      <c r="O59" s="365" t="s">
        <v>193</v>
      </c>
      <c r="P59" s="365" t="s">
        <v>194</v>
      </c>
      <c r="Q59" s="365" t="s">
        <v>195</v>
      </c>
      <c r="R59" s="365" t="s">
        <v>236</v>
      </c>
      <c r="S59" s="365"/>
    </row>
    <row r="60" spans="2:20" x14ac:dyDescent="0.25">
      <c r="B60" t="s">
        <v>220</v>
      </c>
      <c r="C60" s="91">
        <v>213538.8</v>
      </c>
      <c r="D60" s="91">
        <v>203060.89</v>
      </c>
      <c r="E60" s="91">
        <v>134619.42000000001</v>
      </c>
      <c r="F60" s="91">
        <v>133247.96000000002</v>
      </c>
      <c r="G60" s="91">
        <v>125431.17</v>
      </c>
      <c r="H60" s="91">
        <v>149936.62000000002</v>
      </c>
      <c r="I60" s="91">
        <v>134961.93</v>
      </c>
      <c r="J60" s="91">
        <v>142300.62</v>
      </c>
      <c r="K60" s="91">
        <v>118719.84999999999</v>
      </c>
      <c r="L60" s="91">
        <v>144242.34</v>
      </c>
      <c r="M60" s="91">
        <v>129760</v>
      </c>
      <c r="N60" s="91">
        <v>167819</v>
      </c>
      <c r="O60" s="91">
        <v>132003</v>
      </c>
      <c r="P60" s="91">
        <v>143468.06999999998</v>
      </c>
      <c r="Q60" s="91">
        <v>140853</v>
      </c>
      <c r="R60" s="91">
        <v>69670.649999999994</v>
      </c>
      <c r="S60" s="91"/>
    </row>
    <row r="61" spans="2:20" x14ac:dyDescent="0.25">
      <c r="B61" t="s">
        <v>141</v>
      </c>
      <c r="C61" s="91">
        <v>173318.79</v>
      </c>
      <c r="D61" s="91">
        <v>198905.87000000002</v>
      </c>
      <c r="E61" s="91">
        <v>159256.95000000001</v>
      </c>
      <c r="F61" s="91">
        <v>187667.15999999997</v>
      </c>
      <c r="G61" s="91">
        <v>175131.65999999997</v>
      </c>
      <c r="H61" s="91">
        <v>129351.80000000002</v>
      </c>
      <c r="I61" s="91">
        <v>213899.52000000002</v>
      </c>
      <c r="J61" s="91">
        <v>177195.41</v>
      </c>
      <c r="K61" s="91">
        <v>151991.75</v>
      </c>
      <c r="L61" s="91">
        <v>150432.42000000001</v>
      </c>
      <c r="M61" s="91">
        <v>155442</v>
      </c>
      <c r="N61" s="91">
        <v>173761</v>
      </c>
      <c r="O61" s="91">
        <v>145182</v>
      </c>
      <c r="P61" s="91">
        <v>151344.60999999999</v>
      </c>
      <c r="Q61" s="91">
        <v>138313.01</v>
      </c>
      <c r="R61" s="91">
        <v>166804.00999999998</v>
      </c>
      <c r="S61" s="91"/>
    </row>
    <row r="62" spans="2:20" x14ac:dyDescent="0.25">
      <c r="B62" t="s">
        <v>142</v>
      </c>
      <c r="C62" s="91">
        <v>60459.19</v>
      </c>
      <c r="D62" s="91">
        <v>67872.530000000013</v>
      </c>
      <c r="E62" s="91">
        <v>48370.97</v>
      </c>
      <c r="F62" s="91">
        <v>69650.759999999995</v>
      </c>
      <c r="G62" s="91">
        <v>54361.74</v>
      </c>
      <c r="H62" s="91">
        <v>52645.9</v>
      </c>
      <c r="I62" s="91">
        <v>45248.270000000004</v>
      </c>
      <c r="J62" s="91">
        <v>62095.74</v>
      </c>
      <c r="K62" s="91">
        <v>63291.510000000009</v>
      </c>
      <c r="L62" s="91">
        <v>68271.19</v>
      </c>
      <c r="M62" s="91">
        <v>55668</v>
      </c>
      <c r="N62" s="91">
        <v>86033</v>
      </c>
      <c r="O62" s="91">
        <v>66205</v>
      </c>
      <c r="P62" s="91">
        <v>58981.5</v>
      </c>
      <c r="Q62" s="91">
        <v>66330.81</v>
      </c>
      <c r="R62" s="91">
        <v>60306.93</v>
      </c>
      <c r="S62" s="91"/>
    </row>
    <row r="63" spans="2:20" x14ac:dyDescent="0.25">
      <c r="B63" t="s">
        <v>217</v>
      </c>
      <c r="C63" s="91">
        <v>207137.37</v>
      </c>
      <c r="D63" s="91">
        <v>192876.41</v>
      </c>
      <c r="E63" s="91">
        <v>185690.35</v>
      </c>
      <c r="F63" s="91">
        <v>199136.4</v>
      </c>
      <c r="G63" s="91">
        <v>191607.47</v>
      </c>
      <c r="H63" s="91">
        <v>182306.65999999997</v>
      </c>
      <c r="I63" s="91">
        <v>194127.03</v>
      </c>
      <c r="J63" s="91">
        <v>190800.64000000001</v>
      </c>
      <c r="K63" s="91">
        <v>192913.29</v>
      </c>
      <c r="L63" s="91">
        <v>183717.86</v>
      </c>
      <c r="M63" s="91">
        <v>187005</v>
      </c>
      <c r="N63" s="91">
        <v>224362</v>
      </c>
      <c r="O63" s="91">
        <v>166978.13</v>
      </c>
      <c r="P63" s="91">
        <v>174621</v>
      </c>
      <c r="Q63" s="91">
        <v>187339.81</v>
      </c>
      <c r="R63" s="91">
        <v>180305.97999999998</v>
      </c>
      <c r="S63" s="91"/>
    </row>
    <row r="64" spans="2:20" x14ac:dyDescent="0.25">
      <c r="B64" t="s">
        <v>144</v>
      </c>
      <c r="C64" s="91">
        <v>146827.23000000001</v>
      </c>
      <c r="D64" s="91">
        <v>143866.19</v>
      </c>
      <c r="E64" s="91">
        <v>171977.47</v>
      </c>
      <c r="F64" s="91">
        <v>165207.22999999998</v>
      </c>
      <c r="G64" s="91">
        <v>182894.95</v>
      </c>
      <c r="H64" s="91">
        <v>137633.62999999998</v>
      </c>
      <c r="I64" s="91">
        <v>183815.96</v>
      </c>
      <c r="J64" s="91">
        <v>167811.46999999997</v>
      </c>
      <c r="K64" s="91">
        <v>156166.19</v>
      </c>
      <c r="L64" s="91">
        <v>179846.08</v>
      </c>
      <c r="M64" s="91">
        <v>150282</v>
      </c>
      <c r="N64" s="91">
        <v>263863</v>
      </c>
      <c r="O64" s="91">
        <v>157695.75</v>
      </c>
      <c r="P64" s="91">
        <v>107495</v>
      </c>
      <c r="Q64" s="91">
        <v>193014.72999999998</v>
      </c>
      <c r="R64" s="91">
        <v>145498.18</v>
      </c>
      <c r="S64" s="91"/>
    </row>
    <row r="65" spans="1:19" x14ac:dyDescent="0.25">
      <c r="B65" t="s">
        <v>145</v>
      </c>
      <c r="C65" s="91">
        <v>0</v>
      </c>
      <c r="D65" s="91">
        <v>0</v>
      </c>
      <c r="E65" s="91">
        <v>0</v>
      </c>
      <c r="F65" s="91">
        <v>112617.68</v>
      </c>
      <c r="G65" s="91">
        <v>120673.56</v>
      </c>
      <c r="H65" s="91">
        <v>125080.44</v>
      </c>
      <c r="I65" s="91">
        <v>68787.790000000008</v>
      </c>
      <c r="J65" s="91">
        <v>75850.850000000006</v>
      </c>
      <c r="K65" s="91">
        <v>85529.99</v>
      </c>
      <c r="L65" s="91">
        <v>96311</v>
      </c>
      <c r="M65" s="91">
        <v>449806</v>
      </c>
      <c r="N65" s="91">
        <v>662431</v>
      </c>
      <c r="O65" s="91">
        <v>152281.06</v>
      </c>
      <c r="P65" s="91">
        <v>114688</v>
      </c>
      <c r="Q65" s="91">
        <v>152208.68</v>
      </c>
      <c r="R65" s="91">
        <v>148246.68999999997</v>
      </c>
      <c r="S65" s="91"/>
    </row>
    <row r="66" spans="1:19" x14ac:dyDescent="0.25">
      <c r="B66" t="s">
        <v>121</v>
      </c>
      <c r="C66" s="91">
        <v>0</v>
      </c>
      <c r="D66" s="91">
        <v>0</v>
      </c>
      <c r="E66" s="91">
        <v>0</v>
      </c>
      <c r="F66" s="91">
        <v>200166.03999999998</v>
      </c>
      <c r="G66" s="91">
        <v>169276.31</v>
      </c>
      <c r="H66" s="91">
        <v>111977.58000000002</v>
      </c>
      <c r="I66" s="91">
        <v>169249.68</v>
      </c>
      <c r="J66" s="91">
        <v>114841.43</v>
      </c>
      <c r="K66" s="91">
        <v>160526.71000000002</v>
      </c>
      <c r="L66" s="91">
        <v>142890</v>
      </c>
      <c r="M66" s="91">
        <v>664489</v>
      </c>
      <c r="N66" s="91">
        <v>686395</v>
      </c>
      <c r="O66" s="91">
        <v>175844.7</v>
      </c>
      <c r="P66" s="91">
        <v>133802</v>
      </c>
      <c r="Q66" s="91">
        <v>238857.82000000004</v>
      </c>
      <c r="R66" s="91">
        <v>253845.50999999998</v>
      </c>
      <c r="S66" s="91"/>
    </row>
    <row r="67" spans="1:19" x14ac:dyDescent="0.25">
      <c r="B67" t="s">
        <v>218</v>
      </c>
      <c r="C67" s="91">
        <v>0</v>
      </c>
      <c r="D67" s="91">
        <v>0</v>
      </c>
      <c r="E67" s="91">
        <v>0</v>
      </c>
      <c r="F67" s="91">
        <v>131974.84999999998</v>
      </c>
      <c r="G67" s="91">
        <v>112343.67000000001</v>
      </c>
      <c r="H67" s="91">
        <v>128773.20999999999</v>
      </c>
      <c r="I67" s="91">
        <v>81985.539999999994</v>
      </c>
      <c r="J67" s="91">
        <v>172502.57</v>
      </c>
      <c r="K67" s="91">
        <v>114545.29999999999</v>
      </c>
      <c r="L67" s="91">
        <v>74733</v>
      </c>
      <c r="M67" s="91">
        <v>163044</v>
      </c>
      <c r="N67" s="91">
        <v>351442</v>
      </c>
      <c r="O67" s="91">
        <v>167130.46999999997</v>
      </c>
      <c r="P67" s="91">
        <v>144113</v>
      </c>
      <c r="Q67" s="91">
        <v>181287.24</v>
      </c>
      <c r="R67" s="91">
        <v>185009.2</v>
      </c>
      <c r="S67" s="91"/>
    </row>
    <row r="70" spans="1:19" x14ac:dyDescent="0.25">
      <c r="A70" t="s">
        <v>240</v>
      </c>
      <c r="B70" t="s">
        <v>230</v>
      </c>
      <c r="C70" t="s">
        <v>222</v>
      </c>
      <c r="D70" t="s">
        <v>223</v>
      </c>
      <c r="E70" t="s">
        <v>224</v>
      </c>
      <c r="F70" t="s">
        <v>239</v>
      </c>
      <c r="G70" t="s">
        <v>238</v>
      </c>
    </row>
    <row r="71" spans="1:19" x14ac:dyDescent="0.25">
      <c r="A71" t="s">
        <v>220</v>
      </c>
      <c r="B71" s="89">
        <v>551219.11</v>
      </c>
      <c r="C71" s="89">
        <v>408615.75</v>
      </c>
      <c r="D71" s="89">
        <v>395982.39999999997</v>
      </c>
      <c r="E71" s="89">
        <v>441821.33999999997</v>
      </c>
      <c r="F71" s="89">
        <v>416324.06999999995</v>
      </c>
    </row>
    <row r="72" spans="1:19" x14ac:dyDescent="0.25">
      <c r="A72" t="s">
        <v>141</v>
      </c>
      <c r="B72" s="89">
        <v>531481.6100000001</v>
      </c>
      <c r="C72" s="89">
        <v>492150.62</v>
      </c>
      <c r="D72" s="89">
        <v>543086.68000000005</v>
      </c>
      <c r="E72" s="89">
        <v>479635.42000000004</v>
      </c>
      <c r="F72" s="89">
        <v>434839.62</v>
      </c>
    </row>
    <row r="73" spans="1:19" x14ac:dyDescent="0.25">
      <c r="A73" t="s">
        <v>142</v>
      </c>
      <c r="B73" s="89">
        <v>176702.69</v>
      </c>
      <c r="C73" s="89">
        <v>176658.4</v>
      </c>
      <c r="D73" s="89">
        <v>170635.52000000002</v>
      </c>
      <c r="E73" s="89">
        <v>209972.19</v>
      </c>
      <c r="F73" s="89">
        <v>191517.31</v>
      </c>
    </row>
    <row r="74" spans="1:19" x14ac:dyDescent="0.25">
      <c r="A74" t="s">
        <v>217</v>
      </c>
      <c r="B74" s="89">
        <v>585704.13</v>
      </c>
      <c r="C74" s="89">
        <v>573050.53</v>
      </c>
      <c r="D74" s="89">
        <v>577840.96000000008</v>
      </c>
      <c r="E74" s="89">
        <v>595084.86</v>
      </c>
      <c r="F74" s="89">
        <v>528938.93999999994</v>
      </c>
    </row>
    <row r="75" spans="1:19" x14ac:dyDescent="0.25">
      <c r="A75" t="s">
        <v>144</v>
      </c>
      <c r="B75" s="89">
        <v>462670.89</v>
      </c>
      <c r="C75" s="89">
        <v>485735.80999999994</v>
      </c>
      <c r="D75" s="89">
        <v>507793.61999999994</v>
      </c>
      <c r="E75" s="89">
        <v>593991.07999999996</v>
      </c>
      <c r="F75" s="89">
        <v>458205.48</v>
      </c>
    </row>
    <row r="76" spans="1:19" x14ac:dyDescent="0.25">
      <c r="A76" t="s">
        <v>145</v>
      </c>
      <c r="B76" s="89">
        <v>0</v>
      </c>
      <c r="C76" s="89">
        <v>358371.68</v>
      </c>
      <c r="D76" s="89">
        <v>230168.63</v>
      </c>
      <c r="E76" s="89">
        <v>1208548</v>
      </c>
      <c r="F76" s="89">
        <v>419177.74</v>
      </c>
    </row>
    <row r="77" spans="1:19" x14ac:dyDescent="0.25">
      <c r="A77" t="s">
        <v>121</v>
      </c>
      <c r="B77" s="89">
        <v>0</v>
      </c>
      <c r="C77" s="89">
        <v>481419.93</v>
      </c>
      <c r="D77" s="89">
        <v>444617.82</v>
      </c>
      <c r="E77" s="89">
        <v>1493774</v>
      </c>
      <c r="F77" s="89">
        <v>548504.52</v>
      </c>
    </row>
    <row r="78" spans="1:19" x14ac:dyDescent="0.25">
      <c r="A78" t="s">
        <v>218</v>
      </c>
      <c r="B78" s="89">
        <v>0</v>
      </c>
      <c r="C78" s="89">
        <v>373091.73</v>
      </c>
      <c r="D78" s="89">
        <v>369033.41</v>
      </c>
      <c r="E78" s="89">
        <v>589219</v>
      </c>
      <c r="F78" s="89">
        <v>492530.70999999996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3BC1-E0A3-4392-B326-E8082026223C}">
  <dimension ref="A2:O48"/>
  <sheetViews>
    <sheetView topLeftCell="A19" workbookViewId="0">
      <selection activeCell="R26" sqref="R26"/>
    </sheetView>
  </sheetViews>
  <sheetFormatPr defaultRowHeight="15" x14ac:dyDescent="0.25"/>
  <cols>
    <col min="4" max="4" width="10.5703125" bestFit="1" customWidth="1"/>
  </cols>
  <sheetData>
    <row r="2" spans="1:15" x14ac:dyDescent="0.25">
      <c r="B2" s="10" t="s">
        <v>202</v>
      </c>
      <c r="C2" s="10" t="s">
        <v>184</v>
      </c>
      <c r="D2" s="10" t="s">
        <v>214</v>
      </c>
      <c r="E2" s="10" t="s">
        <v>215</v>
      </c>
      <c r="F2" s="10" t="s">
        <v>188</v>
      </c>
      <c r="G2" s="10" t="s">
        <v>205</v>
      </c>
      <c r="H2" s="10" t="s">
        <v>190</v>
      </c>
      <c r="I2" s="10" t="s">
        <v>191</v>
      </c>
      <c r="J2" s="10" t="s">
        <v>192</v>
      </c>
      <c r="K2" s="365" t="s">
        <v>193</v>
      </c>
      <c r="L2" s="365" t="s">
        <v>194</v>
      </c>
      <c r="M2" s="365" t="s">
        <v>195</v>
      </c>
      <c r="N2" s="365" t="s">
        <v>236</v>
      </c>
      <c r="O2" s="365"/>
    </row>
    <row r="3" spans="1:15" x14ac:dyDescent="0.25">
      <c r="A3" s="189" t="s">
        <v>33</v>
      </c>
      <c r="B3" s="205">
        <v>12298.35</v>
      </c>
      <c r="C3" s="205">
        <v>13116.56</v>
      </c>
      <c r="D3" s="219">
        <v>14018.460000000001</v>
      </c>
      <c r="E3" s="205">
        <v>9939.0199999999986</v>
      </c>
      <c r="F3" s="93">
        <v>14929.570000000002</v>
      </c>
      <c r="G3" s="93">
        <v>11753.920000000002</v>
      </c>
      <c r="H3" s="93">
        <v>11683</v>
      </c>
      <c r="I3" s="93">
        <v>11393</v>
      </c>
      <c r="J3" s="93">
        <v>11241</v>
      </c>
      <c r="K3" s="93">
        <v>7998.21</v>
      </c>
      <c r="L3" s="93">
        <v>16173</v>
      </c>
      <c r="M3" s="93">
        <v>8962.23</v>
      </c>
      <c r="N3" s="93">
        <v>7238.15</v>
      </c>
      <c r="O3" s="93"/>
    </row>
    <row r="4" spans="1:15" x14ac:dyDescent="0.25">
      <c r="A4" s="189" t="s">
        <v>41</v>
      </c>
      <c r="B4" s="205">
        <v>12962.47</v>
      </c>
      <c r="C4" s="205">
        <v>12935.3</v>
      </c>
      <c r="D4" s="219">
        <v>14456.720000000001</v>
      </c>
      <c r="E4" s="205">
        <v>12530.470000000001</v>
      </c>
      <c r="F4" s="93">
        <v>9951.5399999999991</v>
      </c>
      <c r="G4" s="93">
        <v>11272.029999999999</v>
      </c>
      <c r="H4" s="93">
        <v>10245</v>
      </c>
      <c r="I4" s="93">
        <v>10801</v>
      </c>
      <c r="J4" s="93">
        <v>11094</v>
      </c>
      <c r="K4" s="93">
        <v>7562.2400000000007</v>
      </c>
      <c r="L4" s="93">
        <v>10708</v>
      </c>
      <c r="M4" s="93">
        <v>7099.18</v>
      </c>
      <c r="N4" s="93">
        <v>7288.5899999999992</v>
      </c>
      <c r="O4" s="93"/>
    </row>
    <row r="5" spans="1:15" x14ac:dyDescent="0.25">
      <c r="A5" s="224" t="s">
        <v>34</v>
      </c>
      <c r="B5" s="225">
        <v>8189.49</v>
      </c>
      <c r="C5" s="225">
        <v>5187.3100000000004</v>
      </c>
      <c r="D5" s="226">
        <v>6872.69</v>
      </c>
      <c r="E5" s="225">
        <v>-872.54</v>
      </c>
      <c r="F5" s="227">
        <v>4368.3100000000004</v>
      </c>
      <c r="G5" s="93">
        <v>6290.0400000000009</v>
      </c>
      <c r="H5" s="93">
        <v>6200</v>
      </c>
      <c r="I5" s="93">
        <v>1629</v>
      </c>
      <c r="J5" s="93">
        <v>3080</v>
      </c>
      <c r="K5" s="93">
        <v>3367.13</v>
      </c>
      <c r="L5" s="93">
        <v>2221</v>
      </c>
      <c r="M5" s="93">
        <v>5068.78</v>
      </c>
      <c r="N5" s="93">
        <v>6667.5599999999995</v>
      </c>
      <c r="O5" s="93"/>
    </row>
    <row r="6" spans="1:15" x14ac:dyDescent="0.25">
      <c r="A6" s="193" t="s">
        <v>35</v>
      </c>
      <c r="B6" s="222">
        <v>8166.1299999999992</v>
      </c>
      <c r="C6" s="222">
        <v>15811.17</v>
      </c>
      <c r="D6" s="223">
        <v>26612.780000000002</v>
      </c>
      <c r="E6" s="222">
        <v>13024.93</v>
      </c>
      <c r="F6" s="228">
        <v>15674.119999999999</v>
      </c>
      <c r="G6" s="93">
        <v>10113.76</v>
      </c>
      <c r="H6" s="93">
        <v>12205</v>
      </c>
      <c r="I6" s="93">
        <v>12618</v>
      </c>
      <c r="J6" s="93">
        <v>20827</v>
      </c>
      <c r="K6" s="93">
        <v>13664.14</v>
      </c>
      <c r="L6" s="93">
        <v>6890</v>
      </c>
      <c r="M6" s="93">
        <v>14002.380000000001</v>
      </c>
      <c r="N6" s="93">
        <v>8134.08</v>
      </c>
      <c r="O6" s="93"/>
    </row>
    <row r="7" spans="1:15" x14ac:dyDescent="0.25">
      <c r="A7" s="189" t="s">
        <v>36</v>
      </c>
      <c r="B7" s="205">
        <v>6585.85</v>
      </c>
      <c r="C7" s="205">
        <v>8896.85</v>
      </c>
      <c r="D7" s="219">
        <v>4500.6400000000003</v>
      </c>
      <c r="E7" s="205">
        <v>4373.8599999999997</v>
      </c>
      <c r="F7" s="93">
        <v>3774.52</v>
      </c>
      <c r="G7" s="93">
        <v>6036.33</v>
      </c>
      <c r="H7" s="93">
        <v>6595</v>
      </c>
      <c r="I7" s="93">
        <v>3270</v>
      </c>
      <c r="J7" s="93">
        <v>9294</v>
      </c>
      <c r="K7" s="93">
        <v>2458.5500000000002</v>
      </c>
      <c r="L7" s="93">
        <v>2609</v>
      </c>
      <c r="M7" s="93">
        <v>3518.1000000000008</v>
      </c>
      <c r="N7" s="93">
        <v>3078.9</v>
      </c>
      <c r="O7" s="93"/>
    </row>
    <row r="8" spans="1:15" x14ac:dyDescent="0.25">
      <c r="A8" s="189" t="s">
        <v>37</v>
      </c>
      <c r="B8" s="205">
        <v>6912.65</v>
      </c>
      <c r="C8" s="205">
        <v>8713.86</v>
      </c>
      <c r="D8" s="219">
        <v>8422.11</v>
      </c>
      <c r="E8" s="205">
        <v>10918.79</v>
      </c>
      <c r="F8" s="93">
        <v>6513.8700000000008</v>
      </c>
      <c r="G8" s="93">
        <v>5517.07</v>
      </c>
      <c r="H8" s="93">
        <v>6581</v>
      </c>
      <c r="I8" s="93">
        <v>5552</v>
      </c>
      <c r="J8" s="93">
        <v>6803</v>
      </c>
      <c r="K8" s="93">
        <v>5676.98</v>
      </c>
      <c r="L8" s="93">
        <v>4535</v>
      </c>
      <c r="M8" s="93">
        <v>11988.32</v>
      </c>
      <c r="N8" s="93">
        <v>9679.99</v>
      </c>
      <c r="O8" s="93"/>
    </row>
    <row r="9" spans="1:15" x14ac:dyDescent="0.25">
      <c r="A9" s="189" t="s">
        <v>38</v>
      </c>
      <c r="B9" s="205">
        <v>4144.87</v>
      </c>
      <c r="C9" s="205">
        <v>9816.9700000000012</v>
      </c>
      <c r="D9" s="219">
        <v>7072.32</v>
      </c>
      <c r="E9" s="205">
        <v>7413.5000000000009</v>
      </c>
      <c r="F9" s="93">
        <v>9570.86</v>
      </c>
      <c r="G9" s="93">
        <v>4592.05</v>
      </c>
      <c r="H9" s="93">
        <v>8171</v>
      </c>
      <c r="I9" s="93">
        <v>3918</v>
      </c>
      <c r="J9" s="93">
        <v>4841</v>
      </c>
      <c r="K9" s="93">
        <v>3281.3599999999992</v>
      </c>
      <c r="L9" s="93">
        <v>6781</v>
      </c>
      <c r="M9" s="93">
        <v>7079.6100000000006</v>
      </c>
      <c r="N9" s="93">
        <v>8224.0499999999993</v>
      </c>
      <c r="O9" s="93"/>
    </row>
    <row r="10" spans="1:15" x14ac:dyDescent="0.25">
      <c r="A10" s="189" t="s">
        <v>39</v>
      </c>
      <c r="B10" s="205">
        <v>3290.4300000000003</v>
      </c>
      <c r="C10" s="205">
        <v>2553.9499999999998</v>
      </c>
      <c r="D10" s="219">
        <v>5717.5499999999993</v>
      </c>
      <c r="E10" s="205">
        <v>3917.7200000000003</v>
      </c>
      <c r="F10" s="93">
        <v>2589.75</v>
      </c>
      <c r="G10" s="93">
        <v>2807.12</v>
      </c>
      <c r="H10" s="93">
        <v>3836</v>
      </c>
      <c r="I10" s="93">
        <v>2622</v>
      </c>
      <c r="J10" s="93">
        <v>3248</v>
      </c>
      <c r="K10" s="93">
        <v>2147.2800000000002</v>
      </c>
      <c r="L10" s="93">
        <v>3040</v>
      </c>
      <c r="M10" s="93">
        <v>3490.64</v>
      </c>
      <c r="N10" s="93">
        <v>3511.52</v>
      </c>
      <c r="O10" s="93"/>
    </row>
    <row r="11" spans="1:15" x14ac:dyDescent="0.25">
      <c r="A11" s="192" t="s">
        <v>40</v>
      </c>
      <c r="B11" s="220">
        <v>15597.78</v>
      </c>
      <c r="C11" s="220">
        <v>9668.760000000002</v>
      </c>
      <c r="D11" s="221">
        <v>7263.32</v>
      </c>
      <c r="E11" s="220">
        <v>14427.949999999999</v>
      </c>
      <c r="F11" s="227">
        <v>11121.17</v>
      </c>
      <c r="G11" s="93">
        <v>4851.6099999999997</v>
      </c>
      <c r="H11" s="93">
        <v>10284</v>
      </c>
      <c r="I11" s="93">
        <v>11327</v>
      </c>
      <c r="J11" s="93">
        <v>11843</v>
      </c>
      <c r="K11" s="93">
        <v>7457.74</v>
      </c>
      <c r="L11" s="93">
        <v>23230</v>
      </c>
      <c r="M11" s="93">
        <v>8163.5700000000006</v>
      </c>
      <c r="N11" s="93">
        <v>6740.3899999999994</v>
      </c>
      <c r="O11" s="93"/>
    </row>
    <row r="12" spans="1:15" x14ac:dyDescent="0.25">
      <c r="A12" s="189" t="s">
        <v>42</v>
      </c>
      <c r="B12" s="205">
        <v>12087.760000000002</v>
      </c>
      <c r="C12" s="205">
        <v>9346.5300000000007</v>
      </c>
      <c r="D12" s="219">
        <v>9011.2800000000007</v>
      </c>
      <c r="E12" s="205">
        <v>7472.59</v>
      </c>
      <c r="F12" s="93">
        <v>10207.33</v>
      </c>
      <c r="G12" s="93">
        <v>9725.15</v>
      </c>
      <c r="H12" s="93">
        <v>6442</v>
      </c>
      <c r="I12" s="93">
        <v>6505</v>
      </c>
      <c r="J12" s="93">
        <v>10020</v>
      </c>
      <c r="K12" s="93">
        <v>6966.96</v>
      </c>
      <c r="L12" s="93">
        <v>28459</v>
      </c>
      <c r="M12" s="93">
        <v>10201.359999999999</v>
      </c>
      <c r="N12" s="93">
        <v>3872.7000000000003</v>
      </c>
      <c r="O12" s="93"/>
    </row>
    <row r="13" spans="1:15" x14ac:dyDescent="0.25">
      <c r="A13" s="192" t="s">
        <v>43</v>
      </c>
      <c r="B13" s="220">
        <v>13785.16</v>
      </c>
      <c r="C13" s="220">
        <v>10547.59</v>
      </c>
      <c r="D13" s="221">
        <v>17850.02</v>
      </c>
      <c r="E13" s="220">
        <v>9679.51</v>
      </c>
      <c r="F13" s="227">
        <v>9728.3299999999981</v>
      </c>
      <c r="G13" s="93">
        <v>12053.74</v>
      </c>
      <c r="H13" s="93">
        <v>9016</v>
      </c>
      <c r="I13" s="93">
        <v>7752</v>
      </c>
      <c r="J13" s="93">
        <v>7011</v>
      </c>
      <c r="K13" s="93">
        <v>9560</v>
      </c>
      <c r="L13" s="93">
        <v>16518</v>
      </c>
      <c r="M13" s="93">
        <v>11840.869999999999</v>
      </c>
      <c r="N13" s="93">
        <v>5647.59</v>
      </c>
      <c r="O13" s="93"/>
    </row>
    <row r="14" spans="1:15" x14ac:dyDescent="0.25">
      <c r="A14" s="192" t="s">
        <v>44</v>
      </c>
      <c r="B14" s="220">
        <v>9905.06</v>
      </c>
      <c r="C14" s="220">
        <v>13710.17</v>
      </c>
      <c r="D14" s="221">
        <v>17157.45</v>
      </c>
      <c r="E14" s="220">
        <v>10161.65</v>
      </c>
      <c r="F14" s="227">
        <v>9258.8100000000013</v>
      </c>
      <c r="G14" s="93">
        <v>15632.619999999999</v>
      </c>
      <c r="H14" s="93">
        <v>6771</v>
      </c>
      <c r="I14" s="93">
        <v>8100</v>
      </c>
      <c r="J14" s="93">
        <v>7167</v>
      </c>
      <c r="K14" s="93">
        <v>5412.6299999999965</v>
      </c>
      <c r="L14" s="93">
        <v>13127</v>
      </c>
      <c r="M14" s="93">
        <v>9334.66</v>
      </c>
      <c r="N14" s="93">
        <v>11644.11</v>
      </c>
      <c r="O14" s="93"/>
    </row>
    <row r="15" spans="1:15" x14ac:dyDescent="0.25">
      <c r="A15" s="189" t="s">
        <v>45</v>
      </c>
      <c r="B15" s="205">
        <v>12976.56</v>
      </c>
      <c r="C15" s="205">
        <v>11332.76</v>
      </c>
      <c r="D15" s="219">
        <v>12250.150000000001</v>
      </c>
      <c r="E15" s="205">
        <v>9726.3900000000012</v>
      </c>
      <c r="F15" s="93">
        <v>10152.989999999998</v>
      </c>
      <c r="G15" s="93">
        <v>12320.039999999999</v>
      </c>
      <c r="H15" s="93">
        <v>10019</v>
      </c>
      <c r="I15" s="93">
        <v>8402</v>
      </c>
      <c r="J15" s="93">
        <v>9508</v>
      </c>
      <c r="K15" s="93">
        <v>13222.4</v>
      </c>
      <c r="L15" s="93">
        <v>4789</v>
      </c>
      <c r="M15" s="93">
        <v>7459.88</v>
      </c>
      <c r="N15" s="93">
        <v>12192.299999999997</v>
      </c>
      <c r="O15" s="93"/>
    </row>
    <row r="16" spans="1:15" x14ac:dyDescent="0.25">
      <c r="A16" s="192" t="s">
        <v>46</v>
      </c>
      <c r="B16" s="220">
        <v>12954.08</v>
      </c>
      <c r="C16" s="220">
        <v>13377.810000000001</v>
      </c>
      <c r="D16" s="221">
        <v>12731.34</v>
      </c>
      <c r="E16" s="220">
        <v>7283.9500000000007</v>
      </c>
      <c r="F16" s="227">
        <v>10580.69</v>
      </c>
      <c r="G16" s="93">
        <v>9832.5</v>
      </c>
      <c r="H16" s="93">
        <v>9634</v>
      </c>
      <c r="I16" s="93">
        <v>9283</v>
      </c>
      <c r="J16" s="93">
        <v>7876</v>
      </c>
      <c r="K16" s="93">
        <v>10607.630000000001</v>
      </c>
      <c r="L16" s="93">
        <v>7458</v>
      </c>
      <c r="M16" s="93">
        <v>5685.1100000000006</v>
      </c>
      <c r="N16" s="93">
        <v>6202.8099999999995</v>
      </c>
      <c r="O16" s="93"/>
    </row>
    <row r="17" spans="1:15" x14ac:dyDescent="0.25">
      <c r="A17" s="193" t="s">
        <v>47</v>
      </c>
      <c r="B17" s="222">
        <v>13060.210000000001</v>
      </c>
      <c r="C17" s="222">
        <v>16687.14</v>
      </c>
      <c r="D17" s="223">
        <v>20484.329999999998</v>
      </c>
      <c r="E17" s="222">
        <v>13654.989999999998</v>
      </c>
      <c r="F17" s="228">
        <v>1742.5500000000002</v>
      </c>
      <c r="G17" s="93">
        <v>10107.83</v>
      </c>
      <c r="H17" s="93">
        <v>5303</v>
      </c>
      <c r="I17" s="93">
        <v>6878</v>
      </c>
      <c r="J17" s="93">
        <v>12110</v>
      </c>
      <c r="K17" s="93">
        <v>6543.2699999999995</v>
      </c>
      <c r="L17" s="93">
        <v>34681</v>
      </c>
      <c r="M17" s="93">
        <v>8711.3399999999983</v>
      </c>
      <c r="N17" s="93">
        <v>9282.4399999999987</v>
      </c>
      <c r="O17" s="93"/>
    </row>
    <row r="18" spans="1:15" x14ac:dyDescent="0.25">
      <c r="A18" s="189" t="s">
        <v>48</v>
      </c>
      <c r="B18" s="205">
        <v>9536.08</v>
      </c>
      <c r="C18" s="205">
        <v>9457.86</v>
      </c>
      <c r="D18" s="219">
        <v>12137.609999999999</v>
      </c>
      <c r="E18" s="205">
        <v>7736.27</v>
      </c>
      <c r="F18" s="93">
        <v>9705.6</v>
      </c>
      <c r="G18" s="93">
        <v>8550.57</v>
      </c>
      <c r="H18" s="93">
        <v>7112</v>
      </c>
      <c r="I18" s="93">
        <v>7522</v>
      </c>
      <c r="J18" s="93">
        <v>6362</v>
      </c>
      <c r="K18" s="93">
        <v>7809.62</v>
      </c>
      <c r="L18" s="93">
        <v>7509</v>
      </c>
      <c r="M18" s="93">
        <v>8178.8600000000006</v>
      </c>
      <c r="N18" s="93">
        <v>17481.13</v>
      </c>
      <c r="O18" s="93"/>
    </row>
    <row r="19" spans="1:15" x14ac:dyDescent="0.25">
      <c r="A19" s="192" t="s">
        <v>49</v>
      </c>
      <c r="B19" s="220">
        <v>14329.39</v>
      </c>
      <c r="C19" s="220">
        <v>15012.159999999998</v>
      </c>
      <c r="D19" s="221">
        <v>18562.829999999998</v>
      </c>
      <c r="E19" s="220">
        <v>8922.8599999999988</v>
      </c>
      <c r="F19" s="227">
        <v>13135.62</v>
      </c>
      <c r="G19" s="93">
        <v>11466.08</v>
      </c>
      <c r="H19" s="93">
        <v>17011</v>
      </c>
      <c r="I19" s="93">
        <v>12443</v>
      </c>
      <c r="J19" s="93">
        <v>10254</v>
      </c>
      <c r="K19" s="93">
        <v>9338.619999999999</v>
      </c>
      <c r="L19" s="93">
        <v>19159</v>
      </c>
      <c r="M19" s="93">
        <v>9099.4500000000007</v>
      </c>
      <c r="N19" s="93">
        <v>7865.03</v>
      </c>
      <c r="O19" s="93"/>
    </row>
    <row r="20" spans="1:15" x14ac:dyDescent="0.25">
      <c r="A20" s="193" t="s">
        <v>50</v>
      </c>
      <c r="B20" s="222">
        <v>16131.83</v>
      </c>
      <c r="C20" s="222">
        <v>10244.129999999999</v>
      </c>
      <c r="D20" s="223">
        <v>11037.03</v>
      </c>
      <c r="E20" s="222">
        <v>3240.92</v>
      </c>
      <c r="F20" s="228">
        <v>7354.93</v>
      </c>
      <c r="G20" s="93">
        <v>10374.02</v>
      </c>
      <c r="H20" s="93">
        <v>9449</v>
      </c>
      <c r="I20" s="93">
        <v>15451</v>
      </c>
      <c r="J20" s="93">
        <v>23550</v>
      </c>
      <c r="K20" s="93">
        <v>15821.919999999998</v>
      </c>
      <c r="L20" s="93">
        <v>10575</v>
      </c>
      <c r="M20" s="93">
        <v>16577.05</v>
      </c>
      <c r="N20" s="93">
        <v>13227.45</v>
      </c>
      <c r="O20" s="93"/>
    </row>
    <row r="21" spans="1:15" x14ac:dyDescent="0.25">
      <c r="A21" s="193" t="s">
        <v>51</v>
      </c>
      <c r="B21" s="222">
        <v>12053.37</v>
      </c>
      <c r="C21" s="222">
        <v>22289.010000000002</v>
      </c>
      <c r="D21" s="223">
        <v>15056.43</v>
      </c>
      <c r="E21" s="222">
        <v>13598.260000000002</v>
      </c>
      <c r="F21" s="228">
        <v>14627.24</v>
      </c>
      <c r="G21" s="93">
        <v>13839.91</v>
      </c>
      <c r="H21" s="93">
        <v>0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/>
    </row>
    <row r="22" spans="1:15" x14ac:dyDescent="0.25">
      <c r="A22" s="192" t="s">
        <v>52</v>
      </c>
      <c r="B22" s="220">
        <v>14804.109999999999</v>
      </c>
      <c r="C22" s="220">
        <v>10070.09</v>
      </c>
      <c r="D22" s="221">
        <v>7844.920000000001</v>
      </c>
      <c r="E22" s="220">
        <v>13553.769999999999</v>
      </c>
      <c r="F22" s="227">
        <v>16324.689999999999</v>
      </c>
      <c r="G22" s="93">
        <v>11266.55</v>
      </c>
      <c r="H22" s="93">
        <v>9630</v>
      </c>
      <c r="I22" s="93">
        <v>4315</v>
      </c>
      <c r="J22" s="93">
        <v>8363</v>
      </c>
      <c r="K22" s="93">
        <v>7471.63</v>
      </c>
      <c r="L22" s="93">
        <v>4554</v>
      </c>
      <c r="M22" s="93">
        <v>5119.7599999999993</v>
      </c>
      <c r="N22" s="93">
        <v>8360.24</v>
      </c>
      <c r="O22" s="93"/>
    </row>
    <row r="23" spans="1:15" x14ac:dyDescent="0.25">
      <c r="A23" s="189" t="s">
        <v>53</v>
      </c>
      <c r="B23" s="205">
        <v>10053.61</v>
      </c>
      <c r="C23" s="205">
        <v>4441.9799999999996</v>
      </c>
      <c r="D23" s="219">
        <v>8515.8700000000008</v>
      </c>
      <c r="E23" s="205">
        <v>5614.4</v>
      </c>
      <c r="F23" s="93">
        <v>10198.43</v>
      </c>
      <c r="G23" s="93">
        <v>4221.67</v>
      </c>
      <c r="H23" s="93">
        <v>11538</v>
      </c>
      <c r="I23" s="93">
        <v>4834</v>
      </c>
      <c r="J23" s="93">
        <v>5501</v>
      </c>
      <c r="K23" s="93">
        <v>9538.5999999999985</v>
      </c>
      <c r="L23" s="93">
        <v>6317</v>
      </c>
      <c r="M23" s="93">
        <v>6168.9800000000005</v>
      </c>
      <c r="N23" s="93">
        <v>6497.47</v>
      </c>
      <c r="O23" s="93"/>
    </row>
    <row r="24" spans="1:15" x14ac:dyDescent="0.25">
      <c r="A24" s="189" t="s">
        <v>54</v>
      </c>
      <c r="B24" s="205">
        <v>10908.93</v>
      </c>
      <c r="C24" s="205">
        <v>10894.900000000001</v>
      </c>
      <c r="D24" s="219">
        <v>8035.25</v>
      </c>
      <c r="E24" s="205">
        <v>13082.079999999998</v>
      </c>
      <c r="F24" s="93">
        <v>13606.95</v>
      </c>
      <c r="G24" s="93">
        <v>6218.25</v>
      </c>
      <c r="H24" s="93">
        <v>14032</v>
      </c>
      <c r="I24" s="93">
        <v>9613</v>
      </c>
      <c r="J24" s="93">
        <v>9695</v>
      </c>
      <c r="K24" s="93">
        <v>8111.04</v>
      </c>
      <c r="L24" s="93">
        <v>8959</v>
      </c>
      <c r="M24" s="93">
        <v>9130.0099999999984</v>
      </c>
      <c r="N24" s="93">
        <v>11417.82</v>
      </c>
      <c r="O24" s="93"/>
    </row>
    <row r="25" spans="1:15" x14ac:dyDescent="0.25">
      <c r="C25" s="190"/>
      <c r="E25" s="190"/>
    </row>
    <row r="26" spans="1:15" x14ac:dyDescent="0.25">
      <c r="C26" s="190"/>
    </row>
    <row r="27" spans="1:15" x14ac:dyDescent="0.25">
      <c r="C27" s="190"/>
    </row>
    <row r="28" spans="1:15" x14ac:dyDescent="0.25">
      <c r="C28" s="190"/>
    </row>
    <row r="29" spans="1:15" x14ac:dyDescent="0.25">
      <c r="C29" s="190"/>
    </row>
    <row r="30" spans="1:15" x14ac:dyDescent="0.25">
      <c r="A30" t="s">
        <v>120</v>
      </c>
      <c r="B30" s="191">
        <v>78148.02</v>
      </c>
      <c r="C30" s="191">
        <v>86700.73000000001</v>
      </c>
      <c r="D30" s="191">
        <v>94936.59</v>
      </c>
      <c r="E30" s="191">
        <v>75673.7</v>
      </c>
      <c r="F30" s="191">
        <v>78493.710000000006</v>
      </c>
      <c r="G30" s="191">
        <v>63233.930000000008</v>
      </c>
      <c r="H30" s="191">
        <v>75800</v>
      </c>
      <c r="I30" s="191">
        <v>63130</v>
      </c>
      <c r="J30" s="191">
        <v>82271</v>
      </c>
      <c r="K30" s="191">
        <v>53613.63</v>
      </c>
      <c r="L30" s="191">
        <v>76187</v>
      </c>
      <c r="M30" s="191">
        <v>69372.81</v>
      </c>
      <c r="N30" s="191">
        <v>60563.229999999989</v>
      </c>
      <c r="O30" s="191"/>
    </row>
    <row r="31" spans="1:15" x14ac:dyDescent="0.25">
      <c r="A31" t="s">
        <v>121</v>
      </c>
      <c r="B31" s="191">
        <v>84304.91</v>
      </c>
      <c r="C31" s="191">
        <v>84459.86</v>
      </c>
      <c r="D31" s="191">
        <v>101622.18000000001</v>
      </c>
      <c r="E31" s="191">
        <v>65715.349999999991</v>
      </c>
      <c r="F31" s="191">
        <v>61376.299999999996</v>
      </c>
      <c r="G31" s="191">
        <v>78222.449999999983</v>
      </c>
      <c r="H31" s="191">
        <v>54297</v>
      </c>
      <c r="I31" s="191">
        <v>54442</v>
      </c>
      <c r="J31" s="191">
        <v>60054</v>
      </c>
      <c r="K31" s="191">
        <v>60122.509999999995</v>
      </c>
      <c r="L31" s="191">
        <v>112541</v>
      </c>
      <c r="M31" s="191">
        <v>61412.079999999994</v>
      </c>
      <c r="N31" s="191">
        <v>66323.08</v>
      </c>
      <c r="O31" s="191"/>
    </row>
    <row r="32" spans="1:15" x14ac:dyDescent="0.25">
      <c r="A32" t="s">
        <v>147</v>
      </c>
      <c r="B32" s="191">
        <v>78281.239999999991</v>
      </c>
      <c r="C32" s="191">
        <v>72952.26999999999</v>
      </c>
      <c r="D32" s="191">
        <v>69052.33</v>
      </c>
      <c r="E32" s="191">
        <v>58012.289999999994</v>
      </c>
      <c r="F32" s="191">
        <v>75247.86</v>
      </c>
      <c r="G32" s="191">
        <v>57386.479999999996</v>
      </c>
      <c r="H32" s="191">
        <v>61660</v>
      </c>
      <c r="I32" s="191">
        <v>46656</v>
      </c>
      <c r="J32" s="191">
        <v>57363</v>
      </c>
      <c r="K32" s="191">
        <v>50281.81</v>
      </c>
      <c r="L32" s="191">
        <v>49564</v>
      </c>
      <c r="M32" s="191">
        <v>46095.25</v>
      </c>
      <c r="N32" s="191">
        <v>47368.01</v>
      </c>
      <c r="O32" s="191"/>
    </row>
    <row r="33" spans="3:3" x14ac:dyDescent="0.25">
      <c r="C33" s="190"/>
    </row>
    <row r="34" spans="3:3" x14ac:dyDescent="0.25">
      <c r="C34" s="190"/>
    </row>
    <row r="35" spans="3:3" x14ac:dyDescent="0.25">
      <c r="C35" s="190"/>
    </row>
    <row r="36" spans="3:3" x14ac:dyDescent="0.25">
      <c r="C36" s="190"/>
    </row>
    <row r="37" spans="3:3" x14ac:dyDescent="0.25">
      <c r="C37" s="190"/>
    </row>
    <row r="38" spans="3:3" x14ac:dyDescent="0.25">
      <c r="C38" s="190"/>
    </row>
    <row r="39" spans="3:3" x14ac:dyDescent="0.25">
      <c r="C39" s="190"/>
    </row>
    <row r="40" spans="3:3" x14ac:dyDescent="0.25">
      <c r="C40" s="190"/>
    </row>
    <row r="41" spans="3:3" x14ac:dyDescent="0.25">
      <c r="C41" s="190"/>
    </row>
    <row r="42" spans="3:3" x14ac:dyDescent="0.25">
      <c r="C42" s="190"/>
    </row>
    <row r="43" spans="3:3" x14ac:dyDescent="0.25">
      <c r="C43" s="190"/>
    </row>
    <row r="44" spans="3:3" x14ac:dyDescent="0.25">
      <c r="C44" s="190"/>
    </row>
    <row r="45" spans="3:3" x14ac:dyDescent="0.25">
      <c r="C45" s="190"/>
    </row>
    <row r="46" spans="3:3" x14ac:dyDescent="0.25">
      <c r="C46" s="190"/>
    </row>
    <row r="47" spans="3:3" x14ac:dyDescent="0.25">
      <c r="C47" s="190"/>
    </row>
    <row r="48" spans="3:3" x14ac:dyDescent="0.25">
      <c r="C48" s="19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1ED1-DAEB-467B-8C05-54B21630C3F9}">
  <dimension ref="A1:AP173"/>
  <sheetViews>
    <sheetView showFormulas="1" zoomScale="85" zoomScaleNormal="85" workbookViewId="0">
      <selection activeCell="AC16" sqref="AC16"/>
    </sheetView>
  </sheetViews>
  <sheetFormatPr defaultRowHeight="15" x14ac:dyDescent="0.25"/>
  <cols>
    <col min="1" max="1" width="2" customWidth="1"/>
    <col min="2" max="2" width="8.85546875" bestFit="1" customWidth="1"/>
    <col min="3" max="3" width="11" bestFit="1" customWidth="1"/>
    <col min="4" max="4" width="10.140625" bestFit="1" customWidth="1"/>
    <col min="5" max="5" width="10.85546875" bestFit="1" customWidth="1"/>
    <col min="6" max="11" width="11" bestFit="1" customWidth="1"/>
    <col min="12" max="12" width="10.42578125" bestFit="1" customWidth="1"/>
    <col min="13" max="13" width="5.42578125" bestFit="1" customWidth="1"/>
    <col min="14" max="14" width="5.85546875" bestFit="1" customWidth="1"/>
    <col min="15" max="15" width="10.42578125" bestFit="1" customWidth="1"/>
    <col min="16" max="16" width="5.7109375" bestFit="1" customWidth="1"/>
    <col min="17" max="18" width="11" bestFit="1" customWidth="1"/>
    <col min="19" max="19" width="11" customWidth="1"/>
    <col min="20" max="23" width="6.28515625" customWidth="1"/>
    <col min="24" max="42" width="8.140625" customWidth="1"/>
  </cols>
  <sheetData>
    <row r="1" spans="2:42" x14ac:dyDescent="0.25">
      <c r="Z1">
        <v>5</v>
      </c>
    </row>
    <row r="2" spans="2:42" x14ac:dyDescent="0.25">
      <c r="B2" s="413" t="s">
        <v>124</v>
      </c>
      <c r="C2" s="232" t="s">
        <v>181</v>
      </c>
      <c r="D2" s="232" t="s">
        <v>182</v>
      </c>
      <c r="E2" s="232" t="s">
        <v>213</v>
      </c>
      <c r="F2" s="232" t="s">
        <v>202</v>
      </c>
      <c r="G2" s="232" t="s">
        <v>184</v>
      </c>
      <c r="H2" s="232" t="s">
        <v>214</v>
      </c>
      <c r="I2" s="232" t="s">
        <v>215</v>
      </c>
      <c r="J2" s="232" t="s">
        <v>188</v>
      </c>
      <c r="K2" s="232" t="s">
        <v>205</v>
      </c>
      <c r="L2" s="232" t="s">
        <v>226</v>
      </c>
      <c r="M2" s="232" t="s">
        <v>191</v>
      </c>
      <c r="N2" s="232" t="s">
        <v>192</v>
      </c>
      <c r="O2" s="370" t="s">
        <v>193</v>
      </c>
      <c r="P2" s="370" t="s">
        <v>194</v>
      </c>
      <c r="Q2" s="370" t="s">
        <v>195</v>
      </c>
      <c r="R2" s="370" t="s">
        <v>236</v>
      </c>
      <c r="S2" s="370"/>
      <c r="Z2" s="10" t="s">
        <v>181</v>
      </c>
      <c r="AA2" s="10" t="s">
        <v>182</v>
      </c>
      <c r="AB2" s="10" t="s">
        <v>213</v>
      </c>
      <c r="AC2" s="10" t="s">
        <v>202</v>
      </c>
      <c r="AD2" s="10" t="s">
        <v>184</v>
      </c>
      <c r="AE2" s="10" t="s">
        <v>214</v>
      </c>
      <c r="AF2" s="9" t="s">
        <v>215</v>
      </c>
      <c r="AG2" s="9" t="s">
        <v>188</v>
      </c>
      <c r="AH2" s="9" t="s">
        <v>205</v>
      </c>
      <c r="AI2" s="9" t="s">
        <v>226</v>
      </c>
      <c r="AJ2" s="9" t="s">
        <v>191</v>
      </c>
      <c r="AK2" s="9" t="s">
        <v>192</v>
      </c>
      <c r="AL2" s="365" t="s">
        <v>193</v>
      </c>
      <c r="AM2" s="365" t="s">
        <v>194</v>
      </c>
      <c r="AN2" s="365" t="s">
        <v>195</v>
      </c>
      <c r="AO2" s="365" t="s">
        <v>236</v>
      </c>
      <c r="AP2" s="365" t="s">
        <v>246</v>
      </c>
    </row>
    <row r="3" spans="2:42" x14ac:dyDescent="0.25">
      <c r="B3" s="233" t="s">
        <v>2</v>
      </c>
      <c r="C3" s="309">
        <v>22877.66</v>
      </c>
      <c r="D3" s="309">
        <v>5245.7</v>
      </c>
      <c r="E3" s="309">
        <v>21149.279999999999</v>
      </c>
      <c r="F3" s="309">
        <v>8448.81</v>
      </c>
      <c r="G3" s="309">
        <v>6221.95</v>
      </c>
      <c r="H3" s="309">
        <v>10097.92</v>
      </c>
      <c r="I3" s="309">
        <v>19856.39</v>
      </c>
      <c r="J3" s="309">
        <v>18401.560000000001</v>
      </c>
      <c r="K3" s="309">
        <v>15054.59</v>
      </c>
      <c r="L3" s="310">
        <v>11519.01</v>
      </c>
      <c r="M3" s="310">
        <v>6771</v>
      </c>
      <c r="N3" s="310">
        <v>21580</v>
      </c>
      <c r="O3" s="310">
        <v>7323</v>
      </c>
      <c r="P3" s="310">
        <v>22859.579999999998</v>
      </c>
      <c r="Q3" s="310">
        <v>17600</v>
      </c>
      <c r="R3" s="310">
        <v>16584.07</v>
      </c>
      <c r="S3" s="310"/>
      <c r="Y3" t="s">
        <v>220</v>
      </c>
      <c r="Z3" s="91">
        <v>148554.89000000001</v>
      </c>
      <c r="AA3" s="91">
        <v>169460.43</v>
      </c>
      <c r="AB3" s="91">
        <v>188115.43</v>
      </c>
      <c r="AC3" s="91">
        <v>118637.5</v>
      </c>
      <c r="AD3" s="91">
        <v>166610.31</v>
      </c>
      <c r="AE3" s="91">
        <v>102017.31999999999</v>
      </c>
      <c r="AF3" s="91">
        <v>180182.01999999996</v>
      </c>
      <c r="AG3" s="91">
        <v>207785.14</v>
      </c>
      <c r="AH3" s="91">
        <v>98453</v>
      </c>
      <c r="AI3" s="91">
        <v>194597.99000000005</v>
      </c>
      <c r="AJ3" s="91">
        <v>120030</v>
      </c>
      <c r="AK3" s="91">
        <v>182111</v>
      </c>
      <c r="AL3" s="91">
        <v>130362</v>
      </c>
      <c r="AM3" s="91">
        <v>136270.08000000002</v>
      </c>
      <c r="AN3" s="91">
        <v>198027</v>
      </c>
      <c r="AO3" s="91">
        <v>108261.66</v>
      </c>
      <c r="AP3" s="91"/>
    </row>
    <row r="4" spans="2:42" x14ac:dyDescent="0.25">
      <c r="B4" t="s">
        <v>3</v>
      </c>
      <c r="C4" s="310">
        <v>35677.839999999997</v>
      </c>
      <c r="D4" s="310">
        <v>44773.75</v>
      </c>
      <c r="E4" s="310">
        <v>29031.81</v>
      </c>
      <c r="F4" s="310">
        <v>31432.13</v>
      </c>
      <c r="G4" s="310">
        <v>49110.44</v>
      </c>
      <c r="H4" s="310">
        <v>27090.400000000001</v>
      </c>
      <c r="I4" s="310">
        <v>47913.3</v>
      </c>
      <c r="J4" s="310">
        <v>43487.96</v>
      </c>
      <c r="K4" s="310">
        <v>11210.41</v>
      </c>
      <c r="L4" s="310">
        <v>34626.6</v>
      </c>
      <c r="M4" s="310">
        <v>26686</v>
      </c>
      <c r="N4" s="310">
        <v>25386</v>
      </c>
      <c r="O4" s="310">
        <v>15786</v>
      </c>
      <c r="P4" s="310">
        <v>17640.870000000003</v>
      </c>
      <c r="Q4" s="310">
        <v>3822</v>
      </c>
      <c r="R4" s="310">
        <v>5246.6799999999994</v>
      </c>
      <c r="S4" s="310"/>
      <c r="Y4" t="s">
        <v>141</v>
      </c>
      <c r="Z4" s="91">
        <v>136807.82</v>
      </c>
      <c r="AA4" s="91">
        <v>235989.97</v>
      </c>
      <c r="AB4" s="91">
        <v>178190.66999999998</v>
      </c>
      <c r="AC4" s="91">
        <v>101645.90999999999</v>
      </c>
      <c r="AD4" s="91">
        <v>148803.32</v>
      </c>
      <c r="AE4" s="91">
        <v>160113.28000000003</v>
      </c>
      <c r="AF4" s="91">
        <v>189433.47999999998</v>
      </c>
      <c r="AG4" s="91">
        <v>208156.26</v>
      </c>
      <c r="AH4" s="91">
        <v>87117.7</v>
      </c>
      <c r="AI4" s="91">
        <v>172103.43</v>
      </c>
      <c r="AJ4" s="91">
        <v>240875</v>
      </c>
      <c r="AK4" s="91">
        <v>310162</v>
      </c>
      <c r="AL4" s="91">
        <v>134314</v>
      </c>
      <c r="AM4" s="91">
        <v>138696.92000000001</v>
      </c>
      <c r="AN4" s="91">
        <v>121252.64</v>
      </c>
      <c r="AO4" s="91">
        <v>205661.69</v>
      </c>
      <c r="AP4" s="91"/>
    </row>
    <row r="5" spans="2:42" x14ac:dyDescent="0.25">
      <c r="B5" t="s">
        <v>4</v>
      </c>
      <c r="C5" s="310">
        <v>50383.95</v>
      </c>
      <c r="D5" s="310">
        <v>55064.71</v>
      </c>
      <c r="E5" s="310">
        <v>51414.92</v>
      </c>
      <c r="F5" s="310">
        <v>51307.03</v>
      </c>
      <c r="G5" s="310">
        <v>73311.87</v>
      </c>
      <c r="H5" s="310">
        <v>26202.99</v>
      </c>
      <c r="I5" s="310">
        <v>47097.77</v>
      </c>
      <c r="J5" s="310">
        <v>43875.09</v>
      </c>
      <c r="K5" s="310">
        <v>38201.699999999997</v>
      </c>
      <c r="L5" s="310">
        <v>91893.41</v>
      </c>
      <c r="M5" s="310">
        <v>35797</v>
      </c>
      <c r="N5" s="310">
        <v>54909</v>
      </c>
      <c r="O5" s="310">
        <v>41615</v>
      </c>
      <c r="P5" s="310">
        <v>34720.19</v>
      </c>
      <c r="Q5" s="310">
        <v>41732</v>
      </c>
      <c r="R5" s="310">
        <v>20941.760000000002</v>
      </c>
      <c r="S5" s="310"/>
      <c r="Y5" t="s">
        <v>142</v>
      </c>
      <c r="Z5" s="91">
        <v>124387.89</v>
      </c>
      <c r="AA5" s="91">
        <v>120102.05000000002</v>
      </c>
      <c r="AB5" s="91">
        <v>82257.31</v>
      </c>
      <c r="AC5" s="91">
        <v>131847.02000000002</v>
      </c>
      <c r="AD5" s="91">
        <v>95375.01999999999</v>
      </c>
      <c r="AE5" s="91">
        <v>121744.98999999999</v>
      </c>
      <c r="AF5" s="91">
        <v>109407.52</v>
      </c>
      <c r="AG5" s="91">
        <v>110807.70999999999</v>
      </c>
      <c r="AH5" s="91">
        <v>100839.1</v>
      </c>
      <c r="AI5" s="91">
        <v>88737.72</v>
      </c>
      <c r="AJ5" s="91">
        <v>91245</v>
      </c>
      <c r="AK5" s="91">
        <v>152641</v>
      </c>
      <c r="AL5" s="91">
        <v>81392</v>
      </c>
      <c r="AM5" s="91">
        <v>77423.64</v>
      </c>
      <c r="AN5" s="91">
        <v>126611.15</v>
      </c>
      <c r="AO5" s="91">
        <v>120879.71</v>
      </c>
      <c r="AP5" s="91"/>
    </row>
    <row r="6" spans="2:42" x14ac:dyDescent="0.25">
      <c r="B6" t="s">
        <v>5</v>
      </c>
      <c r="C6" s="310">
        <v>8987.98</v>
      </c>
      <c r="D6" s="310">
        <v>8524.91</v>
      </c>
      <c r="E6" s="310">
        <v>9281.98</v>
      </c>
      <c r="F6" s="310">
        <v>12718.42</v>
      </c>
      <c r="G6" s="310">
        <v>6336.23</v>
      </c>
      <c r="H6" s="310">
        <v>11367.18</v>
      </c>
      <c r="I6" s="310">
        <v>9127.2099999999991</v>
      </c>
      <c r="J6" s="310">
        <v>16124.66</v>
      </c>
      <c r="K6" s="310">
        <v>2231.1</v>
      </c>
      <c r="L6" s="310">
        <v>8485.73</v>
      </c>
      <c r="M6" s="310">
        <v>6163</v>
      </c>
      <c r="N6" s="310">
        <v>12699</v>
      </c>
      <c r="O6" s="310">
        <v>10140</v>
      </c>
      <c r="P6" s="310">
        <v>3778.99</v>
      </c>
      <c r="Q6" s="310">
        <v>4916</v>
      </c>
      <c r="R6" s="310">
        <v>9466.5499999999993</v>
      </c>
      <c r="S6" s="310"/>
      <c r="Y6" t="s">
        <v>217</v>
      </c>
      <c r="Z6" s="91">
        <v>126639.38</v>
      </c>
      <c r="AA6" s="91">
        <v>109809.91</v>
      </c>
      <c r="AB6" s="91">
        <v>98382.180000000008</v>
      </c>
      <c r="AC6" s="91">
        <v>172007.44999999998</v>
      </c>
      <c r="AD6" s="91">
        <v>142132.54</v>
      </c>
      <c r="AE6" s="91">
        <v>161259.68</v>
      </c>
      <c r="AF6" s="91">
        <v>137862.34999999998</v>
      </c>
      <c r="AG6" s="91">
        <v>138962.16</v>
      </c>
      <c r="AH6" s="91">
        <v>131137.27999999997</v>
      </c>
      <c r="AI6" s="91">
        <v>127050.95000000001</v>
      </c>
      <c r="AJ6" s="91">
        <v>159677</v>
      </c>
      <c r="AK6" s="91">
        <v>156498</v>
      </c>
      <c r="AL6" s="91">
        <v>131495.84000000003</v>
      </c>
      <c r="AM6" s="91">
        <v>122385</v>
      </c>
      <c r="AN6" s="91">
        <v>123020.61999999998</v>
      </c>
      <c r="AO6" s="91">
        <v>145705.99000000002</v>
      </c>
      <c r="AP6" s="91"/>
    </row>
    <row r="7" spans="2:42" x14ac:dyDescent="0.25">
      <c r="B7" t="s">
        <v>6</v>
      </c>
      <c r="C7" s="310">
        <v>18150.2</v>
      </c>
      <c r="D7" s="310">
        <v>7186.16</v>
      </c>
      <c r="E7" s="310">
        <v>17215.68</v>
      </c>
      <c r="F7" s="310">
        <v>6815.52</v>
      </c>
      <c r="G7" s="310">
        <v>11389.59</v>
      </c>
      <c r="H7" s="310">
        <v>14250.97</v>
      </c>
      <c r="I7" s="310">
        <v>17761.650000000001</v>
      </c>
      <c r="J7" s="310">
        <v>13647.92</v>
      </c>
      <c r="K7" s="310">
        <v>11419.3</v>
      </c>
      <c r="L7" s="310">
        <v>16976.36</v>
      </c>
      <c r="M7" s="310">
        <v>8101</v>
      </c>
      <c r="N7" s="310">
        <v>8629</v>
      </c>
      <c r="O7" s="310">
        <v>19418</v>
      </c>
      <c r="P7" s="310">
        <v>19564.079999999998</v>
      </c>
      <c r="Q7" s="310">
        <v>20951</v>
      </c>
      <c r="R7" s="310">
        <v>7542.21</v>
      </c>
      <c r="S7" s="310"/>
      <c r="Y7" t="s">
        <v>144</v>
      </c>
      <c r="Z7" s="91">
        <v>113976.20000000001</v>
      </c>
      <c r="AA7" s="91">
        <v>274346.33999999997</v>
      </c>
      <c r="AB7" s="91">
        <v>173569.17</v>
      </c>
      <c r="AC7" s="91">
        <v>178378.12</v>
      </c>
      <c r="AD7" s="91">
        <v>216770.94000000003</v>
      </c>
      <c r="AE7" s="91">
        <v>153715.77000000002</v>
      </c>
      <c r="AF7" s="91">
        <v>192766.16999999998</v>
      </c>
      <c r="AG7" s="91">
        <v>136609.94</v>
      </c>
      <c r="AH7" s="91">
        <v>134253.92000000001</v>
      </c>
      <c r="AI7" s="91">
        <v>148717.28000000003</v>
      </c>
      <c r="AJ7" s="91">
        <v>157454</v>
      </c>
      <c r="AK7" s="91">
        <v>281850</v>
      </c>
      <c r="AL7" s="91">
        <v>116661.69</v>
      </c>
      <c r="AM7" s="91">
        <v>132065</v>
      </c>
      <c r="AN7" s="91">
        <v>210782.49</v>
      </c>
      <c r="AO7" s="91">
        <v>170185.41</v>
      </c>
      <c r="AP7" s="91"/>
    </row>
    <row r="8" spans="2:42" x14ac:dyDescent="0.25">
      <c r="B8" t="s">
        <v>241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>
        <v>3753.2400000000002</v>
      </c>
      <c r="S8" s="310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</row>
    <row r="9" spans="2:42" x14ac:dyDescent="0.25">
      <c r="B9" t="s">
        <v>242</v>
      </c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>
        <v>6599.5099999999993</v>
      </c>
      <c r="S9" s="310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</row>
    <row r="10" spans="2:42" x14ac:dyDescent="0.25">
      <c r="B10" s="241" t="s">
        <v>7</v>
      </c>
      <c r="C10" s="311">
        <v>12477.26</v>
      </c>
      <c r="D10" s="311">
        <v>48665.2</v>
      </c>
      <c r="E10" s="311">
        <v>60021.760000000002</v>
      </c>
      <c r="F10" s="311">
        <v>7915.59</v>
      </c>
      <c r="G10" s="311">
        <v>20240.23</v>
      </c>
      <c r="H10" s="311">
        <v>13007.86</v>
      </c>
      <c r="I10" s="311">
        <v>38425.699999999997</v>
      </c>
      <c r="J10" s="311">
        <v>72247.95</v>
      </c>
      <c r="K10" s="311">
        <v>20335.900000000001</v>
      </c>
      <c r="L10" s="311">
        <v>31096.880000000001</v>
      </c>
      <c r="M10" s="311">
        <v>36512</v>
      </c>
      <c r="N10" s="311">
        <v>58908</v>
      </c>
      <c r="O10" s="409">
        <v>36080</v>
      </c>
      <c r="P10" s="409">
        <v>37706.369999999995</v>
      </c>
      <c r="Q10" s="409">
        <v>109006</v>
      </c>
      <c r="R10" s="409">
        <v>38127.640000000007</v>
      </c>
      <c r="S10" s="310"/>
      <c r="Y10" t="s">
        <v>145</v>
      </c>
      <c r="Z10" s="91">
        <v>81283.53</v>
      </c>
      <c r="AA10" s="91">
        <v>136184.24</v>
      </c>
      <c r="AB10" s="91">
        <v>103339.32</v>
      </c>
      <c r="AC10" s="91">
        <v>112114.53</v>
      </c>
      <c r="AD10" s="91">
        <v>115633.05</v>
      </c>
      <c r="AE10" s="91">
        <v>72109.950000000026</v>
      </c>
      <c r="AF10" s="91">
        <v>116268.94999999995</v>
      </c>
      <c r="AG10" s="91">
        <v>132539.1</v>
      </c>
      <c r="AH10" s="91">
        <v>87304.439999999973</v>
      </c>
      <c r="AI10" s="91">
        <v>444176.33999999997</v>
      </c>
      <c r="AJ10" s="91">
        <v>427844</v>
      </c>
      <c r="AK10" s="91">
        <v>1184855</v>
      </c>
      <c r="AL10" s="91">
        <v>250188.88999999998</v>
      </c>
      <c r="AM10" s="91">
        <v>189002</v>
      </c>
      <c r="AN10" s="91">
        <v>255789.97</v>
      </c>
      <c r="AO10" s="91">
        <v>191231.82</v>
      </c>
      <c r="AP10" s="91"/>
    </row>
    <row r="11" spans="2:42" x14ac:dyDescent="0.25">
      <c r="B11" s="233" t="s">
        <v>8</v>
      </c>
      <c r="C11" s="309">
        <v>11336.3</v>
      </c>
      <c r="D11" s="309">
        <v>19633.93</v>
      </c>
      <c r="E11" s="309">
        <v>14501.4</v>
      </c>
      <c r="F11" s="309">
        <v>10676.29</v>
      </c>
      <c r="G11" s="309">
        <v>12471.5</v>
      </c>
      <c r="H11" s="309">
        <v>8616.58</v>
      </c>
      <c r="I11" s="309">
        <v>21513.34</v>
      </c>
      <c r="J11" s="309">
        <v>21660.58</v>
      </c>
      <c r="K11" s="310">
        <v>10185.56</v>
      </c>
      <c r="L11" s="310">
        <v>7200.48</v>
      </c>
      <c r="M11" s="310">
        <v>13583</v>
      </c>
      <c r="N11" s="310">
        <v>44482</v>
      </c>
      <c r="O11" s="310">
        <v>7552</v>
      </c>
      <c r="P11" s="310">
        <v>13253.779999999999</v>
      </c>
      <c r="Q11" s="310">
        <v>14330.650000000001</v>
      </c>
      <c r="R11" s="310">
        <v>12161.380000000001</v>
      </c>
      <c r="S11" s="310"/>
      <c r="Y11" t="s">
        <v>121</v>
      </c>
      <c r="Z11" s="91">
        <v>129623.42</v>
      </c>
      <c r="AA11" s="91">
        <v>217875.90999999997</v>
      </c>
      <c r="AB11" s="91">
        <v>143541.00999999998</v>
      </c>
      <c r="AC11" s="91">
        <v>172211.83000000002</v>
      </c>
      <c r="AD11" s="91">
        <v>127337.70999999999</v>
      </c>
      <c r="AE11" s="91">
        <v>142113.72000000003</v>
      </c>
      <c r="AF11" s="91">
        <v>115453.67000000007</v>
      </c>
      <c r="AG11" s="91">
        <v>127327.09999999987</v>
      </c>
      <c r="AH11" s="91">
        <v>103709.2800000001</v>
      </c>
      <c r="AI11" s="91">
        <v>564362.74000000011</v>
      </c>
      <c r="AJ11" s="91">
        <v>768934</v>
      </c>
      <c r="AK11" s="91">
        <v>527782</v>
      </c>
      <c r="AL11" s="91">
        <v>255339.27</v>
      </c>
      <c r="AM11" s="91">
        <v>360372</v>
      </c>
      <c r="AN11" s="91">
        <v>324681.74</v>
      </c>
      <c r="AO11" s="91">
        <v>297417.05</v>
      </c>
      <c r="AP11" s="91"/>
    </row>
    <row r="12" spans="2:42" x14ac:dyDescent="0.25">
      <c r="B12" t="s">
        <v>9</v>
      </c>
      <c r="C12" s="310">
        <v>29481.81</v>
      </c>
      <c r="D12" s="310">
        <v>31289.9</v>
      </c>
      <c r="E12" s="310">
        <v>45954.42</v>
      </c>
      <c r="F12" s="310">
        <v>31271.73</v>
      </c>
      <c r="G12" s="310">
        <v>31248.83</v>
      </c>
      <c r="H12" s="310">
        <v>29361.99</v>
      </c>
      <c r="I12" s="310">
        <v>59667.19</v>
      </c>
      <c r="J12" s="310">
        <v>61401.83</v>
      </c>
      <c r="K12" s="310">
        <v>31909.439999999999</v>
      </c>
      <c r="L12" s="310">
        <v>36380.300000000003</v>
      </c>
      <c r="M12" s="310">
        <v>89262</v>
      </c>
      <c r="N12" s="310">
        <v>52428</v>
      </c>
      <c r="O12" s="310">
        <v>21582</v>
      </c>
      <c r="P12" s="310">
        <v>32806.229999999996</v>
      </c>
      <c r="Q12" s="310">
        <v>18483.05</v>
      </c>
      <c r="R12" s="310">
        <v>38034.100000000006</v>
      </c>
      <c r="S12" s="310"/>
      <c r="Y12" t="s">
        <v>218</v>
      </c>
      <c r="Z12" s="91">
        <v>60908.33</v>
      </c>
      <c r="AA12" s="91">
        <v>81176.289999999994</v>
      </c>
      <c r="AB12" s="91">
        <v>158787.35</v>
      </c>
      <c r="AC12" s="91">
        <v>608511.72</v>
      </c>
      <c r="AD12" s="91">
        <v>63314.870000000017</v>
      </c>
      <c r="AE12" s="91">
        <v>114527.54</v>
      </c>
      <c r="AF12" s="91">
        <v>195746.1</v>
      </c>
      <c r="AG12" s="91">
        <v>177356.38000000003</v>
      </c>
      <c r="AH12" s="91">
        <v>147699.01</v>
      </c>
      <c r="AI12" s="91">
        <v>118937.99000000002</v>
      </c>
      <c r="AJ12" s="91">
        <v>285359</v>
      </c>
      <c r="AK12" s="91">
        <v>349023</v>
      </c>
      <c r="AL12" s="91">
        <v>246509.4</v>
      </c>
      <c r="AM12" s="91">
        <v>186757</v>
      </c>
      <c r="AN12" s="91">
        <v>276231.53000000003</v>
      </c>
      <c r="AO12" s="91">
        <v>159165.91</v>
      </c>
      <c r="AP12" s="91"/>
    </row>
    <row r="13" spans="2:42" x14ac:dyDescent="0.25">
      <c r="B13" t="s">
        <v>10</v>
      </c>
      <c r="C13" s="310">
        <v>54847.46</v>
      </c>
      <c r="D13" s="310">
        <v>61760.02</v>
      </c>
      <c r="E13" s="310">
        <v>54132.67</v>
      </c>
      <c r="F13" s="310">
        <v>17697.62</v>
      </c>
      <c r="G13" s="310">
        <v>51603</v>
      </c>
      <c r="H13" s="310">
        <v>38342.839999999997</v>
      </c>
      <c r="I13" s="310">
        <v>51668.83</v>
      </c>
      <c r="J13" s="310">
        <v>53480.19</v>
      </c>
      <c r="K13" s="310">
        <v>0</v>
      </c>
      <c r="L13" s="310">
        <v>38270.639999999999</v>
      </c>
      <c r="M13" s="310">
        <v>63591</v>
      </c>
      <c r="N13" s="310">
        <v>130546</v>
      </c>
      <c r="O13" s="310">
        <v>22199</v>
      </c>
      <c r="P13" s="310">
        <v>55746.09</v>
      </c>
      <c r="Q13" s="310">
        <v>31854.21</v>
      </c>
      <c r="R13" s="310">
        <v>67865.119999999995</v>
      </c>
      <c r="S13" s="310"/>
      <c r="Z13" s="91"/>
    </row>
    <row r="14" spans="2:42" x14ac:dyDescent="0.25">
      <c r="B14" t="s">
        <v>114</v>
      </c>
      <c r="C14" s="310">
        <v>8813.99</v>
      </c>
      <c r="D14" s="310">
        <v>32010.75</v>
      </c>
      <c r="E14" s="310">
        <v>10775.63</v>
      </c>
      <c r="F14" s="310">
        <v>13870.26</v>
      </c>
      <c r="G14" s="310">
        <v>2689.21</v>
      </c>
      <c r="H14" s="310">
        <v>6351.38</v>
      </c>
      <c r="I14" s="310">
        <v>5577.61</v>
      </c>
      <c r="J14" s="310">
        <v>7797.16</v>
      </c>
      <c r="K14" s="310">
        <v>3481.64</v>
      </c>
      <c r="L14" s="310">
        <v>45279.94</v>
      </c>
      <c r="M14" s="310">
        <v>19870</v>
      </c>
      <c r="N14" s="310">
        <v>37166</v>
      </c>
      <c r="O14" s="310">
        <v>37621</v>
      </c>
      <c r="P14" s="310">
        <v>4603.2099999999991</v>
      </c>
      <c r="Q14" s="310">
        <v>4857.829999999999</v>
      </c>
      <c r="R14" s="310">
        <v>7931.34</v>
      </c>
      <c r="S14" s="310"/>
    </row>
    <row r="15" spans="2:42" x14ac:dyDescent="0.25">
      <c r="B15" s="241" t="s">
        <v>12</v>
      </c>
      <c r="C15" s="311">
        <v>32328.26</v>
      </c>
      <c r="D15" s="311">
        <v>91295.37</v>
      </c>
      <c r="E15" s="311">
        <v>52826.55</v>
      </c>
      <c r="F15" s="311">
        <v>28130.01</v>
      </c>
      <c r="G15" s="311">
        <v>50790.78</v>
      </c>
      <c r="H15" s="311">
        <v>77440.490000000005</v>
      </c>
      <c r="I15" s="311">
        <v>51006.51</v>
      </c>
      <c r="J15" s="311">
        <v>63816.5</v>
      </c>
      <c r="K15" s="311">
        <v>41541.06</v>
      </c>
      <c r="L15" s="311">
        <v>44972.07</v>
      </c>
      <c r="M15" s="311">
        <v>54569</v>
      </c>
      <c r="N15" s="311">
        <v>45540</v>
      </c>
      <c r="O15" s="409">
        <v>45360</v>
      </c>
      <c r="P15" s="409">
        <v>32287.610000000004</v>
      </c>
      <c r="Q15" s="409">
        <v>51726.900000000009</v>
      </c>
      <c r="R15" s="409">
        <v>79669.749999999985</v>
      </c>
      <c r="S15" s="310"/>
      <c r="X15" t="s">
        <v>240</v>
      </c>
      <c r="Y15" t="s">
        <v>230</v>
      </c>
      <c r="Z15" t="s">
        <v>222</v>
      </c>
      <c r="AA15" t="s">
        <v>223</v>
      </c>
      <c r="AB15" t="s">
        <v>224</v>
      </c>
      <c r="AC15" t="s">
        <v>239</v>
      </c>
      <c r="AD15" t="s">
        <v>238</v>
      </c>
    </row>
    <row r="16" spans="2:42" x14ac:dyDescent="0.25">
      <c r="B16" t="s">
        <v>13</v>
      </c>
      <c r="C16" s="310">
        <v>36442.25</v>
      </c>
      <c r="D16" s="310">
        <v>39818.370000000003</v>
      </c>
      <c r="E16" s="310">
        <v>11333.44</v>
      </c>
      <c r="F16" s="310">
        <v>17649.75</v>
      </c>
      <c r="G16" s="310">
        <v>23509.94</v>
      </c>
      <c r="H16" s="310">
        <v>16763.45</v>
      </c>
      <c r="I16" s="310">
        <v>23638.31</v>
      </c>
      <c r="J16" s="310">
        <v>26421.040000000001</v>
      </c>
      <c r="K16" s="310">
        <v>15749.11</v>
      </c>
      <c r="L16" s="310">
        <v>22982.19</v>
      </c>
      <c r="M16" s="310">
        <v>25827</v>
      </c>
      <c r="N16" s="310">
        <v>39265</v>
      </c>
      <c r="O16" s="310">
        <v>8534</v>
      </c>
      <c r="P16" s="310">
        <v>11195.4</v>
      </c>
      <c r="Q16" s="310">
        <v>28927.24</v>
      </c>
      <c r="R16" s="310">
        <v>37639.339999999997</v>
      </c>
      <c r="S16" s="310"/>
      <c r="X16" t="s">
        <v>220</v>
      </c>
      <c r="Y16" s="89">
        <v>506130.75</v>
      </c>
      <c r="Z16" s="89">
        <v>387265.13</v>
      </c>
      <c r="AA16" s="89">
        <v>486420.16</v>
      </c>
      <c r="AB16" s="89">
        <v>496738.99000000005</v>
      </c>
      <c r="AC16" s="432">
        <v>464659.08</v>
      </c>
    </row>
    <row r="17" spans="2:29" x14ac:dyDescent="0.25">
      <c r="B17" t="s">
        <v>14</v>
      </c>
      <c r="C17" s="310">
        <v>13677.23</v>
      </c>
      <c r="D17" s="310">
        <v>13279.96</v>
      </c>
      <c r="E17" s="310">
        <v>11886.23</v>
      </c>
      <c r="F17" s="310">
        <v>21747.09</v>
      </c>
      <c r="G17" s="310">
        <v>9590.01</v>
      </c>
      <c r="H17" s="310">
        <v>12776.07</v>
      </c>
      <c r="I17" s="310">
        <v>34944.85</v>
      </c>
      <c r="J17" s="310">
        <v>29122.74</v>
      </c>
      <c r="K17" s="310">
        <v>35494.019999999997</v>
      </c>
      <c r="L17" s="310">
        <v>12119.11</v>
      </c>
      <c r="M17" s="310">
        <v>15711</v>
      </c>
      <c r="N17" s="310">
        <v>11125</v>
      </c>
      <c r="O17" s="310">
        <v>9237</v>
      </c>
      <c r="P17" s="310">
        <v>12865.64</v>
      </c>
      <c r="Q17" s="310">
        <v>20506.439999999999</v>
      </c>
      <c r="R17" s="310">
        <v>26108.89</v>
      </c>
      <c r="S17" s="310"/>
      <c r="X17" t="s">
        <v>141</v>
      </c>
      <c r="Y17" s="89">
        <v>550988.46</v>
      </c>
      <c r="Z17" s="89">
        <v>410562.51</v>
      </c>
      <c r="AA17" s="89">
        <v>484707.44</v>
      </c>
      <c r="AB17" s="89">
        <v>723140.42999999993</v>
      </c>
      <c r="AC17" s="432">
        <v>394263.56000000006</v>
      </c>
    </row>
    <row r="18" spans="2:29" x14ac:dyDescent="0.25">
      <c r="B18" t="s">
        <v>15</v>
      </c>
      <c r="C18" s="310">
        <v>11966.37</v>
      </c>
      <c r="D18" s="310">
        <v>9304.16</v>
      </c>
      <c r="E18" s="310">
        <v>33017.269999999997</v>
      </c>
      <c r="F18" s="310">
        <v>19630.36</v>
      </c>
      <c r="G18" s="310">
        <v>-4139.58</v>
      </c>
      <c r="H18" s="310">
        <v>48731.32</v>
      </c>
      <c r="I18" s="310">
        <v>11653.97</v>
      </c>
      <c r="J18" s="310">
        <v>8672.98</v>
      </c>
      <c r="K18" s="310">
        <v>7325.34</v>
      </c>
      <c r="L18" s="310">
        <v>8957.8799999999992</v>
      </c>
      <c r="M18" s="310">
        <v>7392</v>
      </c>
      <c r="N18" s="310">
        <v>14112</v>
      </c>
      <c r="O18" s="310">
        <v>15046</v>
      </c>
      <c r="P18" s="310">
        <v>9863.1400000000012</v>
      </c>
      <c r="Q18" s="310">
        <v>19707.940000000002</v>
      </c>
      <c r="R18" s="310">
        <v>8293.6299999999992</v>
      </c>
      <c r="S18" s="310"/>
      <c r="X18" t="s">
        <v>142</v>
      </c>
      <c r="Y18" s="89">
        <v>326747.25</v>
      </c>
      <c r="Z18" s="89">
        <v>348967.03</v>
      </c>
      <c r="AA18" s="89">
        <v>321054.32999999996</v>
      </c>
      <c r="AB18" s="89">
        <v>332623.71999999997</v>
      </c>
      <c r="AC18" s="432">
        <v>285426.79000000004</v>
      </c>
    </row>
    <row r="19" spans="2:29" x14ac:dyDescent="0.25">
      <c r="B19" t="s">
        <v>16</v>
      </c>
      <c r="C19" s="310">
        <v>23510.54</v>
      </c>
      <c r="D19" s="310">
        <v>234.58</v>
      </c>
      <c r="E19" s="310">
        <v>18625.259999999998</v>
      </c>
      <c r="F19" s="310">
        <v>31362.959999999999</v>
      </c>
      <c r="G19" s="310">
        <v>32449.279999999999</v>
      </c>
      <c r="H19" s="310">
        <v>13316.93</v>
      </c>
      <c r="I19" s="310">
        <v>9625.89</v>
      </c>
      <c r="J19" s="310">
        <v>16649.11</v>
      </c>
      <c r="K19" s="310">
        <v>12966.48</v>
      </c>
      <c r="L19" s="310">
        <v>14577.56</v>
      </c>
      <c r="M19" s="310">
        <v>11507</v>
      </c>
      <c r="N19" s="310">
        <v>51627</v>
      </c>
      <c r="O19" s="310">
        <v>14498</v>
      </c>
      <c r="P19" s="310">
        <v>5369.36</v>
      </c>
      <c r="Q19" s="310">
        <v>25115.35</v>
      </c>
      <c r="R19" s="310">
        <v>13797.05</v>
      </c>
      <c r="S19" s="310"/>
      <c r="X19" t="s">
        <v>217</v>
      </c>
      <c r="Y19" s="89">
        <v>334831.47000000003</v>
      </c>
      <c r="Z19" s="89">
        <v>475399.67</v>
      </c>
      <c r="AA19" s="89">
        <v>407961.79</v>
      </c>
      <c r="AB19" s="89">
        <v>443225.95</v>
      </c>
      <c r="AC19" s="432">
        <v>376901.46</v>
      </c>
    </row>
    <row r="20" spans="2:29" x14ac:dyDescent="0.25">
      <c r="B20" s="241" t="s">
        <v>17</v>
      </c>
      <c r="C20" s="311">
        <v>38791.5</v>
      </c>
      <c r="D20" s="311">
        <v>57464.98</v>
      </c>
      <c r="E20" s="311">
        <v>7395.11</v>
      </c>
      <c r="F20" s="311">
        <v>41456.86</v>
      </c>
      <c r="G20" s="311">
        <v>33965.370000000003</v>
      </c>
      <c r="H20" s="311">
        <v>30157.22</v>
      </c>
      <c r="I20" s="311">
        <v>29544.5</v>
      </c>
      <c r="J20" s="311">
        <v>29941.84</v>
      </c>
      <c r="K20" s="311">
        <v>29304.15</v>
      </c>
      <c r="L20" s="311">
        <v>30100.98</v>
      </c>
      <c r="M20" s="311">
        <v>30808</v>
      </c>
      <c r="N20" s="311">
        <v>36512</v>
      </c>
      <c r="O20" s="409">
        <v>34077</v>
      </c>
      <c r="P20" s="409">
        <v>38130.1</v>
      </c>
      <c r="Q20" s="409">
        <v>32354.18</v>
      </c>
      <c r="R20" s="409">
        <v>35040.800000000003</v>
      </c>
      <c r="S20" s="310"/>
      <c r="X20" t="s">
        <v>144</v>
      </c>
      <c r="Y20" s="89">
        <v>561891.71</v>
      </c>
      <c r="Z20" s="89">
        <v>548864.83000000007</v>
      </c>
      <c r="AA20" s="89">
        <v>463630.03</v>
      </c>
      <c r="AB20" s="89">
        <v>588021.28</v>
      </c>
      <c r="AC20" s="432">
        <v>459509.18</v>
      </c>
    </row>
    <row r="21" spans="2:29" x14ac:dyDescent="0.25">
      <c r="B21" t="s">
        <v>18</v>
      </c>
      <c r="C21" s="310">
        <v>12039.39</v>
      </c>
      <c r="D21" s="310">
        <v>14549.69</v>
      </c>
      <c r="E21" s="310">
        <v>12330.54</v>
      </c>
      <c r="F21" s="310">
        <v>27848.27</v>
      </c>
      <c r="G21" s="310">
        <v>21190.52</v>
      </c>
      <c r="H21" s="310">
        <v>32192.93</v>
      </c>
      <c r="I21" s="310">
        <v>15888.55</v>
      </c>
      <c r="J21" s="310">
        <v>29348.82</v>
      </c>
      <c r="K21" s="310">
        <v>12810.57</v>
      </c>
      <c r="L21" s="310">
        <v>12452.06</v>
      </c>
      <c r="M21" s="310">
        <v>32126</v>
      </c>
      <c r="N21" s="310">
        <v>23056</v>
      </c>
      <c r="O21" s="310">
        <v>29401.83</v>
      </c>
      <c r="P21" s="310">
        <v>12518</v>
      </c>
      <c r="Q21" s="310">
        <v>30556.469999999998</v>
      </c>
      <c r="R21" s="310">
        <v>30170.14</v>
      </c>
      <c r="S21" s="310"/>
      <c r="T21" s="93"/>
      <c r="U21" s="93"/>
      <c r="V21" s="93"/>
      <c r="W21" s="93"/>
      <c r="X21" t="s">
        <v>145</v>
      </c>
      <c r="Y21" s="89">
        <v>320807.08999999997</v>
      </c>
      <c r="Z21" s="89">
        <v>299857.53000000003</v>
      </c>
      <c r="AA21" s="89">
        <v>336112.48999999993</v>
      </c>
      <c r="AB21" s="89">
        <v>2056875.3399999999</v>
      </c>
      <c r="AC21" s="432">
        <v>694980.86</v>
      </c>
    </row>
    <row r="22" spans="2:29" x14ac:dyDescent="0.25">
      <c r="B22" t="s">
        <v>19</v>
      </c>
      <c r="C22" s="310">
        <v>14305.89</v>
      </c>
      <c r="D22" s="310">
        <v>8637.84</v>
      </c>
      <c r="E22" s="310">
        <v>7634.06</v>
      </c>
      <c r="F22" s="310">
        <v>11121.95</v>
      </c>
      <c r="G22" s="310">
        <v>18372.97</v>
      </c>
      <c r="H22" s="310">
        <v>9243.98</v>
      </c>
      <c r="I22" s="310">
        <v>17738.38</v>
      </c>
      <c r="J22" s="310">
        <v>20975.85</v>
      </c>
      <c r="K22" s="310">
        <v>6417.5</v>
      </c>
      <c r="L22" s="310">
        <v>12126.79</v>
      </c>
      <c r="M22" s="310">
        <v>15647</v>
      </c>
      <c r="N22" s="310">
        <v>29621</v>
      </c>
      <c r="O22" s="310">
        <v>10813.27</v>
      </c>
      <c r="P22" s="310">
        <v>14346</v>
      </c>
      <c r="Q22" s="310">
        <v>16963.23</v>
      </c>
      <c r="R22" s="310">
        <v>12723.56</v>
      </c>
      <c r="S22" s="310"/>
      <c r="T22" s="93"/>
      <c r="U22" s="93"/>
      <c r="V22" s="93"/>
      <c r="W22" s="93"/>
      <c r="X22" t="s">
        <v>121</v>
      </c>
      <c r="Y22" s="89">
        <v>491040.33999999997</v>
      </c>
      <c r="Z22" s="89">
        <v>441663.26000000007</v>
      </c>
      <c r="AA22" s="89">
        <v>346490.05000000005</v>
      </c>
      <c r="AB22" s="89">
        <v>1861078.7400000002</v>
      </c>
      <c r="AC22" s="432">
        <v>940393.01</v>
      </c>
    </row>
    <row r="23" spans="2:29" x14ac:dyDescent="0.25">
      <c r="B23" t="s">
        <v>20</v>
      </c>
      <c r="C23" s="310">
        <v>26642.65</v>
      </c>
      <c r="D23" s="310">
        <v>26714.13</v>
      </c>
      <c r="E23" s="310">
        <v>31101.29</v>
      </c>
      <c r="F23" s="310">
        <v>32227.919999999998</v>
      </c>
      <c r="G23" s="310">
        <v>26836.31</v>
      </c>
      <c r="H23" s="310">
        <v>32972.82</v>
      </c>
      <c r="I23" s="310">
        <v>26824.92</v>
      </c>
      <c r="J23" s="310">
        <v>22861.439999999999</v>
      </c>
      <c r="K23" s="310">
        <v>28568.13</v>
      </c>
      <c r="L23" s="310">
        <v>24986.560000000001</v>
      </c>
      <c r="M23" s="310">
        <v>31680</v>
      </c>
      <c r="N23" s="310">
        <v>33992</v>
      </c>
      <c r="O23" s="310">
        <v>28233.599999999999</v>
      </c>
      <c r="P23" s="310">
        <v>36518</v>
      </c>
      <c r="Q23" s="310">
        <v>29043.14</v>
      </c>
      <c r="R23" s="310">
        <v>34507.660000000003</v>
      </c>
      <c r="S23" s="310"/>
      <c r="T23" s="93"/>
      <c r="U23" s="93"/>
      <c r="V23" s="93"/>
      <c r="W23" s="93"/>
      <c r="X23" t="s">
        <v>218</v>
      </c>
      <c r="Y23" s="89">
        <v>300871.96999999997</v>
      </c>
      <c r="Z23" s="89">
        <v>786354.13</v>
      </c>
      <c r="AA23" s="89">
        <v>520801.49000000005</v>
      </c>
      <c r="AB23" s="89">
        <v>753319.99</v>
      </c>
      <c r="AC23" s="432">
        <v>709497.93</v>
      </c>
    </row>
    <row r="24" spans="2:29" x14ac:dyDescent="0.25">
      <c r="B24" t="s">
        <v>21</v>
      </c>
      <c r="C24" s="310">
        <v>16403.63</v>
      </c>
      <c r="D24" s="310">
        <v>13939.23</v>
      </c>
      <c r="E24" s="310">
        <v>8999.7999999999993</v>
      </c>
      <c r="F24" s="310">
        <v>17105.349999999999</v>
      </c>
      <c r="G24" s="310">
        <v>18613.79</v>
      </c>
      <c r="H24" s="310">
        <v>30122.03</v>
      </c>
      <c r="I24" s="310">
        <v>17972.98</v>
      </c>
      <c r="J24" s="310">
        <v>8362.6200000000008</v>
      </c>
      <c r="K24" s="310">
        <v>10218.700000000001</v>
      </c>
      <c r="L24" s="310">
        <v>21108.49</v>
      </c>
      <c r="M24" s="310">
        <v>12036</v>
      </c>
      <c r="N24" s="310">
        <v>15082</v>
      </c>
      <c r="O24" s="310">
        <v>12866.57</v>
      </c>
      <c r="P24" s="310">
        <v>19180</v>
      </c>
      <c r="Q24" s="310">
        <v>12225.71</v>
      </c>
      <c r="R24" s="310">
        <v>19197.169999999998</v>
      </c>
      <c r="S24" s="310"/>
      <c r="T24" s="93"/>
      <c r="U24" s="93"/>
      <c r="V24" s="93"/>
      <c r="W24" s="93"/>
      <c r="X24" s="93"/>
      <c r="Y24" s="93"/>
      <c r="Z24" s="93"/>
    </row>
    <row r="25" spans="2:29" x14ac:dyDescent="0.25">
      <c r="B25" t="s">
        <v>22</v>
      </c>
      <c r="C25" s="310">
        <v>29217.5</v>
      </c>
      <c r="D25" s="310">
        <v>11585.55</v>
      </c>
      <c r="E25" s="310">
        <v>14881.11</v>
      </c>
      <c r="F25" s="310">
        <v>28627.85</v>
      </c>
      <c r="G25" s="310">
        <v>12059.04</v>
      </c>
      <c r="H25" s="310">
        <v>24193.26</v>
      </c>
      <c r="I25" s="310">
        <v>21878.32</v>
      </c>
      <c r="J25" s="310">
        <v>28423.57</v>
      </c>
      <c r="K25" s="310">
        <v>21615.64</v>
      </c>
      <c r="L25" s="310">
        <v>23109.49</v>
      </c>
      <c r="M25" s="310">
        <v>23654</v>
      </c>
      <c r="N25" s="310">
        <v>20760</v>
      </c>
      <c r="O25" s="310">
        <v>27078.639999999999</v>
      </c>
      <c r="P25" s="310">
        <v>19663</v>
      </c>
      <c r="Q25" s="310">
        <v>15704.62</v>
      </c>
      <c r="R25" s="310">
        <v>18915.849999999999</v>
      </c>
      <c r="S25" s="310"/>
      <c r="T25" s="93"/>
      <c r="U25" s="93"/>
      <c r="V25" s="93"/>
      <c r="W25" s="93"/>
      <c r="X25" s="93"/>
      <c r="Y25" s="93"/>
      <c r="Z25" s="93"/>
    </row>
    <row r="26" spans="2:29" x14ac:dyDescent="0.25">
      <c r="B26" t="s">
        <v>23</v>
      </c>
      <c r="C26" s="310">
        <v>11333.35</v>
      </c>
      <c r="D26" s="310">
        <v>17571.849999999999</v>
      </c>
      <c r="E26" s="310">
        <v>6845.41</v>
      </c>
      <c r="F26" s="310">
        <v>37552.339999999997</v>
      </c>
      <c r="G26" s="310">
        <v>27448.49</v>
      </c>
      <c r="H26" s="310">
        <v>14236.2</v>
      </c>
      <c r="I26" s="310">
        <v>20833.03</v>
      </c>
      <c r="J26" s="310">
        <v>10222.49</v>
      </c>
      <c r="K26" s="310">
        <v>27359.07</v>
      </c>
      <c r="L26" s="310">
        <v>18115.740000000002</v>
      </c>
      <c r="M26" s="310">
        <v>14008</v>
      </c>
      <c r="N26" s="310">
        <v>16842</v>
      </c>
      <c r="O26" s="310">
        <v>7727.89</v>
      </c>
      <c r="P26" s="310">
        <v>3785</v>
      </c>
      <c r="Q26" s="310">
        <v>9158.84</v>
      </c>
      <c r="R26" s="310">
        <v>13187.07</v>
      </c>
      <c r="S26" s="310"/>
      <c r="T26" s="93"/>
      <c r="U26" s="93"/>
      <c r="V26" s="93"/>
      <c r="W26" s="93"/>
      <c r="X26" s="93"/>
      <c r="Y26" s="93"/>
      <c r="Z26" s="93"/>
    </row>
    <row r="27" spans="2:29" x14ac:dyDescent="0.25">
      <c r="B27" s="241" t="s">
        <v>24</v>
      </c>
      <c r="C27" s="311">
        <v>16696.97</v>
      </c>
      <c r="D27" s="311">
        <v>16811.62</v>
      </c>
      <c r="E27" s="311">
        <v>16589.97</v>
      </c>
      <c r="F27" s="311">
        <v>17523.77</v>
      </c>
      <c r="G27" s="311">
        <v>17611.419999999998</v>
      </c>
      <c r="H27" s="311">
        <v>18298.46</v>
      </c>
      <c r="I27" s="311">
        <v>16726.169999999998</v>
      </c>
      <c r="J27" s="311">
        <v>18767.37</v>
      </c>
      <c r="K27" s="311">
        <v>24147.67</v>
      </c>
      <c r="L27" s="311">
        <v>15151.82</v>
      </c>
      <c r="M27" s="311">
        <v>30526</v>
      </c>
      <c r="N27" s="311">
        <v>17145</v>
      </c>
      <c r="O27" s="409">
        <v>15374.04</v>
      </c>
      <c r="P27" s="409">
        <v>16375</v>
      </c>
      <c r="Q27" s="409">
        <v>9368.61</v>
      </c>
      <c r="R27" s="409">
        <v>17004.54</v>
      </c>
      <c r="S27" s="310"/>
      <c r="T27" s="93"/>
      <c r="U27" s="93"/>
      <c r="V27" s="93"/>
      <c r="W27" s="93"/>
      <c r="X27" s="93"/>
      <c r="Y27" s="93"/>
      <c r="Z27" s="93"/>
    </row>
    <row r="28" spans="2:29" x14ac:dyDescent="0.25">
      <c r="B28" t="s">
        <v>25</v>
      </c>
      <c r="C28" s="310">
        <v>5806.01</v>
      </c>
      <c r="D28" s="310">
        <v>68415.98</v>
      </c>
      <c r="E28" s="310">
        <v>15242.82</v>
      </c>
      <c r="F28" s="310">
        <v>41135.199999999997</v>
      </c>
      <c r="G28" s="310">
        <v>44454.559999999998</v>
      </c>
      <c r="H28" s="310">
        <v>50618.26</v>
      </c>
      <c r="I28" s="310">
        <v>31139.1</v>
      </c>
      <c r="J28" s="310">
        <v>34753.910000000003</v>
      </c>
      <c r="K28" s="310">
        <v>27757.86</v>
      </c>
      <c r="L28" s="310">
        <v>25686.38</v>
      </c>
      <c r="M28" s="310">
        <v>20416</v>
      </c>
      <c r="N28" s="310">
        <v>47201</v>
      </c>
      <c r="O28" s="310">
        <v>30716.44</v>
      </c>
      <c r="P28" s="310">
        <v>12444</v>
      </c>
      <c r="Q28" s="310">
        <v>20828.7</v>
      </c>
      <c r="R28" s="310">
        <v>24080.74</v>
      </c>
      <c r="S28" s="310"/>
      <c r="T28" s="93"/>
      <c r="U28" s="93"/>
      <c r="V28" s="93"/>
      <c r="W28" s="93"/>
      <c r="X28" s="93"/>
      <c r="Y28" s="93"/>
      <c r="Z28" s="93"/>
    </row>
    <row r="29" spans="2:29" x14ac:dyDescent="0.25">
      <c r="B29" t="s">
        <v>26</v>
      </c>
      <c r="C29" s="310">
        <v>19073.349999999999</v>
      </c>
      <c r="D29" s="310">
        <v>38173.980000000003</v>
      </c>
      <c r="E29" s="310">
        <v>69686.81</v>
      </c>
      <c r="F29" s="310">
        <v>9470.51</v>
      </c>
      <c r="G29" s="310">
        <v>23480.52</v>
      </c>
      <c r="H29" s="310">
        <v>12388.33</v>
      </c>
      <c r="I29" s="310">
        <v>31006.37</v>
      </c>
      <c r="J29" s="310">
        <v>1353.79</v>
      </c>
      <c r="K29" s="310">
        <v>10591.11</v>
      </c>
      <c r="L29" s="310">
        <v>15307.7</v>
      </c>
      <c r="M29" s="310">
        <v>13561</v>
      </c>
      <c r="N29" s="310">
        <v>32223</v>
      </c>
      <c r="O29" s="310">
        <v>22772.04</v>
      </c>
      <c r="P29" s="310">
        <v>24983</v>
      </c>
      <c r="Q29" s="310">
        <v>35505.08</v>
      </c>
      <c r="R29" s="310">
        <v>26802.92</v>
      </c>
      <c r="S29" s="310"/>
      <c r="T29" s="93"/>
      <c r="U29" s="93"/>
      <c r="V29" s="93"/>
      <c r="W29" s="93"/>
      <c r="X29" s="93"/>
      <c r="Y29" s="93"/>
      <c r="Z29" s="93"/>
    </row>
    <row r="30" spans="2:29" x14ac:dyDescent="0.25">
      <c r="B30" t="s">
        <v>27</v>
      </c>
      <c r="C30" s="310">
        <v>21871.7</v>
      </c>
      <c r="D30" s="310">
        <v>14728.68</v>
      </c>
      <c r="E30" s="310">
        <v>21915.58</v>
      </c>
      <c r="F30" s="310">
        <v>28631.77</v>
      </c>
      <c r="G30" s="310">
        <v>12636.62</v>
      </c>
      <c r="H30" s="310">
        <v>15768.75</v>
      </c>
      <c r="I30" s="310">
        <v>25154.82</v>
      </c>
      <c r="J30" s="310">
        <v>15567.34</v>
      </c>
      <c r="K30" s="310">
        <v>2785.18</v>
      </c>
      <c r="L30" s="310">
        <v>7852.02</v>
      </c>
      <c r="M30" s="310">
        <v>23863</v>
      </c>
      <c r="N30" s="310">
        <v>20135</v>
      </c>
      <c r="O30" s="310">
        <v>13566.99</v>
      </c>
      <c r="P30" s="310">
        <v>14098</v>
      </c>
      <c r="Q30" s="310">
        <v>27736.68</v>
      </c>
      <c r="R30" s="310">
        <v>14584.51</v>
      </c>
      <c r="S30" s="310"/>
      <c r="T30" s="93"/>
      <c r="U30" s="93"/>
      <c r="V30" s="93"/>
      <c r="W30" s="93"/>
      <c r="X30" s="93"/>
      <c r="Y30" s="93"/>
      <c r="Z30" s="93"/>
    </row>
    <row r="31" spans="2:29" x14ac:dyDescent="0.25">
      <c r="B31" t="s">
        <v>28</v>
      </c>
      <c r="C31" s="310">
        <v>24799.84</v>
      </c>
      <c r="D31" s="310">
        <v>34217.660000000003</v>
      </c>
      <c r="E31" s="310">
        <v>18553.43</v>
      </c>
      <c r="F31" s="310">
        <v>42164.04</v>
      </c>
      <c r="G31" s="310">
        <v>41467.22</v>
      </c>
      <c r="H31" s="310">
        <v>7846.25</v>
      </c>
      <c r="I31" s="310">
        <v>21109.45</v>
      </c>
      <c r="J31" s="310">
        <v>10924.48</v>
      </c>
      <c r="K31" s="310">
        <v>40009.199999999997</v>
      </c>
      <c r="L31" s="310">
        <v>18720.27</v>
      </c>
      <c r="M31" s="310">
        <v>37439</v>
      </c>
      <c r="N31" s="310">
        <v>22946</v>
      </c>
      <c r="O31" s="310">
        <v>6222.61</v>
      </c>
      <c r="P31" s="310">
        <v>15796</v>
      </c>
      <c r="Q31" s="310">
        <v>31943.93</v>
      </c>
      <c r="R31" s="310">
        <v>23167.86</v>
      </c>
      <c r="S31" s="310"/>
      <c r="T31" s="93"/>
      <c r="U31" s="93"/>
      <c r="V31" s="93"/>
      <c r="W31" s="93"/>
      <c r="X31" s="93"/>
      <c r="Y31" s="93"/>
      <c r="Z31" s="93"/>
    </row>
    <row r="32" spans="2:29" x14ac:dyDescent="0.25">
      <c r="B32" t="s">
        <v>29</v>
      </c>
      <c r="C32" s="310">
        <v>20481.560000000001</v>
      </c>
      <c r="D32" s="310">
        <v>31623.86</v>
      </c>
      <c r="E32" s="310">
        <v>18082.900000000001</v>
      </c>
      <c r="F32" s="310">
        <v>17924.37</v>
      </c>
      <c r="G32" s="310">
        <v>19592.580000000002</v>
      </c>
      <c r="H32" s="310">
        <v>15863.36</v>
      </c>
      <c r="I32" s="310">
        <v>13574.89</v>
      </c>
      <c r="J32" s="310">
        <v>11542.07</v>
      </c>
      <c r="K32" s="310">
        <v>10218.4</v>
      </c>
      <c r="L32" s="310">
        <v>20226.740000000002</v>
      </c>
      <c r="M32" s="310">
        <v>13130</v>
      </c>
      <c r="N32" s="310">
        <v>56098</v>
      </c>
      <c r="O32" s="310">
        <v>5165.88</v>
      </c>
      <c r="P32" s="310">
        <v>27844</v>
      </c>
      <c r="Q32" s="310">
        <v>21672.39</v>
      </c>
      <c r="R32" s="310">
        <v>20798.46</v>
      </c>
      <c r="S32" s="310"/>
      <c r="T32" s="93"/>
      <c r="U32" s="93"/>
      <c r="V32" s="93"/>
      <c r="W32" s="93"/>
      <c r="X32" s="93"/>
      <c r="Y32" s="93"/>
      <c r="Z32" s="93"/>
    </row>
    <row r="33" spans="2:26" x14ac:dyDescent="0.25">
      <c r="B33" t="s">
        <v>30</v>
      </c>
      <c r="C33" s="310">
        <v>14216.32</v>
      </c>
      <c r="D33" s="310">
        <v>11203.59</v>
      </c>
      <c r="E33" s="310">
        <v>9463.7800000000007</v>
      </c>
      <c r="F33" s="310">
        <v>7237.19</v>
      </c>
      <c r="G33" s="310">
        <v>7764.89</v>
      </c>
      <c r="H33" s="310">
        <v>7997.97</v>
      </c>
      <c r="I33" s="310">
        <v>12163.21</v>
      </c>
      <c r="J33" s="310">
        <v>9838.85</v>
      </c>
      <c r="K33" s="310">
        <v>8814.31</v>
      </c>
      <c r="L33" s="310">
        <v>10183.57</v>
      </c>
      <c r="M33" s="310">
        <v>9958</v>
      </c>
      <c r="N33" s="310">
        <v>34791</v>
      </c>
      <c r="O33" s="310">
        <v>9826.81</v>
      </c>
      <c r="P33" s="310">
        <v>5058</v>
      </c>
      <c r="Q33" s="310">
        <v>7557.73</v>
      </c>
      <c r="R33" s="310">
        <v>20671.66</v>
      </c>
      <c r="S33" s="310"/>
      <c r="T33" s="93"/>
      <c r="U33" s="93"/>
      <c r="V33" s="93"/>
      <c r="W33" s="93"/>
      <c r="X33" s="93"/>
      <c r="Y33" s="93"/>
      <c r="Z33" s="93"/>
    </row>
    <row r="34" spans="2:26" x14ac:dyDescent="0.25">
      <c r="B34" t="s">
        <v>31</v>
      </c>
      <c r="C34" s="310">
        <v>881.99</v>
      </c>
      <c r="D34" s="310">
        <v>47231.58</v>
      </c>
      <c r="E34" s="310">
        <v>9003.2000000000007</v>
      </c>
      <c r="F34" s="310">
        <v>19631.37</v>
      </c>
      <c r="G34" s="310">
        <v>16677.830000000002</v>
      </c>
      <c r="H34" s="310">
        <v>26413.96</v>
      </c>
      <c r="I34" s="310">
        <v>28533.39</v>
      </c>
      <c r="J34" s="310">
        <v>33833.39</v>
      </c>
      <c r="K34" s="310">
        <v>20078.91</v>
      </c>
      <c r="L34" s="310">
        <v>20324.97</v>
      </c>
      <c r="M34" s="310">
        <v>18956</v>
      </c>
      <c r="N34" s="310">
        <v>43242</v>
      </c>
      <c r="O34" s="310">
        <v>22895.47</v>
      </c>
      <c r="P34" s="310">
        <v>14226</v>
      </c>
      <c r="Q34" s="310">
        <v>15196.779999999999</v>
      </c>
      <c r="R34" s="310">
        <v>29414.719999999998</v>
      </c>
      <c r="S34" s="310"/>
    </row>
    <row r="35" spans="2:26" x14ac:dyDescent="0.25">
      <c r="B35" t="s">
        <v>32</v>
      </c>
      <c r="C35" s="310">
        <v>6845.43</v>
      </c>
      <c r="D35" s="310">
        <v>28751.01</v>
      </c>
      <c r="E35" s="310">
        <v>11620.65</v>
      </c>
      <c r="F35" s="310">
        <v>12183.67</v>
      </c>
      <c r="G35" s="310">
        <v>50696.72</v>
      </c>
      <c r="H35" s="310">
        <v>16818.89</v>
      </c>
      <c r="I35" s="310">
        <v>30084.94</v>
      </c>
      <c r="J35" s="310">
        <v>18796.11</v>
      </c>
      <c r="K35" s="311">
        <v>13998.95</v>
      </c>
      <c r="L35" s="311">
        <v>30415.63</v>
      </c>
      <c r="M35" s="311">
        <v>20131</v>
      </c>
      <c r="N35" s="311">
        <v>25214</v>
      </c>
      <c r="O35" s="409">
        <v>5495.45</v>
      </c>
      <c r="P35" s="409">
        <v>17616</v>
      </c>
      <c r="Q35" s="409">
        <v>50341.2</v>
      </c>
      <c r="R35" s="409">
        <v>10664.54</v>
      </c>
      <c r="S35" s="310"/>
    </row>
    <row r="36" spans="2:26" x14ac:dyDescent="0.25">
      <c r="B36" s="233" t="s">
        <v>34</v>
      </c>
      <c r="C36" s="309">
        <v>5294.7199999999993</v>
      </c>
      <c r="D36" s="309">
        <v>9864.07</v>
      </c>
      <c r="E36" s="309">
        <v>13632.249999999995</v>
      </c>
      <c r="F36" s="309">
        <v>16177.260000000009</v>
      </c>
      <c r="G36" s="309">
        <v>9139.5800000000017</v>
      </c>
      <c r="H36" s="309">
        <v>8808.8199999999924</v>
      </c>
      <c r="I36" s="309">
        <v>7162.7599999999948</v>
      </c>
      <c r="J36" s="309">
        <v>22527.590000000011</v>
      </c>
      <c r="K36" s="310">
        <v>-3186.5099999999948</v>
      </c>
      <c r="L36" s="310">
        <v>17907.64</v>
      </c>
      <c r="M36" s="310">
        <v>6546</v>
      </c>
      <c r="N36" s="310">
        <v>20871</v>
      </c>
      <c r="O36" s="310">
        <v>39843.910000000003</v>
      </c>
      <c r="P36" s="310">
        <v>25575</v>
      </c>
      <c r="Q36" s="310">
        <v>42349.939999999995</v>
      </c>
      <c r="R36" s="310">
        <v>30208.239999999998</v>
      </c>
      <c r="S36" s="310"/>
    </row>
    <row r="37" spans="2:26" x14ac:dyDescent="0.25">
      <c r="B37" t="s">
        <v>35</v>
      </c>
      <c r="C37" s="310">
        <v>6587.8799999999974</v>
      </c>
      <c r="D37" s="310">
        <v>17819.210000000003</v>
      </c>
      <c r="E37" s="310">
        <v>1336.2699999999968</v>
      </c>
      <c r="F37" s="310">
        <v>12200.310000000001</v>
      </c>
      <c r="G37" s="310">
        <v>14924.010000000002</v>
      </c>
      <c r="H37" s="310">
        <v>12274.950000000012</v>
      </c>
      <c r="I37" s="310">
        <v>15239.179999999971</v>
      </c>
      <c r="J37" s="310">
        <v>11601.200000000012</v>
      </c>
      <c r="K37" s="312">
        <v>17383.899999999994</v>
      </c>
      <c r="L37" s="310">
        <v>156556.82999999996</v>
      </c>
      <c r="M37" s="310">
        <v>64452</v>
      </c>
      <c r="N37" s="310">
        <v>296277</v>
      </c>
      <c r="O37" s="310">
        <v>29081.350000000006</v>
      </c>
      <c r="P37" s="310">
        <v>21325</v>
      </c>
      <c r="Q37" s="310">
        <v>65452.71</v>
      </c>
      <c r="R37" s="310">
        <v>-35796.839999999982</v>
      </c>
      <c r="S37" s="310"/>
    </row>
    <row r="38" spans="2:26" x14ac:dyDescent="0.25">
      <c r="B38" t="s">
        <v>36</v>
      </c>
      <c r="C38" s="310">
        <v>14045.09</v>
      </c>
      <c r="D38" s="310">
        <v>20393.539999999997</v>
      </c>
      <c r="E38" s="310">
        <v>20007.769999999997</v>
      </c>
      <c r="F38" s="310">
        <v>13716.630000000005</v>
      </c>
      <c r="G38" s="310">
        <v>5668.9600000000064</v>
      </c>
      <c r="H38" s="310">
        <v>14972.860000000015</v>
      </c>
      <c r="I38" s="310">
        <v>26280.929999999964</v>
      </c>
      <c r="J38" s="310">
        <v>23738.630000000019</v>
      </c>
      <c r="K38" s="310">
        <v>10056.839999999997</v>
      </c>
      <c r="L38" s="310">
        <v>49052.280000000006</v>
      </c>
      <c r="M38" s="310">
        <v>96793</v>
      </c>
      <c r="N38" s="310">
        <v>48597</v>
      </c>
      <c r="O38" s="310">
        <v>25721.959999999992</v>
      </c>
      <c r="P38" s="310">
        <v>15522</v>
      </c>
      <c r="Q38" s="310">
        <v>47277.83</v>
      </c>
      <c r="R38" s="310">
        <v>52147.94</v>
      </c>
      <c r="S38" s="310"/>
    </row>
    <row r="39" spans="2:26" x14ac:dyDescent="0.25">
      <c r="B39" t="s">
        <v>37</v>
      </c>
      <c r="C39" s="310">
        <v>4878.0200000000004</v>
      </c>
      <c r="D39" s="310">
        <v>10295.15</v>
      </c>
      <c r="E39" s="310">
        <v>11801.859999999995</v>
      </c>
      <c r="F39" s="310">
        <v>13925.110000000004</v>
      </c>
      <c r="G39" s="310">
        <v>11796.830000000002</v>
      </c>
      <c r="H39" s="310">
        <v>1650.0599999999904</v>
      </c>
      <c r="I39" s="310">
        <v>8903.3500000000058</v>
      </c>
      <c r="J39" s="310">
        <v>19264.43</v>
      </c>
      <c r="K39" s="310">
        <v>17856.179999999949</v>
      </c>
      <c r="L39" s="310">
        <v>91682.700000000012</v>
      </c>
      <c r="M39" s="310">
        <v>20262</v>
      </c>
      <c r="N39" s="310">
        <v>132028</v>
      </c>
      <c r="O39" s="310">
        <v>43153.18</v>
      </c>
      <c r="P39" s="310">
        <v>28161</v>
      </c>
      <c r="Q39" s="310">
        <v>16433.099999999999</v>
      </c>
      <c r="R39" s="310">
        <v>33300.75</v>
      </c>
      <c r="S39" s="310"/>
    </row>
    <row r="40" spans="2:26" x14ac:dyDescent="0.25">
      <c r="B40" t="s">
        <v>38</v>
      </c>
      <c r="C40" s="310">
        <v>1717.7299999999996</v>
      </c>
      <c r="D40" s="310">
        <v>13572.300000000003</v>
      </c>
      <c r="E40" s="310">
        <v>4363.2599999999984</v>
      </c>
      <c r="F40" s="310">
        <v>8342.369999999999</v>
      </c>
      <c r="G40" s="310">
        <v>7415.369999999999</v>
      </c>
      <c r="H40" s="310">
        <v>10139.970000000008</v>
      </c>
      <c r="I40" s="310">
        <v>7769.1399999999994</v>
      </c>
      <c r="J40" s="310">
        <v>19348.759999999987</v>
      </c>
      <c r="K40" s="310">
        <v>7852.8700000000099</v>
      </c>
      <c r="L40" s="310">
        <v>33113.549999999996</v>
      </c>
      <c r="M40" s="310">
        <v>85419</v>
      </c>
      <c r="N40" s="310">
        <v>136395</v>
      </c>
      <c r="O40" s="310">
        <v>40641.619999999995</v>
      </c>
      <c r="P40" s="310">
        <v>24668</v>
      </c>
      <c r="Q40" s="310">
        <v>29600.649999999994</v>
      </c>
      <c r="R40" s="310">
        <v>23362.15</v>
      </c>
      <c r="S40" s="310"/>
    </row>
    <row r="41" spans="2:26" x14ac:dyDescent="0.25">
      <c r="B41" t="s">
        <v>39</v>
      </c>
      <c r="C41" s="310">
        <v>7439.89</v>
      </c>
      <c r="D41" s="310">
        <v>8112.45</v>
      </c>
      <c r="E41" s="310">
        <v>3168.380000000001</v>
      </c>
      <c r="F41" s="310">
        <v>12459.839999999997</v>
      </c>
      <c r="G41" s="310">
        <v>9538.260000000002</v>
      </c>
      <c r="H41" s="310">
        <v>5188.93</v>
      </c>
      <c r="I41" s="310">
        <v>12040.659999999996</v>
      </c>
      <c r="J41" s="310">
        <v>4460.3699999999953</v>
      </c>
      <c r="K41" s="310">
        <v>9581.2900000000009</v>
      </c>
      <c r="L41" s="310">
        <v>21569.360000000001</v>
      </c>
      <c r="M41" s="310">
        <v>4963</v>
      </c>
      <c r="N41" s="310">
        <v>31197</v>
      </c>
      <c r="O41" s="310">
        <v>20774.810000000001</v>
      </c>
      <c r="P41" s="310">
        <v>23796</v>
      </c>
      <c r="Q41" s="310">
        <v>24228.47</v>
      </c>
      <c r="R41" s="310">
        <v>-143.70999999999867</v>
      </c>
      <c r="S41" s="310"/>
    </row>
    <row r="42" spans="2:26" x14ac:dyDescent="0.25">
      <c r="B42" t="s">
        <v>33</v>
      </c>
      <c r="C42" s="310">
        <v>10707.27</v>
      </c>
      <c r="D42" s="310">
        <v>25385.780000000002</v>
      </c>
      <c r="E42" s="310">
        <v>36579.310000000012</v>
      </c>
      <c r="F42" s="310">
        <v>13707.089999999997</v>
      </c>
      <c r="G42" s="310">
        <v>23356.819999999992</v>
      </c>
      <c r="H42" s="310">
        <v>14890.830000000002</v>
      </c>
      <c r="I42" s="310">
        <v>13150.200000000012</v>
      </c>
      <c r="J42" s="310">
        <v>15111.070000000007</v>
      </c>
      <c r="K42" s="310">
        <v>14794.5</v>
      </c>
      <c r="L42" s="310">
        <v>27913</v>
      </c>
      <c r="M42" s="310">
        <v>63234</v>
      </c>
      <c r="N42" s="310">
        <v>120154</v>
      </c>
      <c r="O42" s="310">
        <v>24463.52</v>
      </c>
      <c r="P42" s="310">
        <v>26150</v>
      </c>
      <c r="Q42" s="310">
        <v>21828.1</v>
      </c>
      <c r="R42" s="310">
        <v>22205.370000000003</v>
      </c>
      <c r="S42" s="310"/>
    </row>
    <row r="43" spans="2:26" x14ac:dyDescent="0.25">
      <c r="B43" s="241" t="s">
        <v>40</v>
      </c>
      <c r="C43" s="311">
        <v>30612.93</v>
      </c>
      <c r="D43" s="311">
        <v>30741.739999999991</v>
      </c>
      <c r="E43" s="311">
        <v>12450.220000000008</v>
      </c>
      <c r="F43" s="311">
        <v>21585.919999999998</v>
      </c>
      <c r="G43" s="311">
        <v>33793.219999999987</v>
      </c>
      <c r="H43" s="311">
        <v>4183.5300000000134</v>
      </c>
      <c r="I43" s="311">
        <v>25722.73000000001</v>
      </c>
      <c r="J43" s="311">
        <v>16487.049999999988</v>
      </c>
      <c r="K43" s="311">
        <v>12965.370000000024</v>
      </c>
      <c r="L43" s="311">
        <v>46380.98000000001</v>
      </c>
      <c r="M43" s="311">
        <v>86175</v>
      </c>
      <c r="N43" s="311">
        <v>399336</v>
      </c>
      <c r="O43" s="409">
        <v>26508.540000000005</v>
      </c>
      <c r="P43" s="409">
        <v>23805</v>
      </c>
      <c r="Q43" s="409">
        <v>8619.17</v>
      </c>
      <c r="R43" s="409">
        <v>65947.92</v>
      </c>
      <c r="S43" s="310"/>
    </row>
    <row r="44" spans="2:26" x14ac:dyDescent="0.25">
      <c r="B44" t="s">
        <v>41</v>
      </c>
      <c r="C44" s="310">
        <v>19262.179999999997</v>
      </c>
      <c r="D44" s="310">
        <v>31188.600000000002</v>
      </c>
      <c r="E44" s="310">
        <v>21415.109999999986</v>
      </c>
      <c r="F44" s="310">
        <v>11487.820000000007</v>
      </c>
      <c r="G44" s="310">
        <v>25995.240000000005</v>
      </c>
      <c r="H44" s="310">
        <v>13517.560000000012</v>
      </c>
      <c r="I44" s="310">
        <v>19973.700000000012</v>
      </c>
      <c r="J44" s="310">
        <v>15848.109999999986</v>
      </c>
      <c r="K44" s="310">
        <v>5376.7900000000081</v>
      </c>
      <c r="L44" s="310">
        <v>207018.89</v>
      </c>
      <c r="M44" s="310">
        <v>184900</v>
      </c>
      <c r="N44" s="310">
        <v>135862</v>
      </c>
      <c r="O44" s="310">
        <v>26321.709999999995</v>
      </c>
      <c r="P44" s="310">
        <v>16075</v>
      </c>
      <c r="Q44" s="310">
        <v>57626.880000000005</v>
      </c>
      <c r="R44" s="310">
        <v>43159.040000000001</v>
      </c>
      <c r="S44" s="310"/>
      <c r="T44" s="310"/>
      <c r="U44" s="310"/>
      <c r="V44" s="310"/>
      <c r="W44" s="310"/>
      <c r="X44" s="310"/>
      <c r="Y44" s="93"/>
      <c r="Z44" s="93"/>
    </row>
    <row r="45" spans="2:26" x14ac:dyDescent="0.25">
      <c r="B45" t="s">
        <v>42</v>
      </c>
      <c r="C45" s="310">
        <v>12539.82</v>
      </c>
      <c r="D45" s="310">
        <v>15088.900000000001</v>
      </c>
      <c r="E45" s="310">
        <v>11098.059999999998</v>
      </c>
      <c r="F45" s="310">
        <v>11055.439999999995</v>
      </c>
      <c r="G45" s="310">
        <v>17875.889999999992</v>
      </c>
      <c r="H45" s="310">
        <v>13010.490000000005</v>
      </c>
      <c r="I45" s="310">
        <v>12604.280000000013</v>
      </c>
      <c r="J45" s="310">
        <v>8147.4700000000012</v>
      </c>
      <c r="K45" s="310">
        <v>16860.739999999991</v>
      </c>
      <c r="L45" s="310">
        <v>35764.890000000007</v>
      </c>
      <c r="M45" s="310">
        <v>17078</v>
      </c>
      <c r="N45" s="310">
        <v>99374</v>
      </c>
      <c r="O45" s="310">
        <v>56016.2</v>
      </c>
      <c r="P45" s="310">
        <v>23665</v>
      </c>
      <c r="Q45" s="310">
        <v>49981.5</v>
      </c>
      <c r="R45" s="310">
        <v>41028.97</v>
      </c>
      <c r="S45" s="310"/>
      <c r="T45" s="310"/>
      <c r="U45" s="310"/>
      <c r="V45" s="310"/>
      <c r="W45" s="310"/>
      <c r="X45" s="310"/>
      <c r="Y45" s="93"/>
      <c r="Z45" s="93"/>
    </row>
    <row r="46" spans="2:26" x14ac:dyDescent="0.25">
      <c r="B46" t="s">
        <v>43</v>
      </c>
      <c r="C46" s="310">
        <v>16078.939999999999</v>
      </c>
      <c r="D46" s="310">
        <v>68126.76999999999</v>
      </c>
      <c r="E46" s="310">
        <v>14456.599999999991</v>
      </c>
      <c r="F46" s="310">
        <v>51423.050000000032</v>
      </c>
      <c r="G46" s="310">
        <v>1568.5099999999802</v>
      </c>
      <c r="H46" s="310">
        <v>30985.950000000012</v>
      </c>
      <c r="I46" s="310">
        <v>17215.27999999997</v>
      </c>
      <c r="J46" s="310">
        <v>26905.669999999984</v>
      </c>
      <c r="K46" s="310">
        <v>8402.1200000000244</v>
      </c>
      <c r="L46" s="310">
        <v>39996.17000000002</v>
      </c>
      <c r="M46" s="310">
        <v>35565</v>
      </c>
      <c r="N46" s="310">
        <v>46754</v>
      </c>
      <c r="O46" s="310">
        <v>24382.509999999995</v>
      </c>
      <c r="P46" s="310">
        <v>28425</v>
      </c>
      <c r="Q46" s="310">
        <v>38459.29</v>
      </c>
      <c r="R46" s="310">
        <v>62317.96</v>
      </c>
      <c r="S46" s="310"/>
      <c r="T46" s="310"/>
      <c r="U46" s="310"/>
      <c r="V46" s="310"/>
      <c r="W46" s="310"/>
      <c r="X46" s="310"/>
      <c r="Y46" s="93"/>
      <c r="Z46" s="93"/>
    </row>
    <row r="47" spans="2:26" x14ac:dyDescent="0.25">
      <c r="B47" t="s">
        <v>44</v>
      </c>
      <c r="C47" s="310">
        <v>-4055.0599999999995</v>
      </c>
      <c r="D47" s="310">
        <v>26372.879999999997</v>
      </c>
      <c r="E47" s="310">
        <v>14851.659999999996</v>
      </c>
      <c r="F47" s="310">
        <v>18757.93</v>
      </c>
      <c r="G47" s="310">
        <v>18957.020000000011</v>
      </c>
      <c r="H47" s="310">
        <v>16436.020000000004</v>
      </c>
      <c r="I47" s="310">
        <v>10234.679999999993</v>
      </c>
      <c r="J47" s="310">
        <v>16009.259999999995</v>
      </c>
      <c r="K47" s="310">
        <v>16492.480000000025</v>
      </c>
      <c r="L47" s="310">
        <v>57558.469999999987</v>
      </c>
      <c r="M47" s="310">
        <v>18442</v>
      </c>
      <c r="N47" s="310">
        <v>73853</v>
      </c>
      <c r="O47" s="310">
        <v>10864.2</v>
      </c>
      <c r="P47" s="310">
        <v>42568</v>
      </c>
      <c r="Q47" s="310">
        <v>44375.96</v>
      </c>
      <c r="R47" s="310">
        <v>39173.72</v>
      </c>
      <c r="S47" s="310"/>
      <c r="T47" s="310"/>
      <c r="U47" s="310"/>
      <c r="V47" s="310"/>
      <c r="W47" s="310"/>
      <c r="X47" s="310"/>
      <c r="Y47" s="93"/>
      <c r="Z47" s="93"/>
    </row>
    <row r="48" spans="2:26" x14ac:dyDescent="0.25">
      <c r="B48" t="s">
        <v>45</v>
      </c>
      <c r="C48" s="310">
        <v>13170.5</v>
      </c>
      <c r="D48" s="310">
        <v>24707.120000000003</v>
      </c>
      <c r="E48" s="310">
        <v>29120.879999999997</v>
      </c>
      <c r="F48" s="310">
        <v>29424.260000000009</v>
      </c>
      <c r="G48" s="310">
        <v>21146.62999999999</v>
      </c>
      <c r="H48" s="310">
        <v>20095.229999999996</v>
      </c>
      <c r="I48" s="310">
        <v>7211.3100000000268</v>
      </c>
      <c r="J48" s="310">
        <v>14753.549999999959</v>
      </c>
      <c r="K48" s="310">
        <v>14709.570000000007</v>
      </c>
      <c r="L48" s="310">
        <v>122877.09999999998</v>
      </c>
      <c r="M48" s="310">
        <v>272288</v>
      </c>
      <c r="N48" s="310">
        <v>-116668</v>
      </c>
      <c r="O48" s="310">
        <v>59647.37</v>
      </c>
      <c r="P48" s="310">
        <v>25702</v>
      </c>
      <c r="Q48" s="310">
        <v>22929.93</v>
      </c>
      <c r="R48" s="310">
        <v>18526.499999999996</v>
      </c>
      <c r="S48" s="310"/>
      <c r="T48" s="310"/>
      <c r="U48" s="310"/>
      <c r="V48" s="310"/>
      <c r="W48" s="310"/>
      <c r="X48" s="310"/>
      <c r="Y48" s="93"/>
      <c r="Z48" s="93"/>
    </row>
    <row r="49" spans="1:26" x14ac:dyDescent="0.25">
      <c r="B49" t="s">
        <v>46</v>
      </c>
      <c r="C49" s="310">
        <v>2940.0800000000004</v>
      </c>
      <c r="D49" s="310">
        <v>23674.26</v>
      </c>
      <c r="E49" s="310">
        <v>15129.740000000002</v>
      </c>
      <c r="F49" s="310">
        <v>21071.83</v>
      </c>
      <c r="G49" s="310">
        <v>386.61000000000058</v>
      </c>
      <c r="H49" s="310">
        <v>18559.069999999992</v>
      </c>
      <c r="I49" s="310">
        <v>23931.37000000001</v>
      </c>
      <c r="J49" s="310">
        <v>13747.259999999995</v>
      </c>
      <c r="K49" s="310">
        <v>20760.920000000013</v>
      </c>
      <c r="L49" s="310">
        <v>12918.709999999997</v>
      </c>
      <c r="M49" s="310">
        <v>92478</v>
      </c>
      <c r="N49" s="310">
        <v>146360</v>
      </c>
      <c r="O49" s="310">
        <v>12576.81</v>
      </c>
      <c r="P49" s="310">
        <v>88945</v>
      </c>
      <c r="Q49" s="310">
        <v>90068.62</v>
      </c>
      <c r="R49" s="310">
        <v>24123.590000000004</v>
      </c>
      <c r="S49" s="310"/>
      <c r="T49" s="310"/>
      <c r="U49" s="310"/>
      <c r="V49" s="310"/>
      <c r="W49" s="310"/>
      <c r="X49" s="310"/>
      <c r="Y49" s="93"/>
      <c r="Z49" s="93"/>
    </row>
    <row r="50" spans="1:26" x14ac:dyDescent="0.25">
      <c r="B50" t="s">
        <v>47</v>
      </c>
      <c r="C50" s="310">
        <v>60539.659999999996</v>
      </c>
      <c r="D50" s="310">
        <v>11670.019999999982</v>
      </c>
      <c r="E50" s="310">
        <v>24111.470000000016</v>
      </c>
      <c r="F50" s="310">
        <v>13846.500000000015</v>
      </c>
      <c r="G50" s="310">
        <v>24279.680000000008</v>
      </c>
      <c r="H50" s="310">
        <v>18660.75999999998</v>
      </c>
      <c r="I50" s="310">
        <v>13577.190000000031</v>
      </c>
      <c r="J50" s="310">
        <v>13610.609999999957</v>
      </c>
      <c r="K50" s="310">
        <v>14610.740000000049</v>
      </c>
      <c r="L50" s="310">
        <v>67743.209999999992</v>
      </c>
      <c r="M50" s="310">
        <v>135638</v>
      </c>
      <c r="N50" s="310">
        <v>106417</v>
      </c>
      <c r="O50" s="310">
        <v>45095.189999999988</v>
      </c>
      <c r="P50" s="310">
        <v>85909</v>
      </c>
      <c r="Q50" s="310">
        <v>-17112.3</v>
      </c>
      <c r="R50" s="310">
        <v>46439.76</v>
      </c>
      <c r="S50" s="310"/>
      <c r="T50" s="310"/>
      <c r="U50" s="310"/>
      <c r="V50" s="310"/>
      <c r="W50" s="310"/>
      <c r="X50" s="310"/>
      <c r="Y50" s="93"/>
      <c r="Z50" s="93"/>
    </row>
    <row r="51" spans="1:26" x14ac:dyDescent="0.25">
      <c r="B51" s="241" t="s">
        <v>48</v>
      </c>
      <c r="C51" s="311">
        <v>9147.2999999999993</v>
      </c>
      <c r="D51" s="311">
        <v>17047.36</v>
      </c>
      <c r="E51" s="311">
        <v>13357.489999999994</v>
      </c>
      <c r="F51" s="311">
        <v>15145.000000000007</v>
      </c>
      <c r="G51" s="311">
        <v>17128.129999999997</v>
      </c>
      <c r="H51" s="311">
        <v>10848.640000000014</v>
      </c>
      <c r="I51" s="311">
        <v>10705.860000000015</v>
      </c>
      <c r="J51" s="311">
        <v>18305.169999999998</v>
      </c>
      <c r="K51" s="311">
        <v>6495.9199999999837</v>
      </c>
      <c r="L51" s="311">
        <v>20485.3</v>
      </c>
      <c r="M51" s="311">
        <v>12545</v>
      </c>
      <c r="N51" s="311">
        <v>35830</v>
      </c>
      <c r="O51" s="409">
        <v>20435.280000000002</v>
      </c>
      <c r="P51" s="409">
        <v>49083</v>
      </c>
      <c r="Q51" s="409">
        <v>38351.86</v>
      </c>
      <c r="R51" s="409">
        <v>22647.51</v>
      </c>
      <c r="S51" s="310"/>
      <c r="T51" s="310"/>
      <c r="U51" s="310"/>
      <c r="V51" s="310"/>
      <c r="W51" s="310"/>
      <c r="X51" s="310"/>
      <c r="Y51" s="93"/>
      <c r="Z51" s="93"/>
    </row>
    <row r="52" spans="1:26" x14ac:dyDescent="0.25">
      <c r="B52" t="s">
        <v>49</v>
      </c>
      <c r="C52" s="308">
        <v>7431.8300000000072</v>
      </c>
      <c r="D52" s="308">
        <v>18205.409999999996</v>
      </c>
      <c r="E52" s="308">
        <v>19478.400000000001</v>
      </c>
      <c r="F52" s="308">
        <v>25935.11</v>
      </c>
      <c r="G52" s="308">
        <v>30740.170000000002</v>
      </c>
      <c r="H52" s="308">
        <v>27313.24</v>
      </c>
      <c r="I52" s="308">
        <v>23822.480000000003</v>
      </c>
      <c r="J52" s="308">
        <v>20351.939999999995</v>
      </c>
      <c r="K52" s="308">
        <v>14410.12</v>
      </c>
      <c r="L52" s="310">
        <v>27486.46</v>
      </c>
      <c r="M52" s="310">
        <v>16562</v>
      </c>
      <c r="N52" s="310">
        <v>118445</v>
      </c>
      <c r="O52" s="310">
        <v>128823.86</v>
      </c>
      <c r="P52" s="310">
        <v>93001</v>
      </c>
      <c r="Q52" s="310">
        <v>78549.119999999995</v>
      </c>
      <c r="R52" s="310">
        <v>34367.520000000004</v>
      </c>
      <c r="S52" s="310"/>
      <c r="T52" s="310"/>
      <c r="U52" s="310"/>
      <c r="V52" s="310"/>
      <c r="W52" s="310"/>
      <c r="X52" s="310"/>
      <c r="Y52" s="93"/>
      <c r="Z52" s="93"/>
    </row>
    <row r="53" spans="1:26" x14ac:dyDescent="0.25">
      <c r="B53" t="s">
        <v>50</v>
      </c>
      <c r="C53" s="310">
        <v>25090.539999999997</v>
      </c>
      <c r="D53" s="310">
        <v>24015.01</v>
      </c>
      <c r="E53" s="310">
        <v>41355.67</v>
      </c>
      <c r="F53" s="310">
        <v>179556.22</v>
      </c>
      <c r="G53" s="310">
        <v>-44677.689999999995</v>
      </c>
      <c r="H53" s="310">
        <v>17189.03</v>
      </c>
      <c r="I53" s="310">
        <v>48164.270000000011</v>
      </c>
      <c r="J53" s="310">
        <v>71897.950000000012</v>
      </c>
      <c r="K53" s="310">
        <v>56829.339999999989</v>
      </c>
      <c r="L53" s="310">
        <v>26514.000000000007</v>
      </c>
      <c r="M53" s="310">
        <v>75223</v>
      </c>
      <c r="N53" s="310">
        <v>39968</v>
      </c>
      <c r="O53" s="310">
        <v>44413.760000000009</v>
      </c>
      <c r="P53" s="310">
        <v>19243</v>
      </c>
      <c r="Q53" s="310">
        <v>9414.4900000000016</v>
      </c>
      <c r="R53" s="310">
        <v>21423.02</v>
      </c>
      <c r="S53" s="310"/>
      <c r="T53" s="310"/>
      <c r="U53" s="310"/>
      <c r="V53" s="310"/>
      <c r="W53" s="310"/>
      <c r="X53" s="310"/>
      <c r="Y53" s="93"/>
      <c r="Z53" s="93"/>
    </row>
    <row r="54" spans="1:26" x14ac:dyDescent="0.25">
      <c r="B54" t="s">
        <v>51</v>
      </c>
      <c r="C54" s="310"/>
      <c r="D54" s="310"/>
      <c r="E54" s="310"/>
      <c r="F54" s="310"/>
      <c r="G54" s="310"/>
      <c r="H54" s="310"/>
      <c r="I54" s="310"/>
      <c r="J54" s="310"/>
      <c r="K54" s="310"/>
      <c r="L54" s="310">
        <v>14183.789999999999</v>
      </c>
      <c r="M54" s="310">
        <v>0</v>
      </c>
      <c r="N54" s="310">
        <v>0</v>
      </c>
      <c r="O54" s="310">
        <v>0</v>
      </c>
      <c r="P54" s="310">
        <v>0</v>
      </c>
      <c r="Q54" s="310">
        <v>0</v>
      </c>
      <c r="R54" s="310">
        <v>0</v>
      </c>
      <c r="S54" s="310"/>
      <c r="T54" s="310"/>
      <c r="U54" s="310"/>
      <c r="V54" s="310"/>
      <c r="W54" s="310"/>
      <c r="X54" s="310"/>
      <c r="Y54" s="93"/>
      <c r="Z54" s="93"/>
    </row>
    <row r="55" spans="1:26" x14ac:dyDescent="0.25">
      <c r="B55" t="s">
        <v>52</v>
      </c>
      <c r="C55" s="308">
        <v>42988</v>
      </c>
      <c r="D55" s="308">
        <v>33743</v>
      </c>
      <c r="E55" s="308">
        <v>59787</v>
      </c>
      <c r="F55" s="308">
        <v>27130</v>
      </c>
      <c r="G55" s="308">
        <v>29382</v>
      </c>
      <c r="H55" s="308">
        <v>28799</v>
      </c>
      <c r="I55" s="308">
        <v>17883</v>
      </c>
      <c r="J55" s="308">
        <v>22076</v>
      </c>
      <c r="K55" s="308">
        <v>19214</v>
      </c>
      <c r="L55" s="310">
        <v>19953.980000000007</v>
      </c>
      <c r="M55" s="310">
        <v>67715</v>
      </c>
      <c r="N55" s="310">
        <v>67404</v>
      </c>
      <c r="O55" s="310">
        <v>26029.350000000002</v>
      </c>
      <c r="P55" s="310">
        <v>8233</v>
      </c>
      <c r="Q55" s="310">
        <v>38823.81</v>
      </c>
      <c r="R55" s="310">
        <v>40233.07</v>
      </c>
      <c r="S55" s="310"/>
      <c r="T55" s="310"/>
      <c r="U55" s="310"/>
      <c r="V55" s="310"/>
      <c r="W55" s="310"/>
      <c r="X55" s="310"/>
      <c r="Y55" s="93"/>
      <c r="Z55" s="93"/>
    </row>
    <row r="56" spans="1:26" x14ac:dyDescent="0.25">
      <c r="B56" t="s">
        <v>53</v>
      </c>
      <c r="C56" s="308">
        <v>-39682.109999999993</v>
      </c>
      <c r="D56" s="308">
        <v>10810.959999999997</v>
      </c>
      <c r="E56" s="308">
        <v>10970.269999999999</v>
      </c>
      <c r="F56" s="308">
        <v>333437.11</v>
      </c>
      <c r="G56" s="308">
        <v>-6065.6699999999955</v>
      </c>
      <c r="H56" s="308">
        <v>19095.839999999997</v>
      </c>
      <c r="I56" s="308">
        <v>31833.13</v>
      </c>
      <c r="J56" s="308">
        <v>29391.039999999997</v>
      </c>
      <c r="K56" s="308">
        <v>15004.39</v>
      </c>
      <c r="L56" s="310">
        <v>7743.3499999999985</v>
      </c>
      <c r="M56" s="310">
        <v>86279</v>
      </c>
      <c r="N56" s="310">
        <v>40160</v>
      </c>
      <c r="O56" s="310">
        <v>18821.399999999998</v>
      </c>
      <c r="P56" s="310">
        <v>15602</v>
      </c>
      <c r="Q56" s="310">
        <v>43901.229999999996</v>
      </c>
      <c r="R56" s="310">
        <v>29012.239999999998</v>
      </c>
      <c r="S56" s="310"/>
      <c r="T56" s="310"/>
      <c r="U56" s="310"/>
      <c r="V56" s="310"/>
      <c r="W56" s="310"/>
      <c r="X56" s="310"/>
      <c r="Y56" s="93"/>
      <c r="Z56" s="93"/>
    </row>
    <row r="57" spans="1:26" x14ac:dyDescent="0.25">
      <c r="B57" t="s">
        <v>54</v>
      </c>
      <c r="C57" s="308">
        <v>25080.07</v>
      </c>
      <c r="D57" s="308">
        <v>-5598.09</v>
      </c>
      <c r="E57" s="308">
        <v>27196.010000000002</v>
      </c>
      <c r="F57" s="308">
        <v>42453.279999999999</v>
      </c>
      <c r="G57" s="308">
        <v>53936.060000000005</v>
      </c>
      <c r="H57" s="308">
        <v>22130.429999999997</v>
      </c>
      <c r="I57" s="308">
        <v>74043.219999999987</v>
      </c>
      <c r="J57" s="308">
        <v>33639.450000000004</v>
      </c>
      <c r="K57" s="308">
        <v>42241.16</v>
      </c>
      <c r="L57" s="310">
        <v>23056.410000000003</v>
      </c>
      <c r="M57" s="310">
        <v>39580</v>
      </c>
      <c r="N57" s="310">
        <v>83046</v>
      </c>
      <c r="O57" s="310">
        <v>28421.03000000001</v>
      </c>
      <c r="P57" s="310">
        <v>50678</v>
      </c>
      <c r="Q57" s="310">
        <v>105542.88</v>
      </c>
      <c r="R57" s="310">
        <v>34130.06</v>
      </c>
      <c r="S57" s="310"/>
      <c r="T57" s="310"/>
      <c r="U57" s="310"/>
      <c r="V57" s="310"/>
      <c r="W57" s="310"/>
      <c r="X57" s="310"/>
      <c r="Y57" s="93"/>
      <c r="Z57" s="93"/>
    </row>
    <row r="58" spans="1:26" x14ac:dyDescent="0.25">
      <c r="A58" s="247"/>
      <c r="B58" s="247"/>
      <c r="C58" s="248"/>
      <c r="D58" s="248"/>
      <c r="E58" s="248"/>
      <c r="F58" s="248"/>
      <c r="G58" s="248"/>
      <c r="H58" s="248"/>
      <c r="I58" s="248"/>
      <c r="J58" s="93"/>
      <c r="K58" s="93"/>
      <c r="O58" s="310"/>
      <c r="P58" s="310"/>
      <c r="R58" s="310"/>
      <c r="S58" s="310"/>
    </row>
    <row r="59" spans="1:26" x14ac:dyDescent="0.25">
      <c r="B59" t="s">
        <v>158</v>
      </c>
      <c r="O59" s="310">
        <v>18155</v>
      </c>
      <c r="P59" s="310">
        <v>23974</v>
      </c>
      <c r="Q59" s="310">
        <v>17731.379999999997</v>
      </c>
      <c r="R59" s="310">
        <v>15098.65</v>
      </c>
      <c r="S59" s="310"/>
    </row>
    <row r="60" spans="1:26" x14ac:dyDescent="0.25">
      <c r="P60" s="310"/>
    </row>
    <row r="61" spans="1:26" x14ac:dyDescent="0.25">
      <c r="B61" s="413" t="s">
        <v>227</v>
      </c>
      <c r="C61" s="232" t="s">
        <v>181</v>
      </c>
      <c r="D61" s="232" t="s">
        <v>182</v>
      </c>
      <c r="E61" s="232" t="s">
        <v>213</v>
      </c>
      <c r="F61" s="232" t="s">
        <v>202</v>
      </c>
      <c r="G61" s="232" t="s">
        <v>184</v>
      </c>
      <c r="H61" s="232" t="s">
        <v>214</v>
      </c>
      <c r="I61" s="232" t="s">
        <v>215</v>
      </c>
      <c r="J61" s="232" t="s">
        <v>188</v>
      </c>
      <c r="K61" s="232" t="s">
        <v>205</v>
      </c>
      <c r="L61" s="232" t="s">
        <v>226</v>
      </c>
      <c r="M61" s="232" t="s">
        <v>191</v>
      </c>
      <c r="N61" s="232" t="s">
        <v>192</v>
      </c>
      <c r="O61" s="370" t="s">
        <v>193</v>
      </c>
      <c r="P61" s="370" t="s">
        <v>194</v>
      </c>
      <c r="Q61" s="370" t="s">
        <v>195</v>
      </c>
      <c r="R61" s="370" t="s">
        <v>236</v>
      </c>
      <c r="S61" s="370"/>
    </row>
    <row r="62" spans="1:26" x14ac:dyDescent="0.25">
      <c r="B62" s="233" t="s">
        <v>2</v>
      </c>
      <c r="C62" s="309">
        <v>10348.27</v>
      </c>
      <c r="D62" s="309">
        <v>8735.83</v>
      </c>
      <c r="E62" s="309">
        <v>8315</v>
      </c>
      <c r="F62" s="313">
        <v>19195</v>
      </c>
      <c r="G62" s="313">
        <v>9545</v>
      </c>
      <c r="H62" s="313">
        <v>20595</v>
      </c>
      <c r="I62" s="313">
        <v>37995</v>
      </c>
      <c r="J62" s="313">
        <v>23665</v>
      </c>
      <c r="K62" s="313">
        <v>42795</v>
      </c>
      <c r="L62" s="313">
        <v>12445</v>
      </c>
      <c r="M62" s="313">
        <v>7545</v>
      </c>
      <c r="N62" s="313">
        <v>10845</v>
      </c>
      <c r="O62" s="310">
        <v>7745</v>
      </c>
      <c r="P62" s="310">
        <v>8865</v>
      </c>
      <c r="Q62" s="310">
        <v>9145</v>
      </c>
      <c r="R62" s="310">
        <v>19578.900000000001</v>
      </c>
      <c r="S62" s="310"/>
      <c r="T62" s="440"/>
    </row>
    <row r="63" spans="1:26" x14ac:dyDescent="0.25">
      <c r="B63" t="s">
        <v>3</v>
      </c>
      <c r="C63" s="310">
        <v>22604.059999999998</v>
      </c>
      <c r="D63" s="310">
        <v>27111.16</v>
      </c>
      <c r="E63" s="310">
        <v>23971.16</v>
      </c>
      <c r="F63" s="314">
        <v>34915.9</v>
      </c>
      <c r="G63" s="314">
        <v>41165.9</v>
      </c>
      <c r="H63" s="314">
        <v>54410.9</v>
      </c>
      <c r="I63" s="314">
        <v>37685.9</v>
      </c>
      <c r="J63" s="314">
        <v>32310.9</v>
      </c>
      <c r="K63" s="314">
        <v>27635.9</v>
      </c>
      <c r="L63" s="314">
        <v>45640.9</v>
      </c>
      <c r="M63" s="314">
        <v>55871.95</v>
      </c>
      <c r="N63" s="314">
        <v>34295.9</v>
      </c>
      <c r="O63" s="310">
        <v>26836</v>
      </c>
      <c r="P63" s="310">
        <v>27635.9</v>
      </c>
      <c r="Q63" s="310">
        <v>28085.9</v>
      </c>
      <c r="R63" s="310">
        <v>0</v>
      </c>
      <c r="S63" s="310"/>
    </row>
    <row r="64" spans="1:26" x14ac:dyDescent="0.25">
      <c r="B64" t="s">
        <v>4</v>
      </c>
      <c r="C64" s="310">
        <v>46125</v>
      </c>
      <c r="D64" s="310">
        <v>42435</v>
      </c>
      <c r="E64" s="310">
        <v>45580</v>
      </c>
      <c r="F64" s="314">
        <v>62830.61</v>
      </c>
      <c r="G64" s="314">
        <v>71625.61</v>
      </c>
      <c r="H64" s="314">
        <v>50425.61</v>
      </c>
      <c r="I64" s="314">
        <v>41920.61</v>
      </c>
      <c r="J64" s="314">
        <v>46045.61</v>
      </c>
      <c r="K64" s="314">
        <v>44175.61</v>
      </c>
      <c r="L64" s="314">
        <v>94630.61</v>
      </c>
      <c r="M64" s="314">
        <v>44525.61</v>
      </c>
      <c r="N64" s="314">
        <v>53425.61</v>
      </c>
      <c r="O64" s="310">
        <v>44121</v>
      </c>
      <c r="P64" s="310">
        <v>44245.61</v>
      </c>
      <c r="Q64" s="310">
        <v>46925.61</v>
      </c>
      <c r="R64" s="310">
        <v>0</v>
      </c>
      <c r="S64" s="310"/>
    </row>
    <row r="65" spans="2:20" x14ac:dyDescent="0.25">
      <c r="B65" t="s">
        <v>5</v>
      </c>
      <c r="C65" s="310">
        <v>8400</v>
      </c>
      <c r="D65" s="310">
        <v>8350</v>
      </c>
      <c r="E65" s="310">
        <v>8350</v>
      </c>
      <c r="F65" s="314">
        <v>9000</v>
      </c>
      <c r="G65" s="314">
        <v>9000</v>
      </c>
      <c r="H65" s="314">
        <v>9000</v>
      </c>
      <c r="I65" s="314">
        <v>9000</v>
      </c>
      <c r="J65" s="314">
        <v>9000</v>
      </c>
      <c r="K65" s="314">
        <v>9000</v>
      </c>
      <c r="L65" s="314">
        <v>9000</v>
      </c>
      <c r="M65" s="314">
        <v>9000</v>
      </c>
      <c r="N65" s="314">
        <v>9000</v>
      </c>
      <c r="O65" s="310">
        <v>9000</v>
      </c>
      <c r="P65" s="310">
        <v>9000</v>
      </c>
      <c r="Q65" s="310">
        <v>9000</v>
      </c>
      <c r="R65" s="310">
        <v>9180</v>
      </c>
      <c r="S65" s="310"/>
    </row>
    <row r="66" spans="2:20" x14ac:dyDescent="0.25">
      <c r="B66" t="s">
        <v>6</v>
      </c>
      <c r="C66" s="310">
        <v>13415</v>
      </c>
      <c r="D66" s="310">
        <v>13415</v>
      </c>
      <c r="E66" s="310">
        <v>13415</v>
      </c>
      <c r="F66" s="314">
        <v>13353</v>
      </c>
      <c r="G66" s="314">
        <v>9729</v>
      </c>
      <c r="H66" s="314">
        <v>14136</v>
      </c>
      <c r="I66" s="314">
        <v>13327</v>
      </c>
      <c r="J66" s="314">
        <v>9729</v>
      </c>
      <c r="K66" s="314">
        <v>9729</v>
      </c>
      <c r="L66" s="314">
        <v>11353</v>
      </c>
      <c r="M66" s="314">
        <v>9729</v>
      </c>
      <c r="N66" s="314">
        <v>13383</v>
      </c>
      <c r="O66" s="310">
        <v>13327</v>
      </c>
      <c r="P66" s="310">
        <v>10435</v>
      </c>
      <c r="Q66" s="310">
        <v>9729</v>
      </c>
      <c r="R66" s="310">
        <v>13620.06</v>
      </c>
      <c r="S66" s="310"/>
    </row>
    <row r="67" spans="2:20" x14ac:dyDescent="0.25">
      <c r="B67" t="s">
        <v>241</v>
      </c>
      <c r="C67" s="310"/>
      <c r="D67" s="310"/>
      <c r="E67" s="310"/>
      <c r="F67" s="314"/>
      <c r="G67" s="314"/>
      <c r="H67" s="314"/>
      <c r="I67" s="314"/>
      <c r="J67" s="314"/>
      <c r="K67" s="314"/>
      <c r="L67" s="314"/>
      <c r="M67" s="314"/>
      <c r="N67" s="314"/>
      <c r="O67" s="310"/>
      <c r="P67" s="310"/>
      <c r="Q67" s="310"/>
      <c r="R67" s="310">
        <v>36166.949999999997</v>
      </c>
      <c r="S67" s="310"/>
      <c r="T67" s="310"/>
    </row>
    <row r="68" spans="2:20" x14ac:dyDescent="0.25">
      <c r="B68" t="s">
        <v>242</v>
      </c>
      <c r="C68" s="310"/>
      <c r="D68" s="310"/>
      <c r="E68" s="310"/>
      <c r="F68" s="314"/>
      <c r="G68" s="314"/>
      <c r="H68" s="314"/>
      <c r="I68" s="314"/>
      <c r="J68" s="314"/>
      <c r="K68" s="314"/>
      <c r="L68" s="314"/>
      <c r="M68" s="314"/>
      <c r="N68" s="314"/>
      <c r="O68" s="310"/>
      <c r="P68" s="310"/>
      <c r="Q68" s="310"/>
      <c r="R68" s="310">
        <v>72020</v>
      </c>
      <c r="S68" s="310"/>
    </row>
    <row r="69" spans="2:20" x14ac:dyDescent="0.25">
      <c r="B69" s="241" t="s">
        <v>7</v>
      </c>
      <c r="C69" s="311">
        <v>24871</v>
      </c>
      <c r="D69" s="311">
        <v>28486</v>
      </c>
      <c r="E69" s="311">
        <v>33116</v>
      </c>
      <c r="F69" s="315">
        <v>24340.65</v>
      </c>
      <c r="G69" s="315">
        <v>22340.65</v>
      </c>
      <c r="H69" s="315">
        <v>22340.65</v>
      </c>
      <c r="I69" s="315">
        <v>22340.65</v>
      </c>
      <c r="J69" s="315">
        <v>22340.65</v>
      </c>
      <c r="K69" s="315">
        <v>22349.65</v>
      </c>
      <c r="L69" s="315">
        <v>26340.65</v>
      </c>
      <c r="M69" s="315">
        <v>26340.65</v>
      </c>
      <c r="N69" s="315">
        <v>26340.65</v>
      </c>
      <c r="O69" s="409">
        <v>26341</v>
      </c>
      <c r="P69" s="409">
        <v>26340.65</v>
      </c>
      <c r="Q69" s="409">
        <v>26340.65</v>
      </c>
      <c r="R69" s="409">
        <v>24827.45</v>
      </c>
      <c r="S69" s="310"/>
    </row>
    <row r="70" spans="2:20" x14ac:dyDescent="0.25">
      <c r="B70" s="233" t="s">
        <v>8</v>
      </c>
      <c r="C70" s="309">
        <v>34910</v>
      </c>
      <c r="D70" s="309">
        <v>16910</v>
      </c>
      <c r="E70" s="309">
        <v>16910</v>
      </c>
      <c r="F70" s="309">
        <v>17910</v>
      </c>
      <c r="G70" s="309">
        <v>19910</v>
      </c>
      <c r="H70" s="309">
        <v>24910</v>
      </c>
      <c r="I70" s="309">
        <v>16910</v>
      </c>
      <c r="J70" s="309">
        <v>16910</v>
      </c>
      <c r="K70" s="309">
        <v>16910</v>
      </c>
      <c r="L70" s="310">
        <v>16910</v>
      </c>
      <c r="M70" s="310">
        <v>16910</v>
      </c>
      <c r="N70" s="310">
        <v>16910</v>
      </c>
      <c r="O70" s="310">
        <v>34730</v>
      </c>
      <c r="P70" s="310">
        <v>16730</v>
      </c>
      <c r="Q70" s="310">
        <v>16730</v>
      </c>
      <c r="R70" s="310">
        <v>17730</v>
      </c>
      <c r="S70" s="310"/>
      <c r="T70" s="440"/>
    </row>
    <row r="71" spans="2:20" x14ac:dyDescent="0.25">
      <c r="B71" t="s">
        <v>9</v>
      </c>
      <c r="C71" s="310">
        <v>38430.97</v>
      </c>
      <c r="D71" s="310">
        <v>32494.03</v>
      </c>
      <c r="E71" s="310">
        <v>41183.550000000003</v>
      </c>
      <c r="F71" s="310">
        <v>39554.089999999997</v>
      </c>
      <c r="G71" s="310">
        <v>65053.11</v>
      </c>
      <c r="H71" s="310">
        <v>42897.33</v>
      </c>
      <c r="I71" s="310">
        <v>39381.82</v>
      </c>
      <c r="J71" s="310">
        <v>43829.37</v>
      </c>
      <c r="K71" s="310">
        <v>34823.72</v>
      </c>
      <c r="L71" s="310">
        <v>39850</v>
      </c>
      <c r="M71" s="310">
        <v>42400</v>
      </c>
      <c r="N71" s="310">
        <v>42400</v>
      </c>
      <c r="O71" s="310">
        <v>41497</v>
      </c>
      <c r="P71" s="310">
        <v>38117</v>
      </c>
      <c r="Q71" s="310">
        <v>47611</v>
      </c>
      <c r="R71" s="310">
        <v>39397</v>
      </c>
      <c r="S71" s="310"/>
    </row>
    <row r="72" spans="2:20" x14ac:dyDescent="0.25">
      <c r="B72" t="s">
        <v>10</v>
      </c>
      <c r="C72" s="310">
        <v>44476.5</v>
      </c>
      <c r="D72" s="310">
        <v>42460.5</v>
      </c>
      <c r="E72" s="310">
        <v>43295.5</v>
      </c>
      <c r="F72" s="310">
        <v>49152.5</v>
      </c>
      <c r="G72" s="310">
        <v>69622.28</v>
      </c>
      <c r="H72" s="310">
        <v>58750.5</v>
      </c>
      <c r="I72" s="310">
        <v>63600.5</v>
      </c>
      <c r="J72" s="310">
        <v>60235.5</v>
      </c>
      <c r="K72" s="310">
        <v>59400.5</v>
      </c>
      <c r="L72" s="310">
        <v>42900.5</v>
      </c>
      <c r="M72" s="310">
        <v>44961</v>
      </c>
      <c r="N72" s="310">
        <v>45796</v>
      </c>
      <c r="O72" s="310">
        <v>57250</v>
      </c>
      <c r="P72" s="310">
        <v>52050</v>
      </c>
      <c r="Q72" s="310">
        <v>52365</v>
      </c>
      <c r="R72" s="310">
        <v>44133</v>
      </c>
      <c r="S72" s="310"/>
    </row>
    <row r="73" spans="2:20" x14ac:dyDescent="0.25">
      <c r="B73" t="s">
        <v>114</v>
      </c>
      <c r="C73" s="310">
        <v>9125</v>
      </c>
      <c r="D73" s="310">
        <v>10625</v>
      </c>
      <c r="E73" s="310">
        <v>9125</v>
      </c>
      <c r="F73" s="310">
        <v>8425</v>
      </c>
      <c r="G73" s="310">
        <v>9425</v>
      </c>
      <c r="H73" s="310">
        <v>8325</v>
      </c>
      <c r="I73" s="310">
        <v>8325</v>
      </c>
      <c r="J73" s="310">
        <v>9825</v>
      </c>
      <c r="K73" s="310">
        <v>8325</v>
      </c>
      <c r="L73" s="310">
        <v>8325</v>
      </c>
      <c r="M73" s="310">
        <v>10225</v>
      </c>
      <c r="N73" s="310">
        <v>9125</v>
      </c>
      <c r="O73" s="310">
        <v>10000</v>
      </c>
      <c r="P73" s="310">
        <v>9000</v>
      </c>
      <c r="Q73" s="310">
        <v>9500</v>
      </c>
      <c r="R73" s="310">
        <v>9450</v>
      </c>
      <c r="S73" s="310"/>
    </row>
    <row r="74" spans="2:20" x14ac:dyDescent="0.25">
      <c r="B74" s="241" t="s">
        <v>12</v>
      </c>
      <c r="C74" s="311">
        <v>37892.730000000003</v>
      </c>
      <c r="D74" s="311">
        <v>36903.589999999997</v>
      </c>
      <c r="E74" s="311">
        <v>66793.16</v>
      </c>
      <c r="F74" s="311">
        <v>47624.69</v>
      </c>
      <c r="G74" s="311">
        <v>39338.910000000003</v>
      </c>
      <c r="H74" s="311">
        <v>48701.14</v>
      </c>
      <c r="I74" s="311">
        <v>48809.14</v>
      </c>
      <c r="J74" s="311">
        <v>36719.050000000003</v>
      </c>
      <c r="K74" s="311">
        <v>52501.55</v>
      </c>
      <c r="L74" s="311">
        <v>35026.99</v>
      </c>
      <c r="M74" s="311">
        <v>33075</v>
      </c>
      <c r="N74" s="311">
        <v>27722</v>
      </c>
      <c r="O74" s="409">
        <v>40313</v>
      </c>
      <c r="P74" s="409">
        <v>30016.83</v>
      </c>
      <c r="Q74" s="409">
        <v>75820.83</v>
      </c>
      <c r="R74" s="409">
        <v>46966</v>
      </c>
      <c r="S74" s="310"/>
    </row>
    <row r="75" spans="2:20" x14ac:dyDescent="0.25">
      <c r="B75" t="s">
        <v>13</v>
      </c>
      <c r="C75" s="310">
        <v>24762</v>
      </c>
      <c r="D75" s="310">
        <v>24762</v>
      </c>
      <c r="E75" s="310">
        <v>24762</v>
      </c>
      <c r="F75" s="310">
        <v>24762</v>
      </c>
      <c r="G75" s="310">
        <v>24762</v>
      </c>
      <c r="H75" s="310">
        <v>24762</v>
      </c>
      <c r="I75" s="310">
        <v>24762</v>
      </c>
      <c r="J75" s="310">
        <v>24762</v>
      </c>
      <c r="K75" s="310">
        <v>24762</v>
      </c>
      <c r="L75" s="310">
        <v>24762</v>
      </c>
      <c r="M75" s="310">
        <v>24762</v>
      </c>
      <c r="N75" s="310">
        <v>24762</v>
      </c>
      <c r="O75" s="310">
        <v>26172</v>
      </c>
      <c r="P75" s="310">
        <v>26052.480000000003</v>
      </c>
      <c r="Q75" s="310">
        <v>26052.480000000003</v>
      </c>
      <c r="R75" s="310">
        <v>26053</v>
      </c>
      <c r="S75" s="310"/>
    </row>
    <row r="76" spans="2:20" x14ac:dyDescent="0.25">
      <c r="B76" t="s">
        <v>14</v>
      </c>
      <c r="C76" s="310">
        <v>17569</v>
      </c>
      <c r="D76" s="310">
        <v>17494</v>
      </c>
      <c r="E76" s="310">
        <v>17494</v>
      </c>
      <c r="F76" s="310">
        <v>17294</v>
      </c>
      <c r="G76" s="310">
        <v>16644</v>
      </c>
      <c r="H76" s="310">
        <v>15994</v>
      </c>
      <c r="I76" s="310">
        <v>15994</v>
      </c>
      <c r="J76" s="310">
        <v>15994</v>
      </c>
      <c r="K76" s="310">
        <v>15994</v>
      </c>
      <c r="L76" s="310">
        <v>16494</v>
      </c>
      <c r="M76" s="310">
        <v>17494</v>
      </c>
      <c r="N76" s="310">
        <v>17494</v>
      </c>
      <c r="O76" s="310">
        <v>17569</v>
      </c>
      <c r="P76" s="310">
        <v>17494</v>
      </c>
      <c r="Q76" s="310">
        <v>17494</v>
      </c>
      <c r="R76" s="310">
        <v>17294</v>
      </c>
      <c r="S76" s="310"/>
    </row>
    <row r="77" spans="2:20" x14ac:dyDescent="0.25">
      <c r="B77" t="s">
        <v>15</v>
      </c>
      <c r="C77" s="310">
        <v>11595</v>
      </c>
      <c r="D77" s="310">
        <v>11595</v>
      </c>
      <c r="E77" s="310">
        <v>11595</v>
      </c>
      <c r="F77" s="310">
        <v>11595</v>
      </c>
      <c r="G77" s="310">
        <v>11595</v>
      </c>
      <c r="H77" s="310">
        <v>11595</v>
      </c>
      <c r="I77" s="310">
        <v>11595</v>
      </c>
      <c r="J77" s="310">
        <v>11595</v>
      </c>
      <c r="K77" s="310">
        <v>11595</v>
      </c>
      <c r="L77" s="310">
        <v>11595</v>
      </c>
      <c r="M77" s="310">
        <v>11595</v>
      </c>
      <c r="N77" s="310">
        <v>11595</v>
      </c>
      <c r="O77" s="310">
        <v>12599</v>
      </c>
      <c r="P77" s="310">
        <v>12599</v>
      </c>
      <c r="Q77" s="310">
        <v>12599</v>
      </c>
      <c r="R77" s="310">
        <v>12599</v>
      </c>
      <c r="S77" s="310"/>
    </row>
    <row r="78" spans="2:20" x14ac:dyDescent="0.25">
      <c r="B78" t="s">
        <v>16</v>
      </c>
      <c r="C78" s="310">
        <v>19041.66</v>
      </c>
      <c r="D78" s="310">
        <v>19041.66</v>
      </c>
      <c r="E78" s="310">
        <v>19041.66</v>
      </c>
      <c r="F78" s="310">
        <v>19041.66</v>
      </c>
      <c r="G78" s="310">
        <v>19041.66</v>
      </c>
      <c r="H78" s="310">
        <v>19041.66</v>
      </c>
      <c r="I78" s="310">
        <v>19041.66</v>
      </c>
      <c r="J78" s="310">
        <v>19041.66</v>
      </c>
      <c r="K78" s="310">
        <v>19041.66</v>
      </c>
      <c r="L78" s="310">
        <v>19041.66</v>
      </c>
      <c r="M78" s="310">
        <v>19042</v>
      </c>
      <c r="N78" s="310">
        <v>19042</v>
      </c>
      <c r="O78" s="310">
        <v>22202</v>
      </c>
      <c r="P78" s="310">
        <v>22201.66</v>
      </c>
      <c r="Q78" s="310">
        <v>22201.66</v>
      </c>
      <c r="R78" s="310">
        <v>22202</v>
      </c>
      <c r="S78" s="310"/>
    </row>
    <row r="79" spans="2:20" x14ac:dyDescent="0.25">
      <c r="B79" s="241" t="s">
        <v>17</v>
      </c>
      <c r="C79" s="311">
        <v>33868</v>
      </c>
      <c r="D79" s="311">
        <v>33868</v>
      </c>
      <c r="E79" s="311">
        <v>33868</v>
      </c>
      <c r="F79" s="311">
        <v>33868</v>
      </c>
      <c r="G79" s="311">
        <v>33868</v>
      </c>
      <c r="H79" s="311">
        <v>33868</v>
      </c>
      <c r="I79" s="311">
        <v>33868</v>
      </c>
      <c r="J79" s="311">
        <v>33868</v>
      </c>
      <c r="K79" s="311">
        <v>33868</v>
      </c>
      <c r="L79" s="311">
        <v>33868</v>
      </c>
      <c r="M79" s="311">
        <v>33868</v>
      </c>
      <c r="N79" s="311">
        <v>33868</v>
      </c>
      <c r="O79" s="409">
        <v>34018</v>
      </c>
      <c r="P79" s="409">
        <v>34018</v>
      </c>
      <c r="Q79" s="409">
        <v>34018</v>
      </c>
      <c r="R79" s="409">
        <v>34018</v>
      </c>
      <c r="S79" s="310"/>
    </row>
    <row r="80" spans="2:20" x14ac:dyDescent="0.25">
      <c r="B80" s="298" t="s">
        <v>18</v>
      </c>
      <c r="C80" s="316">
        <v>24110</v>
      </c>
      <c r="D80" s="316">
        <v>33619</v>
      </c>
      <c r="E80" s="316">
        <v>24110</v>
      </c>
      <c r="F80" s="316">
        <v>24110</v>
      </c>
      <c r="G80" s="316">
        <v>24110</v>
      </c>
      <c r="H80" s="316">
        <v>24110</v>
      </c>
      <c r="I80" s="316">
        <v>24110</v>
      </c>
      <c r="J80" s="316">
        <v>24110</v>
      </c>
      <c r="K80" s="316">
        <v>24110</v>
      </c>
      <c r="L80" s="316">
        <v>24110</v>
      </c>
      <c r="M80" s="310">
        <v>24110</v>
      </c>
      <c r="N80" s="310">
        <v>24110</v>
      </c>
      <c r="O80" s="310">
        <v>27585</v>
      </c>
      <c r="P80" s="310">
        <v>35394</v>
      </c>
      <c r="Q80" s="310">
        <v>25885</v>
      </c>
      <c r="R80" s="310">
        <v>25885</v>
      </c>
      <c r="S80" s="310"/>
    </row>
    <row r="81" spans="2:26" x14ac:dyDescent="0.25">
      <c r="B81" s="298" t="s">
        <v>19</v>
      </c>
      <c r="C81" s="316">
        <v>17612.11</v>
      </c>
      <c r="D81" s="316">
        <v>17612.11</v>
      </c>
      <c r="E81" s="316">
        <v>17612.11</v>
      </c>
      <c r="F81" s="316">
        <v>29557.11</v>
      </c>
      <c r="G81" s="316">
        <v>17612.11</v>
      </c>
      <c r="H81" s="316">
        <v>17612.11</v>
      </c>
      <c r="I81" s="316">
        <v>17612.11</v>
      </c>
      <c r="J81" s="316">
        <v>17612.11</v>
      </c>
      <c r="K81" s="316">
        <v>17612.11</v>
      </c>
      <c r="L81" s="316">
        <v>17612.11</v>
      </c>
      <c r="M81" s="310">
        <v>17612</v>
      </c>
      <c r="N81" s="310">
        <v>17612</v>
      </c>
      <c r="O81" s="310">
        <v>19092.34</v>
      </c>
      <c r="P81" s="310">
        <v>19092</v>
      </c>
      <c r="Q81" s="310">
        <v>19092.34</v>
      </c>
      <c r="R81" s="310">
        <v>20092.34</v>
      </c>
      <c r="S81" s="310"/>
    </row>
    <row r="82" spans="2:26" x14ac:dyDescent="0.25">
      <c r="B82" s="298" t="s">
        <v>20</v>
      </c>
      <c r="C82" s="316">
        <v>27116.77</v>
      </c>
      <c r="D82" s="316">
        <v>33616.769999999997</v>
      </c>
      <c r="E82" s="316">
        <v>27116.77</v>
      </c>
      <c r="F82" s="316">
        <v>28616.77</v>
      </c>
      <c r="G82" s="316">
        <v>28116.77</v>
      </c>
      <c r="H82" s="316">
        <v>27116.77</v>
      </c>
      <c r="I82" s="316">
        <v>26616.77</v>
      </c>
      <c r="J82" s="316">
        <v>28116.77</v>
      </c>
      <c r="K82" s="316">
        <v>27616.77</v>
      </c>
      <c r="L82" s="316">
        <v>27116.77</v>
      </c>
      <c r="M82" s="310">
        <v>26617</v>
      </c>
      <c r="N82" s="310">
        <v>27117</v>
      </c>
      <c r="O82" s="310">
        <v>28556.06</v>
      </c>
      <c r="P82" s="310">
        <v>30256</v>
      </c>
      <c r="Q82" s="310">
        <v>28556.059999999998</v>
      </c>
      <c r="R82" s="310">
        <v>30056.059999999998</v>
      </c>
      <c r="S82" s="310"/>
    </row>
    <row r="83" spans="2:26" x14ac:dyDescent="0.25">
      <c r="B83" s="298" t="s">
        <v>21</v>
      </c>
      <c r="C83" s="316">
        <v>14350</v>
      </c>
      <c r="D83" s="316">
        <v>29850</v>
      </c>
      <c r="E83" s="316">
        <v>14350</v>
      </c>
      <c r="F83" s="316">
        <v>14350</v>
      </c>
      <c r="G83" s="316">
        <v>14350</v>
      </c>
      <c r="H83" s="316">
        <v>14350</v>
      </c>
      <c r="I83" s="316">
        <v>14350</v>
      </c>
      <c r="J83" s="316">
        <v>14350</v>
      </c>
      <c r="K83" s="316">
        <v>14350</v>
      </c>
      <c r="L83" s="316">
        <v>14350</v>
      </c>
      <c r="M83" s="310">
        <v>14350</v>
      </c>
      <c r="N83" s="310">
        <v>14350</v>
      </c>
      <c r="O83" s="310">
        <v>21305</v>
      </c>
      <c r="P83" s="310">
        <v>21305</v>
      </c>
      <c r="Q83" s="310">
        <v>21305</v>
      </c>
      <c r="R83" s="310">
        <v>21305</v>
      </c>
      <c r="S83" s="310"/>
    </row>
    <row r="84" spans="2:26" x14ac:dyDescent="0.25">
      <c r="B84" s="298" t="s">
        <v>22</v>
      </c>
      <c r="C84" s="316">
        <v>17215</v>
      </c>
      <c r="D84" s="316">
        <v>33844</v>
      </c>
      <c r="E84" s="316">
        <v>17215</v>
      </c>
      <c r="F84" s="316">
        <v>17215</v>
      </c>
      <c r="G84" s="316">
        <v>17215</v>
      </c>
      <c r="H84" s="316">
        <v>17215</v>
      </c>
      <c r="I84" s="316">
        <v>17215</v>
      </c>
      <c r="J84" s="316">
        <v>17215</v>
      </c>
      <c r="K84" s="316">
        <v>17215</v>
      </c>
      <c r="L84" s="316">
        <v>17215</v>
      </c>
      <c r="M84" s="310">
        <v>17215</v>
      </c>
      <c r="N84" s="310">
        <v>17215</v>
      </c>
      <c r="O84" s="310">
        <v>17990.75</v>
      </c>
      <c r="P84" s="310">
        <v>17991</v>
      </c>
      <c r="Q84" s="310">
        <v>17990.75</v>
      </c>
      <c r="R84" s="310">
        <v>17990.75</v>
      </c>
      <c r="S84" s="310"/>
    </row>
    <row r="85" spans="2:26" x14ac:dyDescent="0.25">
      <c r="B85" s="298" t="s">
        <v>23</v>
      </c>
      <c r="C85" s="316">
        <v>12668.33</v>
      </c>
      <c r="D85" s="316">
        <v>12668.33</v>
      </c>
      <c r="E85" s="316">
        <v>12668.33</v>
      </c>
      <c r="F85" s="316">
        <v>12668.33</v>
      </c>
      <c r="G85" s="316">
        <v>12668.33</v>
      </c>
      <c r="H85" s="316">
        <v>12668.33</v>
      </c>
      <c r="I85" s="316">
        <v>12668.33</v>
      </c>
      <c r="J85" s="316">
        <v>12668.33</v>
      </c>
      <c r="K85" s="316">
        <v>12668.33</v>
      </c>
      <c r="L85" s="316">
        <v>12668.33</v>
      </c>
      <c r="M85" s="310">
        <v>12668</v>
      </c>
      <c r="N85" s="310">
        <v>12668</v>
      </c>
      <c r="O85" s="310">
        <v>18815.330000000002</v>
      </c>
      <c r="P85" s="310">
        <v>14315</v>
      </c>
      <c r="Q85" s="310">
        <v>14315.33</v>
      </c>
      <c r="R85" s="310">
        <v>18815.330000000002</v>
      </c>
      <c r="S85" s="310"/>
    </row>
    <row r="86" spans="2:26" x14ac:dyDescent="0.25">
      <c r="B86" s="299" t="s">
        <v>24</v>
      </c>
      <c r="C86" s="317">
        <v>20248</v>
      </c>
      <c r="D86" s="317">
        <v>20248</v>
      </c>
      <c r="E86" s="317">
        <v>20248</v>
      </c>
      <c r="F86" s="317">
        <v>20248</v>
      </c>
      <c r="G86" s="317">
        <v>20248</v>
      </c>
      <c r="H86" s="317">
        <v>20248</v>
      </c>
      <c r="I86" s="317">
        <v>20248</v>
      </c>
      <c r="J86" s="311">
        <v>20248</v>
      </c>
      <c r="K86" s="311">
        <v>20248</v>
      </c>
      <c r="L86" s="311">
        <v>20248</v>
      </c>
      <c r="M86" s="311">
        <v>20248</v>
      </c>
      <c r="N86" s="311">
        <v>20248</v>
      </c>
      <c r="O86" s="409">
        <v>20571</v>
      </c>
      <c r="P86" s="409">
        <v>20571</v>
      </c>
      <c r="Q86" s="409">
        <v>20571</v>
      </c>
      <c r="R86" s="409">
        <v>20571</v>
      </c>
      <c r="S86" s="310"/>
    </row>
    <row r="87" spans="2:26" x14ac:dyDescent="0.25">
      <c r="B87" s="298" t="s">
        <v>25</v>
      </c>
      <c r="C87" s="316">
        <v>17880</v>
      </c>
      <c r="D87" s="316">
        <v>17880</v>
      </c>
      <c r="E87" s="316">
        <v>17880</v>
      </c>
      <c r="F87" s="316">
        <v>17880</v>
      </c>
      <c r="G87" s="316">
        <v>17880</v>
      </c>
      <c r="H87" s="316">
        <v>17880</v>
      </c>
      <c r="I87" s="316">
        <v>17880</v>
      </c>
      <c r="J87" s="316">
        <v>17880</v>
      </c>
      <c r="K87" s="316">
        <v>17880</v>
      </c>
      <c r="L87" s="316">
        <v>17880</v>
      </c>
      <c r="M87" s="310">
        <v>17880</v>
      </c>
      <c r="N87" s="310">
        <v>17880</v>
      </c>
      <c r="O87" s="310">
        <v>20385</v>
      </c>
      <c r="P87" s="310">
        <v>20385</v>
      </c>
      <c r="Q87" s="310">
        <v>20385</v>
      </c>
      <c r="R87" s="310">
        <v>20385</v>
      </c>
      <c r="S87" s="310"/>
    </row>
    <row r="88" spans="2:26" x14ac:dyDescent="0.25">
      <c r="B88" s="298" t="s">
        <v>26</v>
      </c>
      <c r="C88" s="316">
        <v>19378.25</v>
      </c>
      <c r="D88" s="316">
        <v>19378.25</v>
      </c>
      <c r="E88" s="316">
        <v>19378.25</v>
      </c>
      <c r="F88" s="316">
        <v>19378.25</v>
      </c>
      <c r="G88" s="316">
        <v>19378.25</v>
      </c>
      <c r="H88" s="316">
        <v>19378.25</v>
      </c>
      <c r="I88" s="316">
        <v>19378.25</v>
      </c>
      <c r="J88" s="316">
        <v>19378.25</v>
      </c>
      <c r="K88" s="316">
        <v>19378.25</v>
      </c>
      <c r="L88" s="316">
        <v>19378.25</v>
      </c>
      <c r="M88" s="310">
        <v>19378</v>
      </c>
      <c r="N88" s="310">
        <v>19378</v>
      </c>
      <c r="O88" s="310">
        <v>23483.25</v>
      </c>
      <c r="P88" s="310">
        <v>25393</v>
      </c>
      <c r="Q88" s="310">
        <v>23483.25</v>
      </c>
      <c r="R88" s="310">
        <v>20793.25</v>
      </c>
      <c r="S88" s="310"/>
    </row>
    <row r="89" spans="2:26" x14ac:dyDescent="0.25">
      <c r="B89" s="298" t="s">
        <v>27</v>
      </c>
      <c r="C89" s="316">
        <v>16827</v>
      </c>
      <c r="D89" s="316">
        <v>16827</v>
      </c>
      <c r="E89" s="316">
        <v>16827</v>
      </c>
      <c r="F89" s="316">
        <v>16827</v>
      </c>
      <c r="G89" s="316">
        <v>16827</v>
      </c>
      <c r="H89" s="316">
        <v>16827</v>
      </c>
      <c r="I89" s="316">
        <v>16827</v>
      </c>
      <c r="J89" s="316">
        <v>16827</v>
      </c>
      <c r="K89" s="316">
        <v>16827</v>
      </c>
      <c r="L89" s="316">
        <v>16827</v>
      </c>
      <c r="M89" s="310">
        <v>16827</v>
      </c>
      <c r="N89" s="310">
        <v>16827</v>
      </c>
      <c r="O89" s="310">
        <v>18182</v>
      </c>
      <c r="P89" s="310">
        <v>18182</v>
      </c>
      <c r="Q89" s="310">
        <v>18182</v>
      </c>
      <c r="R89" s="310">
        <v>18182</v>
      </c>
      <c r="S89" s="310"/>
    </row>
    <row r="90" spans="2:26" x14ac:dyDescent="0.25">
      <c r="B90" s="298" t="s">
        <v>28</v>
      </c>
      <c r="C90" s="316">
        <v>17420</v>
      </c>
      <c r="D90" s="316">
        <v>17320</v>
      </c>
      <c r="E90" s="316">
        <v>46070</v>
      </c>
      <c r="F90" s="316">
        <v>18620</v>
      </c>
      <c r="G90" s="316">
        <v>32922.800000000003</v>
      </c>
      <c r="H90" s="316">
        <v>19115.28</v>
      </c>
      <c r="I90" s="316">
        <v>17120</v>
      </c>
      <c r="J90" s="316">
        <v>38970</v>
      </c>
      <c r="K90" s="316">
        <v>22379.46</v>
      </c>
      <c r="L90" s="316">
        <v>16070</v>
      </c>
      <c r="M90" s="310">
        <v>28623</v>
      </c>
      <c r="N90" s="310">
        <v>15970</v>
      </c>
      <c r="O90" s="310">
        <v>25100.799999999999</v>
      </c>
      <c r="P90" s="310">
        <v>21700</v>
      </c>
      <c r="Q90" s="310">
        <v>25042.85</v>
      </c>
      <c r="R90" s="310">
        <v>25550</v>
      </c>
      <c r="S90" s="310"/>
    </row>
    <row r="91" spans="2:26" x14ac:dyDescent="0.25">
      <c r="B91" s="298" t="s">
        <v>29</v>
      </c>
      <c r="C91" s="316">
        <v>32803</v>
      </c>
      <c r="D91" s="316">
        <v>52358</v>
      </c>
      <c r="E91" s="316">
        <v>18422</v>
      </c>
      <c r="F91" s="316">
        <v>25983</v>
      </c>
      <c r="G91" s="316">
        <v>17858</v>
      </c>
      <c r="H91" s="316">
        <v>19208</v>
      </c>
      <c r="I91" s="316">
        <v>21443</v>
      </c>
      <c r="J91" s="316">
        <v>18422</v>
      </c>
      <c r="K91" s="316">
        <v>26058</v>
      </c>
      <c r="L91" s="316">
        <v>21125</v>
      </c>
      <c r="M91" s="310">
        <v>18858</v>
      </c>
      <c r="N91" s="310">
        <v>19358</v>
      </c>
      <c r="O91" s="310">
        <v>19892</v>
      </c>
      <c r="P91" s="310">
        <v>21342</v>
      </c>
      <c r="Q91" s="310">
        <v>37392</v>
      </c>
      <c r="R91" s="310">
        <v>21892</v>
      </c>
      <c r="S91" s="310"/>
    </row>
    <row r="92" spans="2:26" x14ac:dyDescent="0.25">
      <c r="B92" s="298" t="s">
        <v>30</v>
      </c>
      <c r="C92" s="316">
        <v>12167</v>
      </c>
      <c r="D92" s="316">
        <v>12167</v>
      </c>
      <c r="E92" s="316">
        <v>12167</v>
      </c>
      <c r="F92" s="316">
        <v>12167</v>
      </c>
      <c r="G92" s="316">
        <v>12167</v>
      </c>
      <c r="H92" s="316">
        <v>12167</v>
      </c>
      <c r="I92" s="316">
        <v>12167</v>
      </c>
      <c r="J92" s="316">
        <v>12167</v>
      </c>
      <c r="K92" s="316">
        <v>12167</v>
      </c>
      <c r="L92" s="316">
        <v>12167</v>
      </c>
      <c r="M92" s="310">
        <v>12167</v>
      </c>
      <c r="N92" s="310">
        <v>12167</v>
      </c>
      <c r="O92" s="310">
        <v>10941</v>
      </c>
      <c r="P92" s="310">
        <v>11106</v>
      </c>
      <c r="Q92" s="310">
        <v>11106</v>
      </c>
      <c r="R92" s="310">
        <v>11106</v>
      </c>
      <c r="S92" s="310"/>
    </row>
    <row r="93" spans="2:26" x14ac:dyDescent="0.25">
      <c r="B93" s="298" t="s">
        <v>31</v>
      </c>
      <c r="C93" s="316">
        <v>33617</v>
      </c>
      <c r="D93" s="316">
        <v>17505</v>
      </c>
      <c r="E93" s="316">
        <v>17905</v>
      </c>
      <c r="F93" s="316">
        <v>17505</v>
      </c>
      <c r="G93" s="316">
        <v>17505</v>
      </c>
      <c r="H93" s="316">
        <v>18855</v>
      </c>
      <c r="I93" s="316">
        <v>17505</v>
      </c>
      <c r="J93" s="316">
        <v>17505</v>
      </c>
      <c r="K93" s="316">
        <v>17905</v>
      </c>
      <c r="L93" s="316">
        <v>17505</v>
      </c>
      <c r="M93" s="310">
        <v>17505</v>
      </c>
      <c r="N93" s="310">
        <v>17505</v>
      </c>
      <c r="O93" s="310">
        <v>20565</v>
      </c>
      <c r="P93" s="310">
        <v>19675</v>
      </c>
      <c r="Q93" s="310">
        <v>19675</v>
      </c>
      <c r="R93" s="310">
        <v>19675</v>
      </c>
      <c r="S93" s="310"/>
    </row>
    <row r="94" spans="2:26" x14ac:dyDescent="0.25">
      <c r="B94" s="298" t="s">
        <v>32</v>
      </c>
      <c r="C94" s="316">
        <v>20040</v>
      </c>
      <c r="D94" s="316">
        <v>21240</v>
      </c>
      <c r="E94" s="316">
        <v>21530</v>
      </c>
      <c r="F94" s="316">
        <v>19286</v>
      </c>
      <c r="G94" s="316">
        <v>24390</v>
      </c>
      <c r="H94" s="316">
        <v>17740</v>
      </c>
      <c r="I94" s="316">
        <v>18040</v>
      </c>
      <c r="J94" s="316">
        <v>17740</v>
      </c>
      <c r="K94" s="317">
        <v>17740</v>
      </c>
      <c r="L94" s="317">
        <v>19686</v>
      </c>
      <c r="M94" s="311">
        <v>19240</v>
      </c>
      <c r="N94" s="311">
        <v>20740</v>
      </c>
      <c r="O94" s="409">
        <v>21625</v>
      </c>
      <c r="P94" s="409">
        <v>25940</v>
      </c>
      <c r="Q94" s="409">
        <v>30590</v>
      </c>
      <c r="R94" s="409">
        <v>20146</v>
      </c>
      <c r="S94" s="310"/>
      <c r="Z94" s="234"/>
    </row>
    <row r="95" spans="2:26" x14ac:dyDescent="0.25">
      <c r="B95" s="233" t="s">
        <v>34</v>
      </c>
      <c r="C95" s="309">
        <v>8325.85</v>
      </c>
      <c r="D95" s="309">
        <v>9971.4399999999969</v>
      </c>
      <c r="E95" s="309">
        <v>9460.9000000000051</v>
      </c>
      <c r="F95" s="309">
        <v>6683.8300000000017</v>
      </c>
      <c r="G95" s="309">
        <v>7817.2799999999988</v>
      </c>
      <c r="H95" s="309">
        <v>5940.3499999999913</v>
      </c>
      <c r="I95" s="309">
        <v>6182</v>
      </c>
      <c r="J95" s="309">
        <v>12863.860000000015</v>
      </c>
      <c r="K95" s="310">
        <v>8297.109999999986</v>
      </c>
      <c r="L95" s="310">
        <v>7194.17</v>
      </c>
      <c r="M95" s="310">
        <v>10181</v>
      </c>
      <c r="N95" s="310">
        <v>7861</v>
      </c>
      <c r="O95" s="310">
        <v>15387.57</v>
      </c>
      <c r="P95" s="310">
        <v>33264</v>
      </c>
      <c r="Q95" s="310">
        <v>15071.859999999997</v>
      </c>
      <c r="R95" s="310">
        <v>14537.279999999999</v>
      </c>
      <c r="S95" s="310"/>
    </row>
    <row r="96" spans="2:26" x14ac:dyDescent="0.25">
      <c r="B96" t="s">
        <v>35</v>
      </c>
      <c r="C96" s="310">
        <v>13316.480000000001</v>
      </c>
      <c r="D96" s="310">
        <v>14431.480000000001</v>
      </c>
      <c r="E96" s="310">
        <v>12335.479999999992</v>
      </c>
      <c r="F96" s="310">
        <v>12815.48000000001</v>
      </c>
      <c r="G96" s="310">
        <v>14811.480000000003</v>
      </c>
      <c r="H96" s="310">
        <v>16041.479999999996</v>
      </c>
      <c r="I96" s="310">
        <v>12274.479999999981</v>
      </c>
      <c r="J96" s="310">
        <v>20604.480000000025</v>
      </c>
      <c r="K96" s="310">
        <v>12274.479999999996</v>
      </c>
      <c r="L96" s="310">
        <v>18380.689999999999</v>
      </c>
      <c r="M96" s="310">
        <v>18140</v>
      </c>
      <c r="N96" s="310">
        <v>17681</v>
      </c>
      <c r="O96" s="310">
        <v>52345.460000000006</v>
      </c>
      <c r="P96" s="310">
        <v>64905</v>
      </c>
      <c r="Q96" s="310">
        <v>50037.189999999995</v>
      </c>
      <c r="R96" s="310">
        <v>52816.97</v>
      </c>
      <c r="S96" s="310"/>
    </row>
    <row r="97" spans="2:19" x14ac:dyDescent="0.25">
      <c r="B97" t="s">
        <v>36</v>
      </c>
      <c r="C97" s="310">
        <v>13687.569999999998</v>
      </c>
      <c r="D97" s="310">
        <v>11996.269999999999</v>
      </c>
      <c r="E97" s="310">
        <v>13372.970000000001</v>
      </c>
      <c r="F97" s="310">
        <v>11035.76999999999</v>
      </c>
      <c r="G97" s="310">
        <v>12517.930000000029</v>
      </c>
      <c r="H97" s="310">
        <v>14769.289999999986</v>
      </c>
      <c r="I97" s="310">
        <v>14580.659999999974</v>
      </c>
      <c r="J97" s="310">
        <v>11996.270000000004</v>
      </c>
      <c r="K97" s="310">
        <v>15735.670000000027</v>
      </c>
      <c r="L97" s="310">
        <v>14165.469999999998</v>
      </c>
      <c r="M97" s="310">
        <v>11800</v>
      </c>
      <c r="N97" s="310">
        <v>14291</v>
      </c>
      <c r="O97" s="310">
        <v>27521.420000000002</v>
      </c>
      <c r="P97" s="310">
        <v>17759</v>
      </c>
      <c r="Q97" s="310">
        <v>25238.149999999994</v>
      </c>
      <c r="R97" s="310">
        <v>24796.6</v>
      </c>
      <c r="S97" s="310"/>
    </row>
    <row r="98" spans="2:19" x14ac:dyDescent="0.25">
      <c r="B98" t="s">
        <v>37</v>
      </c>
      <c r="C98" s="310">
        <v>8900.1500000000015</v>
      </c>
      <c r="D98" s="310">
        <v>8248.130000000001</v>
      </c>
      <c r="E98" s="310">
        <v>7557.0199999999968</v>
      </c>
      <c r="F98" s="310">
        <v>12962.470000000005</v>
      </c>
      <c r="G98" s="310">
        <v>9584.6500000000087</v>
      </c>
      <c r="H98" s="310">
        <v>7358.9599999999846</v>
      </c>
      <c r="I98" s="310">
        <v>6963.1700000000128</v>
      </c>
      <c r="J98" s="310">
        <v>8073.6799999999857</v>
      </c>
      <c r="K98" s="310">
        <v>6182.3300000000163</v>
      </c>
      <c r="L98" s="310">
        <v>8444.1400000000012</v>
      </c>
      <c r="M98" s="310">
        <v>9516</v>
      </c>
      <c r="N98" s="310">
        <v>10145</v>
      </c>
      <c r="O98" s="310">
        <v>22439.849999999995</v>
      </c>
      <c r="P98" s="310">
        <v>25805</v>
      </c>
      <c r="Q98" s="310">
        <v>20112.379999999997</v>
      </c>
      <c r="R98" s="310">
        <v>27044.940000000002</v>
      </c>
      <c r="S98" s="310"/>
    </row>
    <row r="99" spans="2:19" x14ac:dyDescent="0.25">
      <c r="B99" t="s">
        <v>38</v>
      </c>
      <c r="C99" s="310">
        <v>11043.75</v>
      </c>
      <c r="D99" s="310">
        <v>9390.52</v>
      </c>
      <c r="E99" s="310">
        <v>8839.0799999999981</v>
      </c>
      <c r="F99" s="310">
        <v>9372.1900000000023</v>
      </c>
      <c r="G99" s="310">
        <v>7542.1199999999953</v>
      </c>
      <c r="H99" s="310">
        <v>8894.82</v>
      </c>
      <c r="I99" s="310">
        <v>9746.7900000000081</v>
      </c>
      <c r="J99" s="310">
        <v>11801.199999999997</v>
      </c>
      <c r="K99" s="310">
        <v>7542.1199999999953</v>
      </c>
      <c r="L99" s="310">
        <v>11676.18</v>
      </c>
      <c r="M99" s="310">
        <v>11069</v>
      </c>
      <c r="N99" s="310">
        <v>12633</v>
      </c>
      <c r="O99" s="310">
        <v>24252.41</v>
      </c>
      <c r="P99" s="310">
        <v>34845</v>
      </c>
      <c r="Q99" s="310">
        <v>20586.47</v>
      </c>
      <c r="R99" s="310">
        <v>22574.5</v>
      </c>
      <c r="S99" s="310"/>
    </row>
    <row r="100" spans="2:19" x14ac:dyDescent="0.25">
      <c r="B100" t="s">
        <v>39</v>
      </c>
      <c r="C100" s="310">
        <v>5065.8999999999987</v>
      </c>
      <c r="D100" s="310">
        <v>3537.3300000000008</v>
      </c>
      <c r="E100" s="310">
        <v>3537.33</v>
      </c>
      <c r="F100" s="310">
        <v>6219.8800000000028</v>
      </c>
      <c r="G100" s="310">
        <v>4437.5099999999984</v>
      </c>
      <c r="H100" s="310">
        <v>3957.2599999999984</v>
      </c>
      <c r="I100" s="310">
        <v>5485.8300000000017</v>
      </c>
      <c r="J100" s="310">
        <v>3957.2599999999948</v>
      </c>
      <c r="K100" s="310">
        <v>9003.8400000000038</v>
      </c>
      <c r="L100" s="310">
        <v>8221.0299999999988</v>
      </c>
      <c r="M100" s="310">
        <v>4860</v>
      </c>
      <c r="N100" s="310">
        <v>4408</v>
      </c>
      <c r="O100" s="310">
        <v>15515.73</v>
      </c>
      <c r="P100" s="310">
        <v>12104</v>
      </c>
      <c r="Q100" s="310">
        <v>10738.08</v>
      </c>
      <c r="R100" s="310">
        <v>14826.41</v>
      </c>
      <c r="S100" s="310"/>
    </row>
    <row r="101" spans="2:19" x14ac:dyDescent="0.25">
      <c r="B101" t="s">
        <v>33</v>
      </c>
      <c r="C101" s="310">
        <v>10842.44</v>
      </c>
      <c r="D101" s="310">
        <v>14046.319999999998</v>
      </c>
      <c r="E101" s="310">
        <v>10842.440000000006</v>
      </c>
      <c r="F101" s="310">
        <v>13461.220000000001</v>
      </c>
      <c r="G101" s="310">
        <v>11907.789999999994</v>
      </c>
      <c r="H101" s="310">
        <v>10842.44000000001</v>
      </c>
      <c r="I101" s="310">
        <v>10842.439999999973</v>
      </c>
      <c r="J101" s="310">
        <v>17118.800000000017</v>
      </c>
      <c r="K101" s="310">
        <v>11322.689999999988</v>
      </c>
      <c r="L101" s="310">
        <v>16688.93</v>
      </c>
      <c r="M101" s="310">
        <v>19172</v>
      </c>
      <c r="N101" s="310">
        <v>13503</v>
      </c>
      <c r="O101" s="310">
        <v>27158.15</v>
      </c>
      <c r="P101" s="310">
        <v>30850</v>
      </c>
      <c r="Q101" s="310">
        <v>24388.46</v>
      </c>
      <c r="R101" s="310">
        <v>25944.46</v>
      </c>
      <c r="S101" s="310"/>
    </row>
    <row r="102" spans="2:19" x14ac:dyDescent="0.25">
      <c r="B102" s="241" t="s">
        <v>40</v>
      </c>
      <c r="C102" s="311">
        <v>12131.67</v>
      </c>
      <c r="D102" s="311">
        <v>12462.67</v>
      </c>
      <c r="E102" s="311">
        <v>14938.59</v>
      </c>
      <c r="F102" s="311">
        <v>12071.590000000004</v>
      </c>
      <c r="G102" s="311">
        <v>17989.589999999982</v>
      </c>
      <c r="H102" s="311">
        <v>13688.750000000015</v>
      </c>
      <c r="I102" s="311">
        <v>10821.75</v>
      </c>
      <c r="J102" s="311">
        <v>23425.75</v>
      </c>
      <c r="K102" s="311">
        <v>18340.749999999985</v>
      </c>
      <c r="L102" s="311">
        <v>15798.27</v>
      </c>
      <c r="M102" s="311">
        <v>19877</v>
      </c>
      <c r="N102" s="311">
        <v>18894</v>
      </c>
      <c r="O102" s="409">
        <v>39467.97</v>
      </c>
      <c r="P102" s="409">
        <v>44563</v>
      </c>
      <c r="Q102" s="409">
        <v>37925.040000000001</v>
      </c>
      <c r="R102" s="409">
        <v>35642.019999999997</v>
      </c>
      <c r="S102" s="310"/>
    </row>
    <row r="103" spans="2:19" x14ac:dyDescent="0.25">
      <c r="B103" t="s">
        <v>41</v>
      </c>
      <c r="C103" s="310">
        <v>13736.220000000001</v>
      </c>
      <c r="D103" s="310">
        <v>12439.740000000002</v>
      </c>
      <c r="E103" s="310">
        <v>10189.359999999997</v>
      </c>
      <c r="F103" s="310">
        <v>11749.93</v>
      </c>
      <c r="G103" s="310">
        <v>15358.96</v>
      </c>
      <c r="H103" s="310">
        <v>12438.329999999994</v>
      </c>
      <c r="I103" s="310">
        <v>18417.770000000004</v>
      </c>
      <c r="J103" s="310">
        <v>13036.770000000004</v>
      </c>
      <c r="K103" s="310">
        <v>10823.959999999977</v>
      </c>
      <c r="L103" s="310">
        <v>15473.920000000002</v>
      </c>
      <c r="M103" s="310">
        <v>14520</v>
      </c>
      <c r="N103" s="310">
        <v>12630</v>
      </c>
      <c r="O103" s="310">
        <v>36616.83</v>
      </c>
      <c r="P103" s="310">
        <v>38683</v>
      </c>
      <c r="Q103" s="310">
        <v>31258.65</v>
      </c>
      <c r="R103" s="310">
        <v>33081.54</v>
      </c>
      <c r="S103" s="310"/>
    </row>
    <row r="104" spans="2:19" x14ac:dyDescent="0.25">
      <c r="B104" t="s">
        <v>42</v>
      </c>
      <c r="C104" s="310">
        <v>10004.910000000002</v>
      </c>
      <c r="D104" s="310">
        <v>16001.08</v>
      </c>
      <c r="E104" s="310">
        <v>8687.8999999999978</v>
      </c>
      <c r="F104" s="310">
        <v>8188.0500000000029</v>
      </c>
      <c r="G104" s="310">
        <v>13577.689999999995</v>
      </c>
      <c r="H104" s="310">
        <v>6861.3899999999994</v>
      </c>
      <c r="I104" s="310">
        <v>9111.0400000000154</v>
      </c>
      <c r="J104" s="310">
        <v>17985.229999999996</v>
      </c>
      <c r="K104" s="310">
        <v>12234.25</v>
      </c>
      <c r="L104" s="310">
        <v>14482.460000000001</v>
      </c>
      <c r="M104" s="310">
        <v>17881</v>
      </c>
      <c r="N104" s="310">
        <v>14064</v>
      </c>
      <c r="O104" s="310">
        <v>31924.079999999998</v>
      </c>
      <c r="P104" s="310">
        <v>43404</v>
      </c>
      <c r="Q104" s="310">
        <v>29159.040000000001</v>
      </c>
      <c r="R104" s="310">
        <v>42367.56</v>
      </c>
      <c r="S104" s="310"/>
    </row>
    <row r="105" spans="2:19" x14ac:dyDescent="0.25">
      <c r="B105" t="s">
        <v>43</v>
      </c>
      <c r="C105" s="310">
        <v>9770.4699999999975</v>
      </c>
      <c r="D105" s="310">
        <v>9136.0700000000033</v>
      </c>
      <c r="E105" s="310">
        <v>14424.18</v>
      </c>
      <c r="F105" s="310">
        <v>19485.369999999995</v>
      </c>
      <c r="G105" s="310">
        <v>9136.07</v>
      </c>
      <c r="H105" s="310">
        <v>11811.750000000007</v>
      </c>
      <c r="I105" s="310">
        <v>10155.409999999989</v>
      </c>
      <c r="J105" s="310">
        <v>9569.0000000000146</v>
      </c>
      <c r="K105" s="310">
        <v>11260.179999999993</v>
      </c>
      <c r="L105" s="310">
        <v>13868.48</v>
      </c>
      <c r="M105" s="310">
        <v>10927</v>
      </c>
      <c r="N105" s="310">
        <v>14830</v>
      </c>
      <c r="O105" s="310">
        <v>30590.409999999996</v>
      </c>
      <c r="P105" s="310">
        <v>51738</v>
      </c>
      <c r="Q105" s="310">
        <v>33570.33</v>
      </c>
      <c r="R105" s="310">
        <v>35035.06</v>
      </c>
      <c r="S105" s="310"/>
    </row>
    <row r="106" spans="2:19" x14ac:dyDescent="0.25">
      <c r="B106" t="s">
        <v>44</v>
      </c>
      <c r="C106" s="310">
        <v>8349.7900000000009</v>
      </c>
      <c r="D106" s="310">
        <v>10981.36</v>
      </c>
      <c r="E106" s="310">
        <v>13041.899999999998</v>
      </c>
      <c r="F106" s="310">
        <v>12869.539999999997</v>
      </c>
      <c r="G106" s="310">
        <v>10413.360000000008</v>
      </c>
      <c r="H106" s="310">
        <v>18648.149999999987</v>
      </c>
      <c r="I106" s="310">
        <v>7301.5400000000081</v>
      </c>
      <c r="J106" s="310">
        <v>18728.86</v>
      </c>
      <c r="K106" s="310">
        <v>10929.900000000009</v>
      </c>
      <c r="L106" s="310">
        <v>14197.21</v>
      </c>
      <c r="M106" s="310">
        <v>12389</v>
      </c>
      <c r="N106" s="310">
        <v>14614</v>
      </c>
      <c r="O106" s="310">
        <v>25730.11</v>
      </c>
      <c r="P106" s="310">
        <v>56259</v>
      </c>
      <c r="Q106" s="310">
        <v>23920.06</v>
      </c>
      <c r="R106" s="310">
        <v>23979.06</v>
      </c>
      <c r="S106" s="310"/>
    </row>
    <row r="107" spans="2:19" x14ac:dyDescent="0.25">
      <c r="B107" t="s">
        <v>45</v>
      </c>
      <c r="C107" s="310">
        <v>9055.7999999999993</v>
      </c>
      <c r="D107" s="310">
        <v>15323.8</v>
      </c>
      <c r="E107" s="310">
        <v>11142.800000000003</v>
      </c>
      <c r="F107" s="310">
        <v>11902.799999999996</v>
      </c>
      <c r="G107" s="310">
        <v>8063.8000000000029</v>
      </c>
      <c r="H107" s="310">
        <v>11252.800000000003</v>
      </c>
      <c r="I107" s="310">
        <v>8265.8000000000029</v>
      </c>
      <c r="J107" s="310">
        <v>8063.7999999999884</v>
      </c>
      <c r="K107" s="310">
        <v>13028.800000000003</v>
      </c>
      <c r="L107" s="310">
        <v>12419.449999999999</v>
      </c>
      <c r="M107" s="310">
        <v>13084</v>
      </c>
      <c r="N107" s="310">
        <v>14080</v>
      </c>
      <c r="O107" s="310">
        <v>30711.519999999993</v>
      </c>
      <c r="P107" s="310">
        <v>41094</v>
      </c>
      <c r="Q107" s="310">
        <v>30698.859999999997</v>
      </c>
      <c r="R107" s="310">
        <v>30011.26</v>
      </c>
      <c r="S107" s="310"/>
    </row>
    <row r="108" spans="2:19" x14ac:dyDescent="0.25">
      <c r="B108" t="s">
        <v>46</v>
      </c>
      <c r="C108" s="310">
        <v>12250.9</v>
      </c>
      <c r="D108" s="310">
        <v>11524.339999999998</v>
      </c>
      <c r="E108" s="310">
        <v>14264.590000000004</v>
      </c>
      <c r="F108" s="310">
        <v>15291.769999999997</v>
      </c>
      <c r="G108" s="310">
        <v>14165.21</v>
      </c>
      <c r="H108" s="310">
        <v>15514.970000000001</v>
      </c>
      <c r="I108" s="310">
        <v>14710.030000000013</v>
      </c>
      <c r="J108" s="310">
        <v>20470.579999999987</v>
      </c>
      <c r="K108" s="310">
        <v>23059.770000000004</v>
      </c>
      <c r="L108" s="310">
        <v>15054.35</v>
      </c>
      <c r="M108" s="310">
        <v>15492</v>
      </c>
      <c r="N108" s="310">
        <v>17355</v>
      </c>
      <c r="O108" s="310">
        <v>39197.140000000007</v>
      </c>
      <c r="P108" s="310">
        <v>108903</v>
      </c>
      <c r="Q108" s="310">
        <v>31703.690000000002</v>
      </c>
      <c r="R108" s="310">
        <v>36134.840000000004</v>
      </c>
      <c r="S108" s="310"/>
    </row>
    <row r="109" spans="2:19" x14ac:dyDescent="0.25">
      <c r="B109" t="s">
        <v>47</v>
      </c>
      <c r="C109" s="310">
        <v>12734.070000000002</v>
      </c>
      <c r="D109" s="310">
        <v>12640.320000000002</v>
      </c>
      <c r="E109" s="310">
        <v>10894.469999999998</v>
      </c>
      <c r="F109" s="310">
        <v>13132.090000000004</v>
      </c>
      <c r="G109" s="310">
        <v>17912.609999999993</v>
      </c>
      <c r="H109" s="310">
        <v>11953.630000000005</v>
      </c>
      <c r="I109" s="310">
        <v>13289.289999999994</v>
      </c>
      <c r="J109" s="310">
        <v>18601.860000000015</v>
      </c>
      <c r="K109" s="310">
        <v>10894.469999999987</v>
      </c>
      <c r="L109" s="310">
        <v>11970.000000000002</v>
      </c>
      <c r="M109" s="310">
        <v>12975</v>
      </c>
      <c r="N109" s="310">
        <v>9593</v>
      </c>
      <c r="O109" s="310">
        <v>27356.97</v>
      </c>
      <c r="P109" s="310">
        <v>83760</v>
      </c>
      <c r="Q109" s="310">
        <v>23829.919999999998</v>
      </c>
      <c r="R109" s="310">
        <v>26350.07</v>
      </c>
      <c r="S109" s="310"/>
    </row>
    <row r="110" spans="2:19" x14ac:dyDescent="0.25">
      <c r="B110" s="241" t="s">
        <v>48</v>
      </c>
      <c r="C110" s="311">
        <v>9996.77</v>
      </c>
      <c r="D110" s="311">
        <v>10697.77</v>
      </c>
      <c r="E110" s="311">
        <v>13251.770000000004</v>
      </c>
      <c r="F110" s="311">
        <v>8912.7699999999968</v>
      </c>
      <c r="G110" s="311">
        <v>13357.769999999997</v>
      </c>
      <c r="H110" s="311">
        <v>9169.7700000000041</v>
      </c>
      <c r="I110" s="311">
        <v>14809.769999999997</v>
      </c>
      <c r="J110" s="311">
        <v>10961.770000000004</v>
      </c>
      <c r="K110" s="311">
        <v>8689.7699999999895</v>
      </c>
      <c r="L110" s="311">
        <v>10388.370000000001</v>
      </c>
      <c r="M110" s="311">
        <v>12390</v>
      </c>
      <c r="N110" s="311">
        <v>13047</v>
      </c>
      <c r="O110" s="409">
        <v>33078.11</v>
      </c>
      <c r="P110" s="409">
        <v>69774</v>
      </c>
      <c r="Q110" s="409">
        <v>34421.18</v>
      </c>
      <c r="R110" s="409">
        <v>30425.39</v>
      </c>
      <c r="S110" s="310"/>
    </row>
    <row r="111" spans="2:19" x14ac:dyDescent="0.25">
      <c r="B111" t="s">
        <v>49</v>
      </c>
      <c r="C111" s="310">
        <v>35577.19</v>
      </c>
      <c r="D111" s="310">
        <v>44679.21</v>
      </c>
      <c r="E111" s="310">
        <v>37698.980000000003</v>
      </c>
      <c r="F111" s="310">
        <v>47099.49</v>
      </c>
      <c r="G111" s="310">
        <v>44746.090000000004</v>
      </c>
      <c r="H111" s="310">
        <v>40745.620000000003</v>
      </c>
      <c r="I111" s="310">
        <v>36900.43</v>
      </c>
      <c r="J111" s="310">
        <v>44941.98</v>
      </c>
      <c r="K111" s="310">
        <v>35983.550000000003</v>
      </c>
      <c r="L111" s="310">
        <v>36900.430000000008</v>
      </c>
      <c r="M111" s="310">
        <v>45373</v>
      </c>
      <c r="N111" s="310">
        <v>35955</v>
      </c>
      <c r="O111" s="310">
        <v>42739.410000000011</v>
      </c>
      <c r="P111" s="310">
        <v>119285</v>
      </c>
      <c r="Q111" s="310">
        <v>42739.409999999996</v>
      </c>
      <c r="R111" s="310">
        <v>41868.409999999996</v>
      </c>
      <c r="S111" s="310"/>
    </row>
    <row r="112" spans="2:19" x14ac:dyDescent="0.25">
      <c r="B112" t="s">
        <v>50</v>
      </c>
      <c r="C112" s="310">
        <v>26761.11</v>
      </c>
      <c r="D112" s="310">
        <v>25507.019999999997</v>
      </c>
      <c r="E112" s="310">
        <v>23597.279999999999</v>
      </c>
      <c r="F112" s="310">
        <v>22672.87</v>
      </c>
      <c r="G112" s="310">
        <v>23255.07</v>
      </c>
      <c r="H112" s="310">
        <v>21350.91</v>
      </c>
      <c r="I112" s="310">
        <v>22406.819999999996</v>
      </c>
      <c r="J112" s="310">
        <v>36452.93</v>
      </c>
      <c r="K112" s="310">
        <v>51051.33</v>
      </c>
      <c r="L112" s="310">
        <v>55475.060000000005</v>
      </c>
      <c r="M112" s="310">
        <v>51557</v>
      </c>
      <c r="N112" s="310">
        <v>45832</v>
      </c>
      <c r="O112" s="310">
        <v>37527.070000000007</v>
      </c>
      <c r="P112" s="310">
        <v>41095</v>
      </c>
      <c r="Q112" s="310">
        <v>30440.1</v>
      </c>
      <c r="R112" s="310">
        <v>28369.42</v>
      </c>
      <c r="S112" s="310"/>
    </row>
    <row r="113" spans="2:29" x14ac:dyDescent="0.25">
      <c r="B113" t="s">
        <v>51</v>
      </c>
      <c r="C113" s="310"/>
      <c r="D113" s="310"/>
      <c r="E113" s="310"/>
      <c r="F113" s="310"/>
      <c r="G113" s="310"/>
      <c r="H113" s="310"/>
      <c r="I113" s="310"/>
      <c r="J113" s="310"/>
      <c r="K113" s="310"/>
      <c r="L113" s="310">
        <v>35024.839999999997</v>
      </c>
      <c r="M113" s="310">
        <v>0</v>
      </c>
      <c r="N113" s="310">
        <v>0</v>
      </c>
      <c r="O113" s="310">
        <v>0</v>
      </c>
      <c r="P113" s="310">
        <v>0</v>
      </c>
      <c r="Q113" s="310">
        <v>0</v>
      </c>
      <c r="R113" s="310">
        <v>0</v>
      </c>
      <c r="S113" s="310"/>
    </row>
    <row r="114" spans="2:29" x14ac:dyDescent="0.25">
      <c r="B114" t="s">
        <v>52</v>
      </c>
      <c r="C114" s="310">
        <v>22516.41</v>
      </c>
      <c r="D114" s="310">
        <v>23944.41</v>
      </c>
      <c r="E114" s="310">
        <v>23951.289999999997</v>
      </c>
      <c r="F114" s="310">
        <v>9524.66</v>
      </c>
      <c r="G114" s="310">
        <v>12336.16</v>
      </c>
      <c r="H114" s="310">
        <v>9271.59</v>
      </c>
      <c r="I114" s="310">
        <v>21775.75</v>
      </c>
      <c r="J114" s="310">
        <v>11735.56</v>
      </c>
      <c r="K114" s="310">
        <v>9271.59</v>
      </c>
      <c r="L114" s="310">
        <v>9044.41</v>
      </c>
      <c r="M114" s="310">
        <v>13036</v>
      </c>
      <c r="N114" s="310">
        <v>9272</v>
      </c>
      <c r="O114" s="310">
        <v>25911.93</v>
      </c>
      <c r="P114" s="310">
        <v>21889</v>
      </c>
      <c r="Q114" s="310">
        <v>25851.050000000003</v>
      </c>
      <c r="R114" s="310">
        <v>30472.11</v>
      </c>
      <c r="S114" s="310"/>
    </row>
    <row r="115" spans="2:29" x14ac:dyDescent="0.25">
      <c r="B115" t="s">
        <v>53</v>
      </c>
      <c r="C115" s="310">
        <v>22180.3</v>
      </c>
      <c r="D115" s="310">
        <v>23940.32</v>
      </c>
      <c r="E115" s="310">
        <v>25069.190000000002</v>
      </c>
      <c r="F115" s="310">
        <v>9728.4699999999993</v>
      </c>
      <c r="G115" s="310">
        <v>10468.32</v>
      </c>
      <c r="H115" s="310">
        <v>9371.369999999999</v>
      </c>
      <c r="I115" s="310">
        <v>14299.68</v>
      </c>
      <c r="J115" s="310">
        <v>14258.6</v>
      </c>
      <c r="K115" s="310">
        <v>8489.6899999999987</v>
      </c>
      <c r="L115" s="310">
        <v>8708.2999999999993</v>
      </c>
      <c r="M115" s="310">
        <v>11733</v>
      </c>
      <c r="N115" s="310">
        <v>9990</v>
      </c>
      <c r="O115" s="310">
        <v>24699.01</v>
      </c>
      <c r="P115" s="310">
        <v>27824</v>
      </c>
      <c r="Q115" s="310">
        <v>25217.739999999998</v>
      </c>
      <c r="R115" s="310">
        <v>28602.18</v>
      </c>
      <c r="S115" s="310"/>
    </row>
    <row r="116" spans="2:29" x14ac:dyDescent="0.25">
      <c r="B116" t="s">
        <v>54</v>
      </c>
      <c r="C116" s="310">
        <v>37856.909999999996</v>
      </c>
      <c r="D116" s="310">
        <v>39784.689999999995</v>
      </c>
      <c r="E116" s="310">
        <v>37856.909999999996</v>
      </c>
      <c r="F116" s="310">
        <v>20573.379999999997</v>
      </c>
      <c r="G116" s="310">
        <v>27309.879999999997</v>
      </c>
      <c r="H116" s="310">
        <v>24032.67</v>
      </c>
      <c r="I116" s="310">
        <v>26950.43</v>
      </c>
      <c r="J116" s="310">
        <v>21099.399999999998</v>
      </c>
      <c r="K116" s="310">
        <v>22319.229999999996</v>
      </c>
      <c r="L116" s="310">
        <v>21564.53</v>
      </c>
      <c r="M116" s="310">
        <v>21294</v>
      </c>
      <c r="N116" s="310">
        <v>26594</v>
      </c>
      <c r="O116" s="310">
        <v>38709.139999999992</v>
      </c>
      <c r="P116" s="310">
        <v>79884</v>
      </c>
      <c r="Q116" s="310">
        <v>37153.14</v>
      </c>
      <c r="R116" s="310">
        <v>37153.14</v>
      </c>
      <c r="S116" s="310"/>
    </row>
    <row r="117" spans="2:29" x14ac:dyDescent="0.25">
      <c r="P117" s="310"/>
      <c r="R117" s="310"/>
      <c r="S117" s="310"/>
    </row>
    <row r="118" spans="2:29" x14ac:dyDescent="0.25">
      <c r="B118" t="s">
        <v>158</v>
      </c>
      <c r="L118" s="430"/>
      <c r="O118" s="310">
        <v>23589</v>
      </c>
      <c r="P118" s="310">
        <v>25166</v>
      </c>
      <c r="Q118" s="310">
        <v>24346</v>
      </c>
      <c r="R118" s="310">
        <v>22769</v>
      </c>
      <c r="S118" s="310"/>
      <c r="Y118" s="251" t="s">
        <v>228</v>
      </c>
      <c r="Z118" s="251"/>
      <c r="AA118" s="251"/>
      <c r="AB118" s="251"/>
      <c r="AC118" s="251"/>
    </row>
    <row r="119" spans="2:29" x14ac:dyDescent="0.25">
      <c r="P119" s="310"/>
      <c r="Y119" s="251"/>
      <c r="Z119" s="251"/>
      <c r="AA119" s="251"/>
      <c r="AB119" s="251"/>
      <c r="AC119" s="251"/>
    </row>
    <row r="120" spans="2:29" x14ac:dyDescent="0.25">
      <c r="B120" s="414" t="s">
        <v>67</v>
      </c>
      <c r="C120" s="232" t="s">
        <v>181</v>
      </c>
      <c r="D120" s="232" t="s">
        <v>182</v>
      </c>
      <c r="E120" s="232" t="s">
        <v>213</v>
      </c>
      <c r="F120" s="232" t="s">
        <v>202</v>
      </c>
      <c r="G120" s="232" t="s">
        <v>184</v>
      </c>
      <c r="H120" s="232" t="s">
        <v>214</v>
      </c>
      <c r="I120" s="232" t="s">
        <v>215</v>
      </c>
      <c r="J120" s="232" t="s">
        <v>188</v>
      </c>
      <c r="K120" s="232" t="s">
        <v>205</v>
      </c>
      <c r="L120" s="232" t="s">
        <v>226</v>
      </c>
      <c r="M120" s="232" t="s">
        <v>191</v>
      </c>
      <c r="N120" s="232" t="s">
        <v>192</v>
      </c>
      <c r="O120" s="232" t="s">
        <v>193</v>
      </c>
      <c r="P120" s="232" t="s">
        <v>194</v>
      </c>
      <c r="Q120" s="232" t="s">
        <v>195</v>
      </c>
      <c r="R120" s="232" t="s">
        <v>236</v>
      </c>
      <c r="S120" s="232"/>
      <c r="Y120" s="253" t="s">
        <v>229</v>
      </c>
      <c r="Z120" s="253" t="s">
        <v>230</v>
      </c>
      <c r="AA120" s="253" t="s">
        <v>222</v>
      </c>
      <c r="AB120" s="253" t="s">
        <v>223</v>
      </c>
      <c r="AC120" s="253" t="s">
        <v>229</v>
      </c>
    </row>
    <row r="121" spans="2:29" x14ac:dyDescent="0.25">
      <c r="B121" s="233" t="s">
        <v>2</v>
      </c>
      <c r="C121" s="249">
        <v>-12529.39</v>
      </c>
      <c r="D121" s="249">
        <v>3490.13</v>
      </c>
      <c r="E121" s="249">
        <v>-12834.279999999999</v>
      </c>
      <c r="F121" s="249">
        <v>10746.19</v>
      </c>
      <c r="G121" s="249">
        <v>3323.05</v>
      </c>
      <c r="H121" s="249">
        <v>10497.08</v>
      </c>
      <c r="I121" s="249">
        <v>18138.61</v>
      </c>
      <c r="J121" s="249">
        <v>5263.4399999999987</v>
      </c>
      <c r="K121" s="249">
        <v>27740.41</v>
      </c>
      <c r="L121" s="249">
        <v>925.98999999999978</v>
      </c>
      <c r="M121" s="249">
        <v>774</v>
      </c>
      <c r="N121" s="249">
        <v>-10735</v>
      </c>
      <c r="O121" s="249">
        <v>422</v>
      </c>
      <c r="P121" s="249">
        <v>-13994.579999999998</v>
      </c>
      <c r="Q121" s="249">
        <v>-8455</v>
      </c>
      <c r="R121" s="249">
        <v>2994.8300000000017</v>
      </c>
      <c r="S121" s="249"/>
      <c r="Y121" t="s">
        <v>119</v>
      </c>
      <c r="Z121" s="252">
        <v>-119087.26999999999</v>
      </c>
      <c r="AA121" s="252">
        <v>110684.35</v>
      </c>
      <c r="AB121" s="252">
        <v>-25374.679999999978</v>
      </c>
      <c r="AC121" s="252">
        <v>-33777.599999999962</v>
      </c>
    </row>
    <row r="122" spans="2:29" x14ac:dyDescent="0.25">
      <c r="B122" t="s">
        <v>3</v>
      </c>
      <c r="C122" s="249">
        <v>-13073.779999999999</v>
      </c>
      <c r="D122" s="249">
        <v>-17662.59</v>
      </c>
      <c r="E122" s="249">
        <v>-5060.6500000000015</v>
      </c>
      <c r="F122" s="249">
        <v>3483.7700000000004</v>
      </c>
      <c r="G122" s="249">
        <v>-7944.5400000000009</v>
      </c>
      <c r="H122" s="249">
        <v>27320.5</v>
      </c>
      <c r="I122" s="249">
        <v>-10227.400000000001</v>
      </c>
      <c r="J122" s="249">
        <v>-11177.059999999998</v>
      </c>
      <c r="K122" s="249">
        <v>16425.490000000002</v>
      </c>
      <c r="L122" s="249">
        <v>11014.300000000003</v>
      </c>
      <c r="M122" s="249">
        <v>29185.949999999997</v>
      </c>
      <c r="N122" s="249">
        <v>8909.9000000000015</v>
      </c>
      <c r="O122" s="249">
        <v>11050</v>
      </c>
      <c r="P122" s="249">
        <v>9995.0299999999988</v>
      </c>
      <c r="Q122" s="249">
        <v>24263.9</v>
      </c>
      <c r="R122" s="249">
        <v>-5246.6799999999994</v>
      </c>
      <c r="S122" s="249"/>
      <c r="Y122" t="s">
        <v>141</v>
      </c>
      <c r="Z122" s="252">
        <v>-69452.929999999978</v>
      </c>
      <c r="AA122" s="252">
        <v>139037.03999999998</v>
      </c>
      <c r="AB122" s="252">
        <v>31798.71</v>
      </c>
      <c r="AC122" s="252">
        <v>101382.82</v>
      </c>
    </row>
    <row r="123" spans="2:29" x14ac:dyDescent="0.25">
      <c r="B123" t="s">
        <v>4</v>
      </c>
      <c r="C123" s="249">
        <v>-4258.9499999999971</v>
      </c>
      <c r="D123" s="249">
        <v>-12629.71</v>
      </c>
      <c r="E123" s="249">
        <v>-5834.9199999999983</v>
      </c>
      <c r="F123" s="249">
        <v>11523.580000000002</v>
      </c>
      <c r="G123" s="249">
        <v>-1686.2599999999948</v>
      </c>
      <c r="H123" s="249">
        <v>24222.62</v>
      </c>
      <c r="I123" s="249">
        <v>-5177.1599999999962</v>
      </c>
      <c r="J123" s="249">
        <v>2170.5200000000041</v>
      </c>
      <c r="K123" s="249">
        <v>5973.9100000000035</v>
      </c>
      <c r="L123" s="249">
        <v>2737.1999999999971</v>
      </c>
      <c r="M123" s="249">
        <v>8728.61</v>
      </c>
      <c r="N123" s="249">
        <v>-1483.3899999999994</v>
      </c>
      <c r="O123" s="249">
        <v>2506</v>
      </c>
      <c r="P123" s="249">
        <v>9525.4199999999983</v>
      </c>
      <c r="Q123" s="249">
        <v>5193.6100000000006</v>
      </c>
      <c r="R123" s="249">
        <v>-20941.760000000002</v>
      </c>
      <c r="S123" s="249"/>
      <c r="Y123" t="s">
        <v>142</v>
      </c>
      <c r="Z123" s="252">
        <v>-6390.2700000000041</v>
      </c>
      <c r="AA123" s="252">
        <v>-31235.049999999996</v>
      </c>
      <c r="AB123" s="252">
        <v>-5272.3500000000022</v>
      </c>
      <c r="AC123" s="252">
        <v>-42897.67</v>
      </c>
    </row>
    <row r="124" spans="2:29" x14ac:dyDescent="0.25">
      <c r="B124" t="s">
        <v>5</v>
      </c>
      <c r="C124" s="249">
        <v>-587.97999999999956</v>
      </c>
      <c r="D124" s="249">
        <v>-174.90999999999985</v>
      </c>
      <c r="E124" s="249">
        <v>-931.97999999999956</v>
      </c>
      <c r="F124" s="249">
        <v>-3718.42</v>
      </c>
      <c r="G124" s="249">
        <v>2663.7700000000004</v>
      </c>
      <c r="H124" s="249">
        <v>-2367.1800000000003</v>
      </c>
      <c r="I124" s="249">
        <v>-127.20999999999913</v>
      </c>
      <c r="J124" s="249">
        <v>-7124.66</v>
      </c>
      <c r="K124" s="249">
        <v>6768.9</v>
      </c>
      <c r="L124" s="249">
        <v>514.27000000000044</v>
      </c>
      <c r="M124" s="249">
        <v>2837</v>
      </c>
      <c r="N124" s="249">
        <v>-3699</v>
      </c>
      <c r="O124" s="249">
        <v>-1140</v>
      </c>
      <c r="P124" s="249">
        <v>5221.01</v>
      </c>
      <c r="Q124" s="249">
        <v>4084</v>
      </c>
      <c r="R124" s="249">
        <v>-286.54999999999927</v>
      </c>
      <c r="S124" s="249"/>
      <c r="Y124" t="s">
        <v>217</v>
      </c>
      <c r="Z124" s="252">
        <v>113267.15999999997</v>
      </c>
      <c r="AA124" s="252">
        <v>-60994.039999999986</v>
      </c>
      <c r="AB124" s="252">
        <v>-7001.1599999999889</v>
      </c>
      <c r="AC124" s="252">
        <v>45271.96</v>
      </c>
    </row>
    <row r="125" spans="2:29" x14ac:dyDescent="0.25">
      <c r="B125" t="s">
        <v>6</v>
      </c>
      <c r="C125" s="249">
        <v>-4735.2000000000007</v>
      </c>
      <c r="D125" s="249">
        <v>6228.84</v>
      </c>
      <c r="E125" s="249">
        <v>-3800.6800000000003</v>
      </c>
      <c r="F125" s="249">
        <v>6537.48</v>
      </c>
      <c r="G125" s="249">
        <v>-1660.5900000000001</v>
      </c>
      <c r="H125" s="249">
        <v>-114.96999999999935</v>
      </c>
      <c r="I125" s="249">
        <v>-4434.6500000000015</v>
      </c>
      <c r="J125" s="249">
        <v>-3918.92</v>
      </c>
      <c r="K125" s="249">
        <v>-1690.2999999999993</v>
      </c>
      <c r="L125" s="249">
        <v>-5623.3600000000006</v>
      </c>
      <c r="M125" s="249">
        <v>1628</v>
      </c>
      <c r="N125" s="249">
        <v>4754</v>
      </c>
      <c r="O125" s="249">
        <v>-6091</v>
      </c>
      <c r="P125" s="249">
        <v>-9129.0799999999981</v>
      </c>
      <c r="Q125" s="249">
        <v>-11222</v>
      </c>
      <c r="R125" s="249">
        <v>6077.8499999999995</v>
      </c>
      <c r="S125" s="249"/>
      <c r="Y125" t="s">
        <v>144</v>
      </c>
      <c r="Z125" s="252">
        <v>-46904.959999999985</v>
      </c>
      <c r="AA125" s="252">
        <v>-101120</v>
      </c>
      <c r="AB125" s="252">
        <v>-14045.819999999996</v>
      </c>
      <c r="AC125" s="252">
        <v>-162070.78</v>
      </c>
    </row>
    <row r="126" spans="2:29" x14ac:dyDescent="0.25">
      <c r="B126" s="241" t="s">
        <v>7</v>
      </c>
      <c r="C126" s="249">
        <v>12393.74</v>
      </c>
      <c r="D126" s="249">
        <v>-20179.199999999997</v>
      </c>
      <c r="E126" s="249">
        <v>-26905.760000000002</v>
      </c>
      <c r="F126" s="249">
        <v>16425.060000000001</v>
      </c>
      <c r="G126" s="249">
        <v>2100.4200000000019</v>
      </c>
      <c r="H126" s="249">
        <v>9332.7900000000009</v>
      </c>
      <c r="I126" s="249">
        <v>-16085.049999999996</v>
      </c>
      <c r="J126" s="249">
        <v>-49907.299999999996</v>
      </c>
      <c r="K126" s="249">
        <v>2013.75</v>
      </c>
      <c r="L126" s="249">
        <v>-4756.2299999999996</v>
      </c>
      <c r="M126" s="249">
        <v>-10171.349999999999</v>
      </c>
      <c r="N126" s="249">
        <v>-32567.35</v>
      </c>
      <c r="O126" s="249">
        <v>-9739</v>
      </c>
      <c r="P126" s="249">
        <v>-11365.719999999994</v>
      </c>
      <c r="Q126" s="249">
        <v>-82665.350000000006</v>
      </c>
      <c r="R126" s="249">
        <v>-13300.190000000006</v>
      </c>
      <c r="S126" s="249"/>
      <c r="Y126" t="s">
        <v>120</v>
      </c>
      <c r="Z126" s="252">
        <v>-72525.31</v>
      </c>
      <c r="AA126" s="252">
        <v>-47133.400000000031</v>
      </c>
      <c r="AB126" s="252">
        <v>-60675.079999999973</v>
      </c>
      <c r="AC126" s="252">
        <v>-180333.78999999998</v>
      </c>
    </row>
    <row r="127" spans="2:29" x14ac:dyDescent="0.25">
      <c r="B127" s="233" t="s">
        <v>8</v>
      </c>
      <c r="C127" s="249">
        <v>23573.7</v>
      </c>
      <c r="D127" s="249">
        <v>-2723.9300000000003</v>
      </c>
      <c r="E127" s="249">
        <v>2408.6000000000004</v>
      </c>
      <c r="F127" s="249">
        <v>7233.7099999999991</v>
      </c>
      <c r="G127" s="249">
        <v>7438.5</v>
      </c>
      <c r="H127" s="249">
        <v>16293.42</v>
      </c>
      <c r="I127" s="249">
        <v>-4603.34</v>
      </c>
      <c r="J127" s="249">
        <v>-4750.5800000000017</v>
      </c>
      <c r="K127" s="249">
        <v>6724.4400000000005</v>
      </c>
      <c r="L127" s="249">
        <v>9709.52</v>
      </c>
      <c r="M127" s="249">
        <v>3327</v>
      </c>
      <c r="N127" s="249">
        <v>-27572</v>
      </c>
      <c r="O127" s="249">
        <v>27178</v>
      </c>
      <c r="P127" s="249">
        <v>3476.2200000000012</v>
      </c>
      <c r="Q127" s="249">
        <v>2399.3499999999985</v>
      </c>
      <c r="R127" s="249">
        <v>5568.619999999999</v>
      </c>
      <c r="S127" s="249"/>
      <c r="Y127" t="s">
        <v>146</v>
      </c>
      <c r="Z127" s="252">
        <v>-210499.95999999993</v>
      </c>
      <c r="AA127" s="252">
        <v>-140494.68000000005</v>
      </c>
      <c r="AB127" s="252">
        <v>-32090.430000000051</v>
      </c>
      <c r="AC127" s="252">
        <v>-383085.07000000007</v>
      </c>
    </row>
    <row r="128" spans="2:29" x14ac:dyDescent="0.25">
      <c r="B128" t="s">
        <v>9</v>
      </c>
      <c r="C128" s="249">
        <v>8949.16</v>
      </c>
      <c r="D128" s="249">
        <v>1204.1299999999974</v>
      </c>
      <c r="E128" s="249">
        <v>-4770.8699999999953</v>
      </c>
      <c r="F128" s="249">
        <v>8282.3599999999969</v>
      </c>
      <c r="G128" s="249">
        <v>33804.28</v>
      </c>
      <c r="H128" s="249">
        <v>13535.34</v>
      </c>
      <c r="I128" s="249">
        <v>-20285.370000000003</v>
      </c>
      <c r="J128" s="249">
        <v>-17572.46</v>
      </c>
      <c r="K128" s="249">
        <v>2914.2800000000025</v>
      </c>
      <c r="L128" s="249">
        <v>3469.6999999999971</v>
      </c>
      <c r="M128" s="249">
        <v>-46862</v>
      </c>
      <c r="N128" s="249">
        <v>-10028</v>
      </c>
      <c r="O128" s="249">
        <v>19915</v>
      </c>
      <c r="P128" s="249">
        <v>5310.7700000000041</v>
      </c>
      <c r="Q128" s="249">
        <v>29127.95</v>
      </c>
      <c r="R128" s="249">
        <v>1362.8999999999942</v>
      </c>
      <c r="S128" s="249"/>
      <c r="Y128" t="s">
        <v>147</v>
      </c>
      <c r="Z128" s="252">
        <v>150049.24999999997</v>
      </c>
      <c r="AA128" s="252">
        <v>-453867.58</v>
      </c>
      <c r="AB128" s="252">
        <v>-142864.52000000002</v>
      </c>
      <c r="AC128" s="252">
        <v>-446682.85000000009</v>
      </c>
    </row>
    <row r="129" spans="2:28" x14ac:dyDescent="0.25">
      <c r="B129" t="s">
        <v>10</v>
      </c>
      <c r="C129" s="249">
        <v>-10370.959999999999</v>
      </c>
      <c r="D129" s="249">
        <v>-19299.519999999997</v>
      </c>
      <c r="E129" s="249">
        <v>-10837.169999999998</v>
      </c>
      <c r="F129" s="249">
        <v>31454.880000000001</v>
      </c>
      <c r="G129" s="249">
        <v>18019.28</v>
      </c>
      <c r="H129" s="249">
        <v>20407.660000000003</v>
      </c>
      <c r="I129" s="249">
        <v>11931.669999999998</v>
      </c>
      <c r="J129" s="249">
        <v>6755.3099999999977</v>
      </c>
      <c r="K129" s="249">
        <v>59400.5</v>
      </c>
      <c r="L129" s="249">
        <v>4629.8600000000006</v>
      </c>
      <c r="M129" s="249">
        <v>-18630</v>
      </c>
      <c r="N129" s="249">
        <v>-84750</v>
      </c>
      <c r="O129" s="249">
        <v>35051</v>
      </c>
      <c r="P129" s="249">
        <v>-3696.0899999999965</v>
      </c>
      <c r="Q129" s="249">
        <v>20510.79</v>
      </c>
      <c r="R129" s="249">
        <v>-23732.119999999995</v>
      </c>
      <c r="S129" s="249"/>
    </row>
    <row r="130" spans="2:28" x14ac:dyDescent="0.25">
      <c r="B130" t="s">
        <v>114</v>
      </c>
      <c r="C130" s="249">
        <v>311.01000000000022</v>
      </c>
      <c r="D130" s="249">
        <v>-21385.75</v>
      </c>
      <c r="E130" s="249">
        <v>-1650.6299999999992</v>
      </c>
      <c r="F130" s="249">
        <v>-5445.26</v>
      </c>
      <c r="G130" s="249">
        <v>6735.79</v>
      </c>
      <c r="H130" s="249">
        <v>1973.62</v>
      </c>
      <c r="I130" s="249">
        <v>2747.3900000000003</v>
      </c>
      <c r="J130" s="249">
        <v>2027.8400000000001</v>
      </c>
      <c r="K130" s="249">
        <v>4843.3600000000006</v>
      </c>
      <c r="L130" s="249">
        <v>-36954.94</v>
      </c>
      <c r="M130" s="249">
        <v>-9645</v>
      </c>
      <c r="N130" s="249">
        <v>-28041</v>
      </c>
      <c r="O130" s="249">
        <v>-27621</v>
      </c>
      <c r="P130" s="249">
        <v>4396.7900000000009</v>
      </c>
      <c r="Q130" s="249">
        <v>4642.170000000001</v>
      </c>
      <c r="R130" s="249">
        <v>1518.6599999999999</v>
      </c>
      <c r="S130" s="249"/>
    </row>
    <row r="131" spans="2:28" x14ac:dyDescent="0.25">
      <c r="B131" s="241" t="s">
        <v>12</v>
      </c>
      <c r="C131" s="249">
        <v>5564.4700000000048</v>
      </c>
      <c r="D131" s="249">
        <v>-54391.78</v>
      </c>
      <c r="E131" s="249">
        <v>13966.61</v>
      </c>
      <c r="F131" s="249">
        <v>19494.680000000004</v>
      </c>
      <c r="G131" s="249">
        <v>-11451.869999999995</v>
      </c>
      <c r="H131" s="249">
        <v>-28739.350000000006</v>
      </c>
      <c r="I131" s="249">
        <v>-2197.3700000000026</v>
      </c>
      <c r="J131" s="249">
        <v>-27097.449999999997</v>
      </c>
      <c r="K131" s="249">
        <v>10960.490000000005</v>
      </c>
      <c r="L131" s="249">
        <v>-9945.0800000000017</v>
      </c>
      <c r="M131" s="249">
        <v>-21494</v>
      </c>
      <c r="N131" s="249">
        <v>-17818</v>
      </c>
      <c r="O131" s="249">
        <v>-5047</v>
      </c>
      <c r="P131" s="249">
        <v>-2270.7800000000025</v>
      </c>
      <c r="Q131" s="249">
        <v>24093.929999999993</v>
      </c>
      <c r="R131" s="249">
        <v>-32703.749999999985</v>
      </c>
      <c r="S131" s="249"/>
    </row>
    <row r="132" spans="2:28" x14ac:dyDescent="0.25">
      <c r="B132" t="s">
        <v>13</v>
      </c>
      <c r="C132" s="249">
        <v>-11680.25</v>
      </c>
      <c r="D132" s="249">
        <v>-15056.370000000003</v>
      </c>
      <c r="E132" s="249">
        <v>13428.56</v>
      </c>
      <c r="F132" s="249">
        <v>7112.25</v>
      </c>
      <c r="G132" s="249">
        <v>1252.0600000000013</v>
      </c>
      <c r="H132" s="249">
        <v>7998.5499999999993</v>
      </c>
      <c r="I132" s="249">
        <v>1123.6899999999987</v>
      </c>
      <c r="J132" s="249">
        <v>-1659.0400000000009</v>
      </c>
      <c r="K132" s="249">
        <v>9012.89</v>
      </c>
      <c r="L132" s="249">
        <v>1779.8100000000013</v>
      </c>
      <c r="M132" s="249">
        <v>-1065</v>
      </c>
      <c r="N132" s="249">
        <v>-14503</v>
      </c>
      <c r="O132" s="249">
        <v>17638</v>
      </c>
      <c r="P132" s="249">
        <v>14857.080000000004</v>
      </c>
      <c r="Q132" s="249">
        <v>-2874.7599999999984</v>
      </c>
      <c r="R132" s="249">
        <v>-11586.339999999997</v>
      </c>
      <c r="S132" s="249"/>
      <c r="Y132" s="251" t="s">
        <v>231</v>
      </c>
      <c r="Z132" s="250"/>
      <c r="AA132" s="250"/>
      <c r="AB132" s="250"/>
    </row>
    <row r="133" spans="2:28" x14ac:dyDescent="0.25">
      <c r="B133" t="s">
        <v>14</v>
      </c>
      <c r="C133" s="249">
        <v>3891.7700000000004</v>
      </c>
      <c r="D133" s="249">
        <v>4214.0400000000009</v>
      </c>
      <c r="E133" s="249">
        <v>5607.77</v>
      </c>
      <c r="F133" s="249">
        <v>-4453.09</v>
      </c>
      <c r="G133" s="249">
        <v>7053.99</v>
      </c>
      <c r="H133" s="249">
        <v>3217.9300000000003</v>
      </c>
      <c r="I133" s="249">
        <v>-18950.849999999999</v>
      </c>
      <c r="J133" s="249">
        <v>-13128.740000000002</v>
      </c>
      <c r="K133" s="249">
        <v>-19500.019999999997</v>
      </c>
      <c r="L133" s="249">
        <v>4374.8899999999994</v>
      </c>
      <c r="M133" s="249">
        <v>1783</v>
      </c>
      <c r="N133" s="249">
        <v>6369</v>
      </c>
      <c r="O133" s="249">
        <v>8332</v>
      </c>
      <c r="P133" s="249">
        <v>4628.3600000000006</v>
      </c>
      <c r="Q133" s="249">
        <v>-3012.4399999999987</v>
      </c>
      <c r="R133" s="249">
        <v>-8814.89</v>
      </c>
      <c r="S133" s="249"/>
      <c r="Y133" s="253"/>
      <c r="Z133" s="9" t="s">
        <v>139</v>
      </c>
      <c r="AA133" s="9" t="s">
        <v>140</v>
      </c>
      <c r="AB133" s="254" t="s">
        <v>232</v>
      </c>
    </row>
    <row r="134" spans="2:28" x14ac:dyDescent="0.25">
      <c r="B134" t="s">
        <v>15</v>
      </c>
      <c r="C134" s="249">
        <v>-371.3700000000008</v>
      </c>
      <c r="D134" s="249">
        <v>2290.84</v>
      </c>
      <c r="E134" s="249">
        <v>-21422.269999999997</v>
      </c>
      <c r="F134" s="249">
        <v>-8035.3600000000006</v>
      </c>
      <c r="G134" s="249">
        <v>15734.58</v>
      </c>
      <c r="H134" s="249">
        <v>-37136.32</v>
      </c>
      <c r="I134" s="249">
        <v>-58.969999999999345</v>
      </c>
      <c r="J134" s="249">
        <v>2922.0200000000004</v>
      </c>
      <c r="K134" s="249">
        <v>4269.66</v>
      </c>
      <c r="L134" s="249">
        <v>2637.1200000000008</v>
      </c>
      <c r="M134" s="249">
        <v>4203</v>
      </c>
      <c r="N134" s="249">
        <v>-2517</v>
      </c>
      <c r="O134" s="249">
        <v>-2447</v>
      </c>
      <c r="P134" s="249">
        <v>2735.8599999999988</v>
      </c>
      <c r="Q134" s="249">
        <v>-7108.9400000000023</v>
      </c>
      <c r="R134" s="249">
        <v>4305.3700000000008</v>
      </c>
      <c r="S134" s="249"/>
      <c r="Y134" t="s">
        <v>119</v>
      </c>
      <c r="Z134" s="252"/>
      <c r="AA134" s="252"/>
    </row>
    <row r="135" spans="2:28" x14ac:dyDescent="0.25">
      <c r="B135" t="s">
        <v>16</v>
      </c>
      <c r="C135" s="249">
        <v>-4468.880000000001</v>
      </c>
      <c r="D135" s="249">
        <v>18807.079999999998</v>
      </c>
      <c r="E135" s="249">
        <v>416.40000000000146</v>
      </c>
      <c r="F135" s="249">
        <v>-12321.3</v>
      </c>
      <c r="G135" s="249">
        <v>-13407.619999999999</v>
      </c>
      <c r="H135" s="249">
        <v>5724.73</v>
      </c>
      <c r="I135" s="249">
        <v>9415.77</v>
      </c>
      <c r="J135" s="249">
        <v>2392.5499999999993</v>
      </c>
      <c r="K135" s="249">
        <v>6075.18</v>
      </c>
      <c r="L135" s="249">
        <v>4464.1000000000004</v>
      </c>
      <c r="M135" s="249">
        <v>7535</v>
      </c>
      <c r="N135" s="249">
        <v>-32585</v>
      </c>
      <c r="O135" s="249">
        <v>7704</v>
      </c>
      <c r="P135" s="249">
        <v>16832.3</v>
      </c>
      <c r="Q135" s="249">
        <v>-2913.6899999999987</v>
      </c>
      <c r="R135" s="249">
        <v>8404.9500000000007</v>
      </c>
      <c r="S135" s="249"/>
      <c r="Y135" t="s">
        <v>141</v>
      </c>
      <c r="Z135" s="252">
        <v>511381.11</v>
      </c>
      <c r="AA135" s="252">
        <v>518368.89</v>
      </c>
      <c r="AB135" s="252">
        <v>619751.71</v>
      </c>
    </row>
    <row r="136" spans="2:28" x14ac:dyDescent="0.25">
      <c r="B136" s="241" t="s">
        <v>17</v>
      </c>
      <c r="C136" s="249">
        <v>-4923.5</v>
      </c>
      <c r="D136" s="249">
        <v>-23596.980000000003</v>
      </c>
      <c r="E136" s="249">
        <v>26472.89</v>
      </c>
      <c r="F136" s="249">
        <v>-7588.8600000000006</v>
      </c>
      <c r="G136" s="249">
        <v>-97.370000000002619</v>
      </c>
      <c r="H136" s="249">
        <v>3710.7799999999988</v>
      </c>
      <c r="I136" s="249">
        <v>4323.5</v>
      </c>
      <c r="J136" s="249">
        <v>3926.16</v>
      </c>
      <c r="K136" s="249">
        <v>4563.8499999999985</v>
      </c>
      <c r="L136" s="249">
        <v>3767.0200000000004</v>
      </c>
      <c r="M136" s="249">
        <v>3060</v>
      </c>
      <c r="N136" s="249">
        <v>-2644</v>
      </c>
      <c r="O136" s="249">
        <v>-59</v>
      </c>
      <c r="P136" s="249">
        <v>-4112.0999999999985</v>
      </c>
      <c r="Q136" s="249">
        <v>1663.8199999999997</v>
      </c>
      <c r="R136" s="249">
        <v>-1022.8000000000029</v>
      </c>
      <c r="S136" s="249"/>
      <c r="Y136" t="s">
        <v>142</v>
      </c>
      <c r="Z136" s="252">
        <v>193067.49</v>
      </c>
      <c r="AA136" s="252">
        <v>51879.549999999988</v>
      </c>
      <c r="AB136" s="252">
        <v>8981.8799999999901</v>
      </c>
    </row>
    <row r="137" spans="2:28" x14ac:dyDescent="0.25">
      <c r="B137" s="298" t="s">
        <v>18</v>
      </c>
      <c r="C137" s="249">
        <v>12070.61</v>
      </c>
      <c r="D137" s="249">
        <v>19069.309999999998</v>
      </c>
      <c r="E137" s="249">
        <v>11779.46</v>
      </c>
      <c r="F137" s="249">
        <v>-3738.2700000000004</v>
      </c>
      <c r="G137" s="249">
        <v>2919.4799999999996</v>
      </c>
      <c r="H137" s="249">
        <v>-8082.93</v>
      </c>
      <c r="I137" s="249">
        <v>8221.4500000000007</v>
      </c>
      <c r="J137" s="249">
        <v>-5238.82</v>
      </c>
      <c r="K137" s="249">
        <v>11299.43</v>
      </c>
      <c r="L137" s="249">
        <v>11657.94</v>
      </c>
      <c r="M137" s="249">
        <v>-8016</v>
      </c>
      <c r="N137" s="249">
        <v>1054</v>
      </c>
      <c r="O137" s="249">
        <v>-1816.8300000000017</v>
      </c>
      <c r="P137" s="249">
        <v>22876</v>
      </c>
      <c r="Q137" s="249">
        <v>-4671.4699999999975</v>
      </c>
      <c r="R137" s="249">
        <v>-4285.1399999999994</v>
      </c>
      <c r="S137" s="249"/>
      <c r="Y137" t="s">
        <v>143</v>
      </c>
      <c r="Z137" s="252">
        <v>674546.55999999994</v>
      </c>
      <c r="AA137" s="252">
        <v>698353.44000000006</v>
      </c>
      <c r="AB137" s="252">
        <v>743625.4</v>
      </c>
    </row>
    <row r="138" spans="2:28" x14ac:dyDescent="0.25">
      <c r="B138" s="298" t="s">
        <v>19</v>
      </c>
      <c r="C138" s="249">
        <v>3306.2200000000012</v>
      </c>
      <c r="D138" s="249">
        <v>8974.27</v>
      </c>
      <c r="E138" s="249">
        <v>9978.0499999999993</v>
      </c>
      <c r="F138" s="249">
        <v>18435.16</v>
      </c>
      <c r="G138" s="249">
        <v>-760.86000000000058</v>
      </c>
      <c r="H138" s="249">
        <v>8368.130000000001</v>
      </c>
      <c r="I138" s="249">
        <v>-126.27000000000044</v>
      </c>
      <c r="J138" s="249">
        <v>-3363.739999999998</v>
      </c>
      <c r="K138" s="249">
        <v>11194.61</v>
      </c>
      <c r="L138" s="249">
        <v>5485.32</v>
      </c>
      <c r="M138" s="249">
        <v>1965</v>
      </c>
      <c r="N138" s="249">
        <v>-12009</v>
      </c>
      <c r="O138" s="249">
        <v>8279.07</v>
      </c>
      <c r="P138" s="249">
        <v>4746</v>
      </c>
      <c r="Q138" s="249">
        <v>2129.1100000000006</v>
      </c>
      <c r="R138" s="249">
        <v>7368.7800000000007</v>
      </c>
      <c r="S138" s="249"/>
      <c r="Y138" t="s">
        <v>144</v>
      </c>
      <c r="Z138" s="252">
        <v>1234486.7900000003</v>
      </c>
      <c r="AA138" s="252">
        <v>49013.20999999973</v>
      </c>
      <c r="AB138" s="252">
        <v>-113057.57000000027</v>
      </c>
    </row>
    <row r="139" spans="2:28" x14ac:dyDescent="0.25">
      <c r="B139" s="298" t="s">
        <v>20</v>
      </c>
      <c r="C139" s="249">
        <v>474.11999999999898</v>
      </c>
      <c r="D139" s="249">
        <v>6902.6399999999958</v>
      </c>
      <c r="E139" s="249">
        <v>-3984.5200000000004</v>
      </c>
      <c r="F139" s="249">
        <v>-3611.1499999999978</v>
      </c>
      <c r="G139" s="249">
        <v>1280.4599999999991</v>
      </c>
      <c r="H139" s="249">
        <v>-5856.0499999999993</v>
      </c>
      <c r="I139" s="249">
        <v>-208.14999999999782</v>
      </c>
      <c r="J139" s="249">
        <v>5255.3300000000017</v>
      </c>
      <c r="K139" s="249">
        <v>-951.36000000000058</v>
      </c>
      <c r="L139" s="249">
        <v>2130.2099999999991</v>
      </c>
      <c r="M139" s="249">
        <v>-5063</v>
      </c>
      <c r="N139" s="249">
        <v>-6875</v>
      </c>
      <c r="O139" s="249">
        <v>322.46000000000276</v>
      </c>
      <c r="P139" s="249">
        <v>-6262</v>
      </c>
      <c r="Q139" s="249">
        <v>-487.08000000000175</v>
      </c>
      <c r="R139" s="249">
        <v>-4451.6000000000058</v>
      </c>
      <c r="S139" s="249"/>
      <c r="Y139" t="s">
        <v>145</v>
      </c>
      <c r="Z139" s="252">
        <v>1324144.74</v>
      </c>
      <c r="AA139" s="252">
        <v>367255.26</v>
      </c>
      <c r="AB139" s="252">
        <v>186921.47000000003</v>
      </c>
    </row>
    <row r="140" spans="2:28" x14ac:dyDescent="0.25">
      <c r="B140" s="298" t="s">
        <v>21</v>
      </c>
      <c r="C140" s="249">
        <v>-2053.630000000001</v>
      </c>
      <c r="D140" s="249">
        <v>15910.77</v>
      </c>
      <c r="E140" s="249">
        <v>5350.2000000000007</v>
      </c>
      <c r="F140" s="249">
        <v>-2755.3499999999985</v>
      </c>
      <c r="G140" s="249">
        <v>-4263.7900000000009</v>
      </c>
      <c r="H140" s="249">
        <v>-15772.029999999999</v>
      </c>
      <c r="I140" s="249">
        <v>-3622.9799999999996</v>
      </c>
      <c r="J140" s="249">
        <v>5987.3799999999992</v>
      </c>
      <c r="K140" s="249">
        <v>4131.2999999999993</v>
      </c>
      <c r="L140" s="249">
        <v>-6758.4900000000016</v>
      </c>
      <c r="M140" s="249">
        <v>2314</v>
      </c>
      <c r="N140" s="249">
        <v>-732</v>
      </c>
      <c r="O140" s="249">
        <v>8438.43</v>
      </c>
      <c r="P140" s="249">
        <v>2125</v>
      </c>
      <c r="Q140" s="249">
        <v>9079.2900000000009</v>
      </c>
      <c r="R140" s="249">
        <v>2107.8300000000017</v>
      </c>
      <c r="S140" s="249"/>
      <c r="Y140" t="s">
        <v>146</v>
      </c>
      <c r="Z140" s="252">
        <v>1746002.7600000002</v>
      </c>
      <c r="AA140" s="252">
        <v>835297.23999999976</v>
      </c>
      <c r="AB140" s="252">
        <v>452212.16999999969</v>
      </c>
    </row>
    <row r="141" spans="2:28" x14ac:dyDescent="0.25">
      <c r="B141" s="298" t="s">
        <v>22</v>
      </c>
      <c r="C141" s="249">
        <v>-12002.5</v>
      </c>
      <c r="D141" s="249">
        <v>22258.45</v>
      </c>
      <c r="E141" s="249">
        <v>2333.8899999999994</v>
      </c>
      <c r="F141" s="249">
        <v>-11412.849999999999</v>
      </c>
      <c r="G141" s="249">
        <v>5155.9599999999991</v>
      </c>
      <c r="H141" s="249">
        <v>-6978.2599999999984</v>
      </c>
      <c r="I141" s="249">
        <v>-4663.32</v>
      </c>
      <c r="J141" s="249">
        <v>-11208.57</v>
      </c>
      <c r="K141" s="249">
        <v>-4400.6399999999994</v>
      </c>
      <c r="L141" s="249">
        <v>-5894.4900000000016</v>
      </c>
      <c r="M141" s="249">
        <v>-6439</v>
      </c>
      <c r="N141" s="249">
        <v>-3545</v>
      </c>
      <c r="O141" s="249">
        <v>-9087.89</v>
      </c>
      <c r="P141" s="249">
        <v>-1672</v>
      </c>
      <c r="Q141" s="249">
        <v>2286.1299999999992</v>
      </c>
      <c r="R141" s="249">
        <v>-925.09999999999854</v>
      </c>
      <c r="S141" s="249"/>
      <c r="Y141" t="s">
        <v>147</v>
      </c>
      <c r="Z141" s="252">
        <v>0</v>
      </c>
      <c r="AA141" s="252"/>
      <c r="AB141" s="12"/>
    </row>
    <row r="142" spans="2:28" x14ac:dyDescent="0.25">
      <c r="B142" s="298" t="s">
        <v>23</v>
      </c>
      <c r="C142" s="249">
        <v>1334.9799999999996</v>
      </c>
      <c r="D142" s="249">
        <v>-4903.5199999999986</v>
      </c>
      <c r="E142" s="249">
        <v>5822.92</v>
      </c>
      <c r="F142" s="249">
        <v>-24884.009999999995</v>
      </c>
      <c r="G142" s="249">
        <v>-14780.160000000002</v>
      </c>
      <c r="H142" s="249">
        <v>-1567.8700000000008</v>
      </c>
      <c r="I142" s="249">
        <v>-8164.6999999999989</v>
      </c>
      <c r="J142" s="249">
        <v>2445.84</v>
      </c>
      <c r="K142" s="249">
        <v>-14690.74</v>
      </c>
      <c r="L142" s="249">
        <v>-5447.4100000000017</v>
      </c>
      <c r="M142" s="249">
        <v>-1340</v>
      </c>
      <c r="N142" s="249">
        <v>-4174</v>
      </c>
      <c r="O142" s="249">
        <v>11087.440000000002</v>
      </c>
      <c r="P142" s="249">
        <v>10530</v>
      </c>
      <c r="Q142" s="249">
        <v>5156.49</v>
      </c>
      <c r="R142" s="249">
        <v>5628.260000000002</v>
      </c>
      <c r="S142" s="249"/>
    </row>
    <row r="143" spans="2:28" x14ac:dyDescent="0.25">
      <c r="B143" s="299" t="s">
        <v>24</v>
      </c>
      <c r="C143" s="249">
        <v>3551.0299999999988</v>
      </c>
      <c r="D143" s="249">
        <v>3436.380000000001</v>
      </c>
      <c r="E143" s="249">
        <v>3658.0299999999988</v>
      </c>
      <c r="F143" s="249">
        <v>2724.2299999999996</v>
      </c>
      <c r="G143" s="249">
        <v>2636.5800000000017</v>
      </c>
      <c r="H143" s="249">
        <v>1949.5400000000009</v>
      </c>
      <c r="I143" s="249">
        <v>3521.8300000000017</v>
      </c>
      <c r="J143" s="249">
        <v>1480.630000000001</v>
      </c>
      <c r="K143" s="249">
        <v>-3899.6699999999983</v>
      </c>
      <c r="L143" s="249">
        <v>5096.18</v>
      </c>
      <c r="M143" s="249">
        <v>-10278</v>
      </c>
      <c r="N143" s="249">
        <v>3103</v>
      </c>
      <c r="O143" s="249">
        <v>5196.9599999999991</v>
      </c>
      <c r="P143" s="249">
        <v>4196</v>
      </c>
      <c r="Q143" s="249">
        <v>11202.39</v>
      </c>
      <c r="R143" s="249">
        <v>3566.4599999999991</v>
      </c>
      <c r="S143" s="249"/>
    </row>
    <row r="144" spans="2:28" x14ac:dyDescent="0.25">
      <c r="B144" s="298" t="s">
        <v>25</v>
      </c>
      <c r="C144" s="249">
        <v>12073.99</v>
      </c>
      <c r="D144" s="249">
        <v>-50535.979999999996</v>
      </c>
      <c r="E144" s="249">
        <v>2637.1800000000003</v>
      </c>
      <c r="F144" s="249">
        <v>-23255.199999999997</v>
      </c>
      <c r="G144" s="249">
        <v>-26574.559999999998</v>
      </c>
      <c r="H144" s="249">
        <v>-32738.260000000002</v>
      </c>
      <c r="I144" s="249">
        <v>-13259.099999999999</v>
      </c>
      <c r="J144" s="249">
        <v>-16873.910000000003</v>
      </c>
      <c r="K144" s="249">
        <v>-9877.86</v>
      </c>
      <c r="L144" s="249">
        <v>-7806.380000000001</v>
      </c>
      <c r="M144" s="249">
        <v>-2536</v>
      </c>
      <c r="N144" s="249">
        <v>-29321</v>
      </c>
      <c r="O144" s="249">
        <v>-10331.439999999999</v>
      </c>
      <c r="P144" s="249">
        <v>7941</v>
      </c>
      <c r="Q144" s="249">
        <v>-443.70000000000073</v>
      </c>
      <c r="R144" s="249">
        <v>-3695.7400000000016</v>
      </c>
      <c r="S144" s="249"/>
    </row>
    <row r="145" spans="2:19" x14ac:dyDescent="0.25">
      <c r="B145" s="298" t="s">
        <v>26</v>
      </c>
      <c r="C145" s="249">
        <v>304.90000000000146</v>
      </c>
      <c r="D145" s="249">
        <v>-18795.730000000003</v>
      </c>
      <c r="E145" s="249">
        <v>-50308.56</v>
      </c>
      <c r="F145" s="249">
        <v>9907.74</v>
      </c>
      <c r="G145" s="249">
        <v>-4102.2700000000004</v>
      </c>
      <c r="H145" s="249">
        <v>6989.92</v>
      </c>
      <c r="I145" s="249">
        <v>-11628.119999999999</v>
      </c>
      <c r="J145" s="249">
        <v>18024.46</v>
      </c>
      <c r="K145" s="249">
        <v>8787.14</v>
      </c>
      <c r="L145" s="249">
        <v>4070.5499999999993</v>
      </c>
      <c r="M145" s="249">
        <v>5817</v>
      </c>
      <c r="N145" s="249">
        <v>-12845</v>
      </c>
      <c r="O145" s="249">
        <v>711.20999999999913</v>
      </c>
      <c r="P145" s="249">
        <v>410</v>
      </c>
      <c r="Q145" s="249">
        <v>-12021.830000000002</v>
      </c>
      <c r="R145" s="249">
        <v>-6009.6699999999983</v>
      </c>
      <c r="S145" s="249"/>
    </row>
    <row r="146" spans="2:19" x14ac:dyDescent="0.25">
      <c r="B146" s="298" t="s">
        <v>27</v>
      </c>
      <c r="C146" s="249">
        <v>-5044.7000000000007</v>
      </c>
      <c r="D146" s="249">
        <v>2098.3199999999997</v>
      </c>
      <c r="E146" s="249">
        <v>-5088.5800000000017</v>
      </c>
      <c r="F146" s="249">
        <v>-11804.77</v>
      </c>
      <c r="G146" s="249">
        <v>4190.3799999999992</v>
      </c>
      <c r="H146" s="249">
        <v>1058.25</v>
      </c>
      <c r="I146" s="249">
        <v>-8327.82</v>
      </c>
      <c r="J146" s="249">
        <v>1259.6599999999999</v>
      </c>
      <c r="K146" s="249">
        <v>14041.82</v>
      </c>
      <c r="L146" s="249">
        <v>8974.98</v>
      </c>
      <c r="M146" s="249">
        <v>-7036</v>
      </c>
      <c r="N146" s="249">
        <v>-3308</v>
      </c>
      <c r="O146" s="249">
        <v>4615.01</v>
      </c>
      <c r="P146" s="249">
        <v>4084</v>
      </c>
      <c r="Q146" s="249">
        <v>-9554.68</v>
      </c>
      <c r="R146" s="249">
        <v>3597.49</v>
      </c>
      <c r="S146" s="249"/>
    </row>
    <row r="147" spans="2:19" x14ac:dyDescent="0.25">
      <c r="B147" s="298" t="s">
        <v>28</v>
      </c>
      <c r="C147" s="249">
        <v>-7379.84</v>
      </c>
      <c r="D147" s="249">
        <v>-16897.660000000003</v>
      </c>
      <c r="E147" s="249">
        <v>27516.57</v>
      </c>
      <c r="F147" s="249">
        <v>-23544.04</v>
      </c>
      <c r="G147" s="249">
        <v>-8544.4199999999983</v>
      </c>
      <c r="H147" s="249">
        <v>11269.029999999999</v>
      </c>
      <c r="I147" s="249">
        <v>-3989.4500000000007</v>
      </c>
      <c r="J147" s="249">
        <v>28045.52</v>
      </c>
      <c r="K147" s="249">
        <v>-17629.739999999998</v>
      </c>
      <c r="L147" s="249">
        <v>-2650.2700000000004</v>
      </c>
      <c r="M147" s="249">
        <v>-8816</v>
      </c>
      <c r="N147" s="249">
        <v>-6976</v>
      </c>
      <c r="O147" s="249">
        <v>18878.189999999999</v>
      </c>
      <c r="P147" s="249">
        <v>5904</v>
      </c>
      <c r="Q147" s="249">
        <v>-6901.0800000000017</v>
      </c>
      <c r="R147" s="249">
        <v>2382.1399999999994</v>
      </c>
      <c r="S147" s="249"/>
    </row>
    <row r="148" spans="2:19" x14ac:dyDescent="0.25">
      <c r="B148" s="298" t="s">
        <v>29</v>
      </c>
      <c r="C148" s="249">
        <v>12321.439999999999</v>
      </c>
      <c r="D148" s="249">
        <v>20734.14</v>
      </c>
      <c r="E148" s="249">
        <v>339.09999999999854</v>
      </c>
      <c r="F148" s="249">
        <v>8058.630000000001</v>
      </c>
      <c r="G148" s="249">
        <v>-1734.5800000000017</v>
      </c>
      <c r="H148" s="249">
        <v>3344.6399999999994</v>
      </c>
      <c r="I148" s="249">
        <v>7868.1100000000006</v>
      </c>
      <c r="J148" s="249">
        <v>6879.93</v>
      </c>
      <c r="K148" s="249">
        <v>15839.6</v>
      </c>
      <c r="L148" s="249">
        <v>898.2599999999984</v>
      </c>
      <c r="M148" s="249">
        <v>5728</v>
      </c>
      <c r="N148" s="249">
        <v>-36740</v>
      </c>
      <c r="O148" s="249">
        <v>14726.119999999999</v>
      </c>
      <c r="P148" s="249">
        <v>-6502</v>
      </c>
      <c r="Q148" s="249">
        <v>15719.61</v>
      </c>
      <c r="R148" s="249">
        <v>1093.5400000000009</v>
      </c>
      <c r="S148" s="249"/>
    </row>
    <row r="149" spans="2:19" x14ac:dyDescent="0.25">
      <c r="B149" s="298" t="s">
        <v>30</v>
      </c>
      <c r="C149" s="249">
        <v>-2049.3199999999997</v>
      </c>
      <c r="D149" s="249">
        <v>963.40999999999985</v>
      </c>
      <c r="E149" s="249">
        <v>2703.2199999999993</v>
      </c>
      <c r="F149" s="249">
        <v>4929.8100000000004</v>
      </c>
      <c r="G149" s="249">
        <v>4402.1099999999997</v>
      </c>
      <c r="H149" s="249">
        <v>4169.03</v>
      </c>
      <c r="I149" s="249">
        <v>3.7900000000008731</v>
      </c>
      <c r="J149" s="249">
        <v>2328.1499999999996</v>
      </c>
      <c r="K149" s="249">
        <v>3352.6900000000005</v>
      </c>
      <c r="L149" s="249">
        <v>1983.4300000000003</v>
      </c>
      <c r="M149" s="249">
        <v>2209</v>
      </c>
      <c r="N149" s="249">
        <v>-22624</v>
      </c>
      <c r="O149" s="249">
        <v>1114.1900000000005</v>
      </c>
      <c r="P149" s="249">
        <v>6048</v>
      </c>
      <c r="Q149" s="249">
        <v>3548.2700000000004</v>
      </c>
      <c r="R149" s="249">
        <v>-9565.66</v>
      </c>
      <c r="S149" s="249"/>
    </row>
    <row r="150" spans="2:19" x14ac:dyDescent="0.25">
      <c r="B150" s="298" t="s">
        <v>31</v>
      </c>
      <c r="C150" s="249">
        <v>32735.01</v>
      </c>
      <c r="D150" s="249">
        <v>-29726.58</v>
      </c>
      <c r="E150" s="249">
        <v>8901.7999999999993</v>
      </c>
      <c r="F150" s="249">
        <v>-2126.369999999999</v>
      </c>
      <c r="G150" s="249">
        <v>827.16999999999825</v>
      </c>
      <c r="H150" s="249">
        <v>-7558.9599999999991</v>
      </c>
      <c r="I150" s="249">
        <v>-11028.39</v>
      </c>
      <c r="J150" s="249">
        <v>-16328.39</v>
      </c>
      <c r="K150" s="249">
        <v>-2173.91</v>
      </c>
      <c r="L150" s="249">
        <v>-2819.9700000000012</v>
      </c>
      <c r="M150" s="249">
        <v>-1451</v>
      </c>
      <c r="N150" s="249">
        <v>-25737</v>
      </c>
      <c r="O150" s="249">
        <v>-2330.4700000000012</v>
      </c>
      <c r="P150" s="249">
        <v>5449</v>
      </c>
      <c r="Q150" s="249">
        <v>4478.2200000000012</v>
      </c>
      <c r="R150" s="249">
        <v>-9739.7199999999975</v>
      </c>
      <c r="S150" s="249"/>
    </row>
    <row r="151" spans="2:19" x14ac:dyDescent="0.25">
      <c r="B151" s="298" t="s">
        <v>32</v>
      </c>
      <c r="C151" s="249">
        <v>13194.57</v>
      </c>
      <c r="D151" s="249">
        <v>-7511.0099999999984</v>
      </c>
      <c r="E151" s="249">
        <v>9909.35</v>
      </c>
      <c r="F151" s="249">
        <v>7102.33</v>
      </c>
      <c r="G151" s="249">
        <v>-26306.720000000001</v>
      </c>
      <c r="H151" s="249">
        <v>921.11000000000058</v>
      </c>
      <c r="I151" s="249">
        <v>-12044.939999999999</v>
      </c>
      <c r="J151" s="249">
        <v>-1056.1100000000006</v>
      </c>
      <c r="K151" s="249">
        <v>3741.0499999999993</v>
      </c>
      <c r="L151" s="249">
        <v>-10729.630000000001</v>
      </c>
      <c r="M151" s="249">
        <v>-891</v>
      </c>
      <c r="N151" s="249">
        <v>-4474</v>
      </c>
      <c r="O151" s="249">
        <v>16129.55</v>
      </c>
      <c r="P151" s="249">
        <v>8324</v>
      </c>
      <c r="Q151" s="249">
        <v>-19751.199999999997</v>
      </c>
      <c r="R151" s="249">
        <v>9481.4599999999991</v>
      </c>
      <c r="S151" s="249"/>
    </row>
    <row r="152" spans="2:19" x14ac:dyDescent="0.25">
      <c r="B152" s="233" t="s">
        <v>34</v>
      </c>
      <c r="C152" s="249">
        <v>3031.130000000001</v>
      </c>
      <c r="D152" s="249">
        <v>107.36999999999716</v>
      </c>
      <c r="E152" s="249">
        <v>-4171.3499999999894</v>
      </c>
      <c r="F152" s="249">
        <v>-9493.4300000000076</v>
      </c>
      <c r="G152" s="249">
        <v>-1322.3000000000029</v>
      </c>
      <c r="H152" s="249">
        <v>-2868.4700000000012</v>
      </c>
      <c r="I152" s="249">
        <v>-980.75999999999476</v>
      </c>
      <c r="J152" s="249">
        <v>-9663.7299999999959</v>
      </c>
      <c r="K152" s="249">
        <v>11483.619999999981</v>
      </c>
      <c r="L152" s="249">
        <v>-10713.47</v>
      </c>
      <c r="M152" s="249">
        <v>3635</v>
      </c>
      <c r="N152" s="249">
        <v>-13010</v>
      </c>
      <c r="O152" s="249">
        <v>-24456.340000000004</v>
      </c>
      <c r="P152" s="249">
        <v>7689</v>
      </c>
      <c r="Q152" s="249">
        <v>-27278.079999999998</v>
      </c>
      <c r="R152" s="249">
        <v>-15670.96</v>
      </c>
      <c r="S152" s="249"/>
    </row>
    <row r="153" spans="2:19" x14ac:dyDescent="0.25">
      <c r="B153" t="s">
        <v>35</v>
      </c>
      <c r="C153" s="249">
        <v>6728.600000000004</v>
      </c>
      <c r="D153" s="249">
        <v>-3387.7300000000014</v>
      </c>
      <c r="E153" s="249">
        <v>10999.209999999995</v>
      </c>
      <c r="F153" s="249">
        <v>615.17000000000917</v>
      </c>
      <c r="G153" s="249">
        <v>-112.52999999999884</v>
      </c>
      <c r="H153" s="249">
        <v>3766.5299999999843</v>
      </c>
      <c r="I153" s="249">
        <v>-2964.6999999999898</v>
      </c>
      <c r="J153" s="249">
        <v>9003.2800000000134</v>
      </c>
      <c r="K153" s="249">
        <v>-5109.4199999999983</v>
      </c>
      <c r="L153" s="249">
        <v>-138176.13999999996</v>
      </c>
      <c r="M153" s="249">
        <v>-46312</v>
      </c>
      <c r="N153" s="249">
        <v>-278596</v>
      </c>
      <c r="O153" s="249">
        <v>23264.11</v>
      </c>
      <c r="P153" s="249">
        <v>43580</v>
      </c>
      <c r="Q153" s="249">
        <v>-15415.520000000004</v>
      </c>
      <c r="R153" s="249">
        <v>88613.809999999983</v>
      </c>
      <c r="S153" s="249"/>
    </row>
    <row r="154" spans="2:19" x14ac:dyDescent="0.25">
      <c r="B154" t="s">
        <v>36</v>
      </c>
      <c r="C154" s="249">
        <v>-357.52000000000226</v>
      </c>
      <c r="D154" s="249">
        <v>-8397.2699999999986</v>
      </c>
      <c r="E154" s="249">
        <v>-6634.7999999999956</v>
      </c>
      <c r="F154" s="249">
        <v>-2680.8600000000151</v>
      </c>
      <c r="G154" s="249">
        <v>6848.970000000023</v>
      </c>
      <c r="H154" s="249">
        <v>-203.57000000002881</v>
      </c>
      <c r="I154" s="249">
        <v>-11700.26999999999</v>
      </c>
      <c r="J154" s="249">
        <v>-11742.360000000015</v>
      </c>
      <c r="K154" s="249">
        <v>5678.8300000000309</v>
      </c>
      <c r="L154" s="249">
        <v>-34886.810000000012</v>
      </c>
      <c r="M154" s="249">
        <v>-84993</v>
      </c>
      <c r="N154" s="249">
        <v>-34306</v>
      </c>
      <c r="O154" s="249">
        <v>1799.46000000001</v>
      </c>
      <c r="P154" s="249">
        <v>2237</v>
      </c>
      <c r="Q154" s="249">
        <v>-22039.680000000008</v>
      </c>
      <c r="R154" s="249">
        <v>-27351.340000000004</v>
      </c>
      <c r="S154" s="249"/>
    </row>
    <row r="155" spans="2:19" x14ac:dyDescent="0.25">
      <c r="B155" t="s">
        <v>37</v>
      </c>
      <c r="C155" s="249">
        <v>4022.130000000001</v>
      </c>
      <c r="D155" s="249">
        <v>-2047.0199999999986</v>
      </c>
      <c r="E155" s="249">
        <v>-4244.8399999999983</v>
      </c>
      <c r="F155" s="249">
        <v>-962.63999999999942</v>
      </c>
      <c r="G155" s="249">
        <v>-2212.179999999993</v>
      </c>
      <c r="H155" s="249">
        <v>5708.8999999999942</v>
      </c>
      <c r="I155" s="249">
        <v>-1940.179999999993</v>
      </c>
      <c r="J155" s="249">
        <v>-11190.750000000015</v>
      </c>
      <c r="K155" s="249">
        <v>-11673.849999999933</v>
      </c>
      <c r="L155" s="249">
        <v>-83238.560000000012</v>
      </c>
      <c r="M155" s="249">
        <v>-10746</v>
      </c>
      <c r="N155" s="249">
        <v>-121883</v>
      </c>
      <c r="O155" s="249">
        <v>-20713.330000000005</v>
      </c>
      <c r="P155" s="249">
        <v>-2356</v>
      </c>
      <c r="Q155" s="249">
        <v>3679.2799999999988</v>
      </c>
      <c r="R155" s="249">
        <v>-6255.8099999999977</v>
      </c>
      <c r="S155" s="249"/>
    </row>
    <row r="156" spans="2:19" x14ac:dyDescent="0.25">
      <c r="B156" t="s">
        <v>38</v>
      </c>
      <c r="C156" s="249">
        <v>9326.02</v>
      </c>
      <c r="D156" s="249">
        <v>-4181.7800000000025</v>
      </c>
      <c r="E156" s="249">
        <v>4475.82</v>
      </c>
      <c r="F156" s="249">
        <v>1029.8200000000033</v>
      </c>
      <c r="G156" s="249">
        <v>126.74999999999636</v>
      </c>
      <c r="H156" s="249">
        <v>-1245.1500000000087</v>
      </c>
      <c r="I156" s="249">
        <v>1977.6500000000087</v>
      </c>
      <c r="J156" s="249">
        <v>-7547.5599999999904</v>
      </c>
      <c r="K156" s="249">
        <v>-310.75000000001455</v>
      </c>
      <c r="L156" s="249">
        <v>-21437.369999999995</v>
      </c>
      <c r="M156" s="249">
        <v>-74350</v>
      </c>
      <c r="N156" s="249">
        <v>-123762</v>
      </c>
      <c r="O156" s="249">
        <v>-16389.209999999995</v>
      </c>
      <c r="P156" s="249">
        <v>10177</v>
      </c>
      <c r="Q156" s="249">
        <v>-9014.179999999993</v>
      </c>
      <c r="R156" s="249">
        <v>-787.65000000000146</v>
      </c>
      <c r="S156" s="249"/>
    </row>
    <row r="157" spans="2:19" x14ac:dyDescent="0.25">
      <c r="B157" t="s">
        <v>39</v>
      </c>
      <c r="C157" s="249">
        <v>-2373.9900000000016</v>
      </c>
      <c r="D157" s="249">
        <v>-4575.119999999999</v>
      </c>
      <c r="E157" s="249">
        <v>368.94999999999891</v>
      </c>
      <c r="F157" s="249">
        <v>-6239.9599999999937</v>
      </c>
      <c r="G157" s="249">
        <v>-5100.7500000000036</v>
      </c>
      <c r="H157" s="249">
        <v>-1231.6700000000019</v>
      </c>
      <c r="I157" s="249">
        <v>-6554.8299999999945</v>
      </c>
      <c r="J157" s="249">
        <v>-503.11000000000058</v>
      </c>
      <c r="K157" s="249">
        <v>-577.44999999999709</v>
      </c>
      <c r="L157" s="249">
        <v>-13348.330000000002</v>
      </c>
      <c r="M157" s="249">
        <v>-103</v>
      </c>
      <c r="N157" s="249">
        <v>-26789</v>
      </c>
      <c r="O157" s="249">
        <v>-5259.0800000000017</v>
      </c>
      <c r="P157" s="249">
        <v>-11692</v>
      </c>
      <c r="Q157" s="249">
        <v>-13490.390000000001</v>
      </c>
      <c r="R157" s="249">
        <v>14970.119999999999</v>
      </c>
      <c r="S157" s="249"/>
    </row>
    <row r="158" spans="2:19" x14ac:dyDescent="0.25">
      <c r="B158" t="s">
        <v>33</v>
      </c>
      <c r="C158" s="249">
        <v>135.17000000000007</v>
      </c>
      <c r="D158" s="249">
        <v>-11339.460000000005</v>
      </c>
      <c r="E158" s="249">
        <v>-25736.870000000006</v>
      </c>
      <c r="F158" s="249">
        <v>-245.86999999999534</v>
      </c>
      <c r="G158" s="249">
        <v>-11449.029999999999</v>
      </c>
      <c r="H158" s="249">
        <v>-4048.3899999999921</v>
      </c>
      <c r="I158" s="249">
        <v>-2307.7600000000384</v>
      </c>
      <c r="J158" s="249">
        <v>2007.7300000000105</v>
      </c>
      <c r="K158" s="249">
        <v>-3471.8100000000122</v>
      </c>
      <c r="L158" s="249">
        <v>-11224.07</v>
      </c>
      <c r="M158" s="249">
        <v>-44062</v>
      </c>
      <c r="N158" s="249">
        <v>-106651</v>
      </c>
      <c r="O158" s="249">
        <v>2694.630000000001</v>
      </c>
      <c r="P158" s="249">
        <v>4700</v>
      </c>
      <c r="Q158" s="249">
        <v>2560.3600000000006</v>
      </c>
      <c r="R158" s="249">
        <v>3739.0899999999965</v>
      </c>
      <c r="S158" s="249"/>
    </row>
    <row r="159" spans="2:19" x14ac:dyDescent="0.25">
      <c r="B159" s="241" t="s">
        <v>40</v>
      </c>
      <c r="C159" s="249">
        <v>-18481.260000000002</v>
      </c>
      <c r="D159" s="249">
        <v>-18279.069999999992</v>
      </c>
      <c r="E159" s="249">
        <v>2488.3699999999917</v>
      </c>
      <c r="F159" s="249">
        <v>-9514.3299999999945</v>
      </c>
      <c r="G159" s="249">
        <v>-15803.630000000005</v>
      </c>
      <c r="H159" s="249">
        <v>9505.2200000000012</v>
      </c>
      <c r="I159" s="249">
        <v>-14900.98000000001</v>
      </c>
      <c r="J159" s="249">
        <v>6938.7000000000116</v>
      </c>
      <c r="K159" s="249">
        <v>5375.379999999961</v>
      </c>
      <c r="L159" s="249">
        <v>-30582.71000000001</v>
      </c>
      <c r="M159" s="249">
        <v>-66298</v>
      </c>
      <c r="N159" s="249">
        <v>-380442</v>
      </c>
      <c r="O159" s="249">
        <v>12959.429999999997</v>
      </c>
      <c r="P159" s="249">
        <v>20758</v>
      </c>
      <c r="Q159" s="249">
        <v>29305.870000000003</v>
      </c>
      <c r="R159" s="249">
        <v>-30305.9</v>
      </c>
      <c r="S159" s="249"/>
    </row>
    <row r="160" spans="2:19" x14ac:dyDescent="0.25">
      <c r="B160" t="s">
        <v>41</v>
      </c>
      <c r="C160" s="249">
        <v>-5525.9599999999955</v>
      </c>
      <c r="D160" s="249">
        <v>-18748.86</v>
      </c>
      <c r="E160" s="249">
        <v>-11225.749999999989</v>
      </c>
      <c r="F160" s="249">
        <v>262.10999999999331</v>
      </c>
      <c r="G160" s="249">
        <v>-10636.280000000006</v>
      </c>
      <c r="H160" s="249">
        <v>-1079.2300000000178</v>
      </c>
      <c r="I160" s="249">
        <v>-1555.9300000000076</v>
      </c>
      <c r="J160" s="249">
        <v>-2811.339999999982</v>
      </c>
      <c r="K160" s="249">
        <v>5447.1699999999691</v>
      </c>
      <c r="L160" s="249">
        <v>-191544.97</v>
      </c>
      <c r="M160" s="249">
        <v>-170380</v>
      </c>
      <c r="N160" s="249">
        <v>-123232</v>
      </c>
      <c r="O160" s="249">
        <v>10295.120000000006</v>
      </c>
      <c r="P160" s="249">
        <v>22608</v>
      </c>
      <c r="Q160" s="249">
        <v>-26368.230000000003</v>
      </c>
      <c r="R160" s="249">
        <v>-10077.5</v>
      </c>
      <c r="S160" s="249"/>
    </row>
    <row r="161" spans="2:19" x14ac:dyDescent="0.25">
      <c r="B161" t="s">
        <v>42</v>
      </c>
      <c r="C161" s="249">
        <v>-2534.909999999998</v>
      </c>
      <c r="D161" s="249">
        <v>912.17999999999847</v>
      </c>
      <c r="E161" s="249">
        <v>-2410.16</v>
      </c>
      <c r="F161" s="249">
        <v>-2867.3899999999921</v>
      </c>
      <c r="G161" s="249">
        <v>-4298.1999999999971</v>
      </c>
      <c r="H161" s="249">
        <v>-6149.1000000000058</v>
      </c>
      <c r="I161" s="249">
        <v>-3493.239999999998</v>
      </c>
      <c r="J161" s="249">
        <v>9837.7599999999948</v>
      </c>
      <c r="K161" s="249">
        <v>-4626.4899999999907</v>
      </c>
      <c r="L161" s="249">
        <v>-21282.430000000008</v>
      </c>
      <c r="M161" s="249">
        <v>803</v>
      </c>
      <c r="N161" s="249">
        <v>-85310</v>
      </c>
      <c r="O161" s="249">
        <v>-24092.12</v>
      </c>
      <c r="P161" s="249">
        <v>19739</v>
      </c>
      <c r="Q161" s="249">
        <v>-20822.46</v>
      </c>
      <c r="R161" s="249">
        <v>1338.5899999999965</v>
      </c>
      <c r="S161" s="249"/>
    </row>
    <row r="162" spans="2:19" x14ac:dyDescent="0.25">
      <c r="B162" t="s">
        <v>43</v>
      </c>
      <c r="C162" s="249">
        <v>-6308.4700000000012</v>
      </c>
      <c r="D162" s="249">
        <v>-58990.699999999983</v>
      </c>
      <c r="E162" s="249">
        <v>-32.419999999990978</v>
      </c>
      <c r="F162" s="249">
        <v>-31937.680000000037</v>
      </c>
      <c r="G162" s="249">
        <v>7567.5600000000195</v>
      </c>
      <c r="H162" s="249">
        <v>-19174.200000000004</v>
      </c>
      <c r="I162" s="249">
        <v>-7059.8699999999808</v>
      </c>
      <c r="J162" s="249">
        <v>-17336.669999999969</v>
      </c>
      <c r="K162" s="249">
        <v>2858.0599999999686</v>
      </c>
      <c r="L162" s="249">
        <v>-26127.690000000021</v>
      </c>
      <c r="M162" s="249">
        <v>-24638</v>
      </c>
      <c r="N162" s="249">
        <v>-31924</v>
      </c>
      <c r="O162" s="249">
        <v>6207.9000000000015</v>
      </c>
      <c r="P162" s="249">
        <v>23313</v>
      </c>
      <c r="Q162" s="249">
        <v>-4888.9599999999991</v>
      </c>
      <c r="R162" s="249">
        <v>-27282.9</v>
      </c>
      <c r="S162" s="249"/>
    </row>
    <row r="163" spans="2:19" x14ac:dyDescent="0.25">
      <c r="B163" t="s">
        <v>44</v>
      </c>
      <c r="C163" s="249">
        <v>12404.85</v>
      </c>
      <c r="D163" s="249">
        <v>-15391.519999999997</v>
      </c>
      <c r="E163" s="249">
        <v>-1809.7599999999984</v>
      </c>
      <c r="F163" s="249">
        <v>-5888.3900000000031</v>
      </c>
      <c r="G163" s="249">
        <v>-8543.6600000000035</v>
      </c>
      <c r="H163" s="249">
        <v>2212.1299999999828</v>
      </c>
      <c r="I163" s="249">
        <v>-2933.1399999999849</v>
      </c>
      <c r="J163" s="249">
        <v>2719.6000000000058</v>
      </c>
      <c r="K163" s="249">
        <v>-5562.5800000000163</v>
      </c>
      <c r="L163" s="249">
        <v>-43361.259999999987</v>
      </c>
      <c r="M163" s="249">
        <v>-6053</v>
      </c>
      <c r="N163" s="249">
        <v>-59239</v>
      </c>
      <c r="O163" s="249">
        <v>14865.91</v>
      </c>
      <c r="P163" s="249">
        <v>13691</v>
      </c>
      <c r="Q163" s="249">
        <v>-20455.899999999998</v>
      </c>
      <c r="R163" s="249">
        <v>-15194.66</v>
      </c>
      <c r="S163" s="249"/>
    </row>
    <row r="164" spans="2:19" x14ac:dyDescent="0.25">
      <c r="B164" t="s">
        <v>45</v>
      </c>
      <c r="C164" s="249">
        <v>-4114.7000000000007</v>
      </c>
      <c r="D164" s="249">
        <v>-9383.3200000000033</v>
      </c>
      <c r="E164" s="249">
        <v>-17978.079999999994</v>
      </c>
      <c r="F164" s="249">
        <v>-17521.460000000014</v>
      </c>
      <c r="G164" s="249">
        <v>-13082.829999999987</v>
      </c>
      <c r="H164" s="249">
        <v>-8842.429999999993</v>
      </c>
      <c r="I164" s="249">
        <v>1054.4899999999761</v>
      </c>
      <c r="J164" s="249">
        <v>-6689.7499999999709</v>
      </c>
      <c r="K164" s="249">
        <v>-1680.7700000000041</v>
      </c>
      <c r="L164" s="249">
        <v>-110457.64999999998</v>
      </c>
      <c r="M164" s="249">
        <v>-259204</v>
      </c>
      <c r="N164" s="249">
        <v>130748</v>
      </c>
      <c r="O164" s="249">
        <v>-28935.850000000009</v>
      </c>
      <c r="P164" s="249">
        <v>15392</v>
      </c>
      <c r="Q164" s="249">
        <v>7768.9299999999967</v>
      </c>
      <c r="R164" s="249">
        <v>11484.760000000002</v>
      </c>
      <c r="S164" s="249"/>
    </row>
    <row r="165" spans="2:19" x14ac:dyDescent="0.25">
      <c r="B165" t="s">
        <v>46</v>
      </c>
      <c r="C165" s="249">
        <v>9310.82</v>
      </c>
      <c r="D165" s="249">
        <v>-12149.92</v>
      </c>
      <c r="E165" s="249">
        <v>-865.14999999999782</v>
      </c>
      <c r="F165" s="249">
        <v>-5780.0600000000049</v>
      </c>
      <c r="G165" s="249">
        <v>13778.599999999999</v>
      </c>
      <c r="H165" s="249">
        <v>-3044.0999999999913</v>
      </c>
      <c r="I165" s="249">
        <v>-9221.3399999999965</v>
      </c>
      <c r="J165" s="249">
        <v>6723.3199999999924</v>
      </c>
      <c r="K165" s="249">
        <v>2298.8499999999913</v>
      </c>
      <c r="L165" s="249">
        <v>2135.6400000000031</v>
      </c>
      <c r="M165" s="249">
        <v>-76986</v>
      </c>
      <c r="N165" s="249">
        <v>-129005</v>
      </c>
      <c r="O165" s="249">
        <v>26620.330000000009</v>
      </c>
      <c r="P165" s="249">
        <v>19958</v>
      </c>
      <c r="Q165" s="249">
        <v>-58364.929999999993</v>
      </c>
      <c r="R165" s="249">
        <v>12011.25</v>
      </c>
      <c r="S165" s="249"/>
    </row>
    <row r="166" spans="2:19" x14ac:dyDescent="0.25">
      <c r="B166" t="s">
        <v>47</v>
      </c>
      <c r="C166" s="249">
        <v>-47805.59</v>
      </c>
      <c r="D166" s="249">
        <v>970.30000000001928</v>
      </c>
      <c r="E166" s="249">
        <v>-13217.000000000018</v>
      </c>
      <c r="F166" s="249">
        <v>-714.41000000001077</v>
      </c>
      <c r="G166" s="249">
        <v>-6367.0700000000143</v>
      </c>
      <c r="H166" s="249">
        <v>-6707.1299999999756</v>
      </c>
      <c r="I166" s="249">
        <v>-287.90000000003783</v>
      </c>
      <c r="J166" s="249">
        <v>4991.2500000000582</v>
      </c>
      <c r="K166" s="249">
        <v>-3716.2700000000623</v>
      </c>
      <c r="L166" s="249">
        <v>-55773.209999999992</v>
      </c>
      <c r="M166" s="249">
        <v>-122663</v>
      </c>
      <c r="N166" s="249">
        <v>-96824</v>
      </c>
      <c r="O166" s="249">
        <v>-17738.219999999987</v>
      </c>
      <c r="P166" s="249">
        <v>-2149</v>
      </c>
      <c r="Q166" s="249">
        <v>40942.22</v>
      </c>
      <c r="R166" s="249">
        <v>-20089.690000000002</v>
      </c>
      <c r="S166" s="249"/>
    </row>
    <row r="167" spans="2:19" x14ac:dyDescent="0.25">
      <c r="B167" s="241" t="s">
        <v>48</v>
      </c>
      <c r="C167" s="249">
        <v>849.47000000000116</v>
      </c>
      <c r="D167" s="249">
        <v>-6349.59</v>
      </c>
      <c r="E167" s="249">
        <v>-105.71999999999025</v>
      </c>
      <c r="F167" s="249">
        <v>-6232.2300000000105</v>
      </c>
      <c r="G167" s="249">
        <v>-3770.3600000000006</v>
      </c>
      <c r="H167" s="249">
        <v>-1678.8700000000099</v>
      </c>
      <c r="I167" s="249">
        <v>4103.9099999999817</v>
      </c>
      <c r="J167" s="249">
        <v>-7343.3999999999942</v>
      </c>
      <c r="K167" s="249">
        <v>2193.8500000000058</v>
      </c>
      <c r="L167" s="249">
        <v>-10096.929999999998</v>
      </c>
      <c r="M167" s="249">
        <v>-155</v>
      </c>
      <c r="N167" s="249">
        <v>-22783</v>
      </c>
      <c r="O167" s="249">
        <v>12642.829999999998</v>
      </c>
      <c r="P167" s="249">
        <v>20691</v>
      </c>
      <c r="Q167" s="249">
        <v>-3930.6800000000003</v>
      </c>
      <c r="R167" s="249">
        <v>7777.880000000001</v>
      </c>
      <c r="S167" s="249"/>
    </row>
    <row r="168" spans="2:19" x14ac:dyDescent="0.25">
      <c r="B168" t="s">
        <v>49</v>
      </c>
      <c r="C168" s="249">
        <v>28145.359999999993</v>
      </c>
      <c r="D168" s="249">
        <v>26473.800000000003</v>
      </c>
      <c r="E168" s="249">
        <v>18220.580000000002</v>
      </c>
      <c r="F168" s="249">
        <v>21164.379999999997</v>
      </c>
      <c r="G168" s="249">
        <v>14005.920000000002</v>
      </c>
      <c r="H168" s="249">
        <v>13432.380000000001</v>
      </c>
      <c r="I168" s="249">
        <v>13077.949999999997</v>
      </c>
      <c r="J168" s="249">
        <v>24590.040000000008</v>
      </c>
      <c r="K168" s="249">
        <v>21573.43</v>
      </c>
      <c r="L168" s="249">
        <v>9413.9700000000084</v>
      </c>
      <c r="M168" s="249">
        <v>28811</v>
      </c>
      <c r="N168" s="249">
        <v>-82490</v>
      </c>
      <c r="O168" s="249">
        <v>-86084.449999999983</v>
      </c>
      <c r="P168" s="249">
        <v>26284</v>
      </c>
      <c r="Q168" s="249">
        <v>-35809.71</v>
      </c>
      <c r="R168" s="249">
        <v>7500.8899999999921</v>
      </c>
      <c r="S168" s="249"/>
    </row>
    <row r="169" spans="2:19" x14ac:dyDescent="0.25">
      <c r="B169" t="s">
        <v>50</v>
      </c>
      <c r="C169" s="249">
        <v>1670.5700000000033</v>
      </c>
      <c r="D169" s="249">
        <v>1492.0099999999984</v>
      </c>
      <c r="E169" s="249">
        <v>-17758.39</v>
      </c>
      <c r="F169" s="249">
        <v>-156883.35</v>
      </c>
      <c r="G169" s="249">
        <v>67932.759999999995</v>
      </c>
      <c r="H169" s="249">
        <v>4161.880000000001</v>
      </c>
      <c r="I169" s="249">
        <v>-25757.450000000015</v>
      </c>
      <c r="J169" s="249">
        <v>-35445.020000000011</v>
      </c>
      <c r="K169" s="249">
        <v>-5778.0099999999875</v>
      </c>
      <c r="L169" s="249">
        <v>28961.059999999998</v>
      </c>
      <c r="M169" s="249">
        <v>-23666</v>
      </c>
      <c r="N169" s="249">
        <v>5864</v>
      </c>
      <c r="O169" s="249">
        <v>-6886.6900000000023</v>
      </c>
      <c r="P169" s="249">
        <v>21852</v>
      </c>
      <c r="Q169" s="249">
        <v>21025.609999999997</v>
      </c>
      <c r="R169" s="249">
        <v>6946.3999999999978</v>
      </c>
      <c r="S169" s="249"/>
    </row>
    <row r="170" spans="2:19" x14ac:dyDescent="0.25">
      <c r="B170" t="s">
        <v>51</v>
      </c>
      <c r="C170" s="249">
        <v>0</v>
      </c>
      <c r="D170" s="249">
        <v>0</v>
      </c>
      <c r="E170" s="249">
        <v>0</v>
      </c>
      <c r="F170" s="249">
        <v>0</v>
      </c>
      <c r="G170" s="249">
        <v>0</v>
      </c>
      <c r="H170" s="249">
        <v>0</v>
      </c>
      <c r="I170" s="249">
        <v>0</v>
      </c>
      <c r="J170" s="249">
        <v>0</v>
      </c>
      <c r="K170" s="249">
        <v>0</v>
      </c>
      <c r="L170" s="249">
        <v>20841.049999999996</v>
      </c>
      <c r="M170" s="249">
        <v>0</v>
      </c>
      <c r="N170" s="249">
        <v>0</v>
      </c>
      <c r="O170" s="249">
        <v>0</v>
      </c>
      <c r="P170" s="249">
        <v>0</v>
      </c>
      <c r="Q170" s="249">
        <v>0</v>
      </c>
      <c r="R170" s="249">
        <v>0</v>
      </c>
      <c r="S170" s="249"/>
    </row>
    <row r="171" spans="2:19" x14ac:dyDescent="0.25">
      <c r="B171" t="s">
        <v>52</v>
      </c>
      <c r="C171" s="249">
        <v>-20471.59</v>
      </c>
      <c r="D171" s="249">
        <v>-9798.59</v>
      </c>
      <c r="E171" s="249">
        <v>-35835.710000000006</v>
      </c>
      <c r="F171" s="249">
        <v>-17605.34</v>
      </c>
      <c r="G171" s="249">
        <v>-17045.84</v>
      </c>
      <c r="H171" s="249">
        <v>-19527.41</v>
      </c>
      <c r="I171" s="249">
        <v>3892.75</v>
      </c>
      <c r="J171" s="249">
        <v>-10340.44</v>
      </c>
      <c r="K171" s="249">
        <v>-9942.41</v>
      </c>
      <c r="L171" s="249">
        <v>-10909.570000000007</v>
      </c>
      <c r="M171" s="249">
        <v>-54679</v>
      </c>
      <c r="N171" s="249">
        <v>-58132</v>
      </c>
      <c r="O171" s="249">
        <v>-117.42000000000189</v>
      </c>
      <c r="P171" s="249">
        <v>13656</v>
      </c>
      <c r="Q171" s="249">
        <v>-12972.759999999995</v>
      </c>
      <c r="R171" s="249">
        <v>-9760.9599999999991</v>
      </c>
      <c r="S171" s="249"/>
    </row>
    <row r="172" spans="2:19" x14ac:dyDescent="0.25">
      <c r="B172" t="s">
        <v>53</v>
      </c>
      <c r="C172" s="249">
        <v>61862.409999999989</v>
      </c>
      <c r="D172" s="249">
        <v>13129.360000000002</v>
      </c>
      <c r="E172" s="249">
        <v>14098.920000000004</v>
      </c>
      <c r="F172" s="249">
        <v>-323708.64</v>
      </c>
      <c r="G172" s="249">
        <v>16533.989999999994</v>
      </c>
      <c r="H172" s="249">
        <v>-9724.4699999999975</v>
      </c>
      <c r="I172" s="249">
        <v>-17533.45</v>
      </c>
      <c r="J172" s="249">
        <v>-15132.439999999997</v>
      </c>
      <c r="K172" s="249">
        <v>-6514.7000000000007</v>
      </c>
      <c r="L172" s="249">
        <v>964.95000000000073</v>
      </c>
      <c r="M172" s="249">
        <v>-74546</v>
      </c>
      <c r="N172" s="249">
        <v>-30170</v>
      </c>
      <c r="O172" s="249">
        <v>5877.6100000000006</v>
      </c>
      <c r="P172" s="249">
        <v>12222</v>
      </c>
      <c r="Q172" s="249">
        <v>-18683.489999999998</v>
      </c>
      <c r="R172" s="249">
        <v>-410.05999999999767</v>
      </c>
      <c r="S172" s="249"/>
    </row>
    <row r="173" spans="2:19" x14ac:dyDescent="0.25">
      <c r="B173" t="s">
        <v>54</v>
      </c>
      <c r="C173" s="249">
        <v>12776.839999999997</v>
      </c>
      <c r="D173" s="249">
        <v>45382.78</v>
      </c>
      <c r="E173" s="249">
        <v>10660.899999999994</v>
      </c>
      <c r="F173" s="249">
        <v>-21879.9</v>
      </c>
      <c r="G173" s="249">
        <v>-26626.180000000008</v>
      </c>
      <c r="H173" s="249">
        <v>1902.2400000000016</v>
      </c>
      <c r="I173" s="249">
        <v>-47092.789999999986</v>
      </c>
      <c r="J173" s="249">
        <v>-12540.050000000007</v>
      </c>
      <c r="K173" s="249">
        <v>-19921.930000000008</v>
      </c>
      <c r="L173" s="249">
        <v>-1491.8800000000047</v>
      </c>
      <c r="M173" s="249">
        <v>-18286</v>
      </c>
      <c r="N173" s="249">
        <v>-56452</v>
      </c>
      <c r="O173" s="249">
        <v>10288.109999999982</v>
      </c>
      <c r="P173" s="249">
        <v>29206</v>
      </c>
      <c r="Q173" s="249">
        <v>-68389.740000000005</v>
      </c>
      <c r="R173" s="249">
        <v>3023.0800000000017</v>
      </c>
      <c r="S173" s="249"/>
    </row>
  </sheetData>
  <phoneticPr fontId="24" type="noConversion"/>
  <conditionalFormatting sqref="T24:T33">
    <cfRule type="expression" dxfId="8" priority="17">
      <formula>AA24 &lt; T24</formula>
    </cfRule>
  </conditionalFormatting>
  <conditionalFormatting sqref="T21:W23">
    <cfRule type="expression" dxfId="7" priority="13">
      <formula>#REF! &lt; T21</formula>
    </cfRule>
  </conditionalFormatting>
  <conditionalFormatting sqref="U24:U33">
    <cfRule type="expression" dxfId="6" priority="16">
      <formula>AA24 &lt; U24</formula>
    </cfRule>
  </conditionalFormatting>
  <conditionalFormatting sqref="V24:W33">
    <cfRule type="expression" dxfId="5" priority="22">
      <formula>AA24 &lt; V24</formula>
    </cfRule>
  </conditionalFormatting>
  <conditionalFormatting sqref="X24:X33">
    <cfRule type="expression" dxfId="4" priority="14">
      <formula>AB24 &lt; X24</formula>
    </cfRule>
  </conditionalFormatting>
  <conditionalFormatting sqref="Y24:Z33">
    <cfRule type="expression" dxfId="3" priority="1">
      <formula>Z24 &gt; Y24</formula>
    </cfRule>
    <cfRule type="expression" dxfId="2" priority="2">
      <formula>Z24 &lt; Y24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FDAC-0006-407C-92E2-4299A6772078}">
  <dimension ref="A1:AB119"/>
  <sheetViews>
    <sheetView topLeftCell="A43" zoomScaleNormal="100" workbookViewId="0">
      <selection activeCell="C62" sqref="C62:F62"/>
    </sheetView>
  </sheetViews>
  <sheetFormatPr defaultRowHeight="15" x14ac:dyDescent="0.25"/>
  <cols>
    <col min="1" max="1" width="11.85546875" bestFit="1" customWidth="1"/>
    <col min="3" max="4" width="9.140625" style="310"/>
    <col min="7" max="7" width="7.42578125" bestFit="1" customWidth="1"/>
  </cols>
  <sheetData>
    <row r="1" spans="1:28" x14ac:dyDescent="0.25">
      <c r="A1" s="14">
        <v>2026</v>
      </c>
      <c r="B1" t="s">
        <v>233</v>
      </c>
      <c r="Q1" t="s">
        <v>234</v>
      </c>
    </row>
    <row r="2" spans="1:28" x14ac:dyDescent="0.25">
      <c r="B2" s="11" t="s">
        <v>124</v>
      </c>
      <c r="C2" s="443" t="s">
        <v>193</v>
      </c>
      <c r="D2" s="443" t="s">
        <v>194</v>
      </c>
      <c r="E2" s="443" t="s">
        <v>195</v>
      </c>
      <c r="F2" s="443" t="s">
        <v>236</v>
      </c>
      <c r="G2" s="443"/>
      <c r="H2" s="443"/>
      <c r="I2" s="443"/>
      <c r="J2" s="443"/>
      <c r="K2" s="443"/>
      <c r="L2" s="443"/>
      <c r="M2" s="443"/>
      <c r="N2" s="443"/>
      <c r="P2" s="364"/>
      <c r="Q2" s="443" t="s">
        <v>193</v>
      </c>
      <c r="R2" s="443" t="s">
        <v>194</v>
      </c>
      <c r="S2" s="443" t="s">
        <v>195</v>
      </c>
      <c r="T2" s="443" t="s">
        <v>236</v>
      </c>
      <c r="U2" s="443"/>
      <c r="V2" s="443"/>
      <c r="W2" s="443"/>
      <c r="X2" s="443"/>
      <c r="Y2" s="443"/>
      <c r="Z2" s="443"/>
      <c r="AA2" s="443"/>
      <c r="AB2" s="443"/>
    </row>
    <row r="3" spans="1:28" x14ac:dyDescent="0.25">
      <c r="B3" s="233" t="s">
        <v>2</v>
      </c>
      <c r="C3" s="310">
        <v>7323</v>
      </c>
      <c r="D3" s="310">
        <v>30182.579999999998</v>
      </c>
      <c r="E3" s="310">
        <v>47782.58</v>
      </c>
      <c r="F3" s="310">
        <v>64366.65</v>
      </c>
      <c r="G3" s="310"/>
      <c r="P3" s="233" t="s">
        <v>2</v>
      </c>
      <c r="Q3" s="103">
        <v>0.94551323434473855</v>
      </c>
      <c r="R3" s="103">
        <v>1.8171330523780853</v>
      </c>
      <c r="S3" s="103">
        <v>1.8552739273927394</v>
      </c>
      <c r="T3" s="103">
        <v>1.4198348255940918</v>
      </c>
      <c r="U3" s="103"/>
    </row>
    <row r="4" spans="1:28" x14ac:dyDescent="0.25">
      <c r="B4" t="s">
        <v>3</v>
      </c>
      <c r="C4" s="310">
        <v>15786</v>
      </c>
      <c r="D4" s="310">
        <v>33426.870000000003</v>
      </c>
      <c r="E4" s="310">
        <v>37248.870000000003</v>
      </c>
      <c r="F4" s="310">
        <v>42495.55</v>
      </c>
      <c r="G4" s="310"/>
      <c r="P4" t="s">
        <v>3</v>
      </c>
      <c r="Q4" s="103">
        <v>0.5882396780444179</v>
      </c>
      <c r="R4" s="103">
        <v>0.61365346169309321</v>
      </c>
      <c r="S4" s="103">
        <v>0.45118535135383936</v>
      </c>
      <c r="T4" s="103">
        <v>0.51473694793223657</v>
      </c>
      <c r="U4" s="103"/>
    </row>
    <row r="5" spans="1:28" x14ac:dyDescent="0.25">
      <c r="B5" t="s">
        <v>4</v>
      </c>
      <c r="C5" s="310">
        <v>41615</v>
      </c>
      <c r="D5" s="310">
        <v>76335.19</v>
      </c>
      <c r="E5" s="310">
        <v>118067.19</v>
      </c>
      <c r="F5" s="310">
        <v>139008.95000000001</v>
      </c>
      <c r="G5" s="310"/>
      <c r="P5" t="s">
        <v>4</v>
      </c>
      <c r="Q5" s="103">
        <v>0.94320165000793277</v>
      </c>
      <c r="R5" s="103">
        <v>0.86384653660471988</v>
      </c>
      <c r="S5" s="103">
        <v>0.8726827751070978</v>
      </c>
      <c r="T5" s="103">
        <v>1.0274718679315042</v>
      </c>
      <c r="U5" s="103"/>
    </row>
    <row r="6" spans="1:28" x14ac:dyDescent="0.25">
      <c r="B6" t="s">
        <v>5</v>
      </c>
      <c r="C6" s="310">
        <v>10140</v>
      </c>
      <c r="D6" s="310">
        <v>13918.99</v>
      </c>
      <c r="E6" s="310">
        <v>18834.989999999998</v>
      </c>
      <c r="F6" s="310">
        <v>28301.539999999997</v>
      </c>
      <c r="G6" s="310"/>
      <c r="P6" t="s">
        <v>5</v>
      </c>
      <c r="Q6" s="103">
        <v>1.1266666666666667</v>
      </c>
      <c r="R6" s="103">
        <v>0.77327722222222217</v>
      </c>
      <c r="S6" s="103">
        <v>0.69759222222222217</v>
      </c>
      <c r="T6" s="103">
        <v>0.7822426755113322</v>
      </c>
      <c r="U6" s="103"/>
    </row>
    <row r="7" spans="1:28" x14ac:dyDescent="0.25">
      <c r="B7" t="s">
        <v>6</v>
      </c>
      <c r="C7" s="310">
        <v>19418</v>
      </c>
      <c r="D7" s="310">
        <v>38982.080000000002</v>
      </c>
      <c r="E7" s="310">
        <v>59933.08</v>
      </c>
      <c r="F7" s="310">
        <v>67475.290000000008</v>
      </c>
      <c r="G7" s="310"/>
      <c r="P7" t="s">
        <v>6</v>
      </c>
      <c r="Q7" s="103">
        <v>1.4570420949951226</v>
      </c>
      <c r="R7" s="103">
        <v>1.6405218415958254</v>
      </c>
      <c r="S7" s="103">
        <v>1.7895279328774896</v>
      </c>
      <c r="T7" s="103">
        <v>1.4322600680179987</v>
      </c>
      <c r="U7" s="103"/>
    </row>
    <row r="8" spans="1:28" x14ac:dyDescent="0.25">
      <c r="B8" t="s">
        <v>241</v>
      </c>
      <c r="E8" s="310"/>
      <c r="F8" s="310">
        <v>3753.2400000000002</v>
      </c>
      <c r="G8" s="310"/>
      <c r="P8" t="s">
        <v>241</v>
      </c>
      <c r="Q8" s="103"/>
      <c r="R8" s="103"/>
      <c r="S8" s="103"/>
      <c r="T8" s="103">
        <v>0.10377540821108776</v>
      </c>
      <c r="U8" s="103"/>
    </row>
    <row r="9" spans="1:28" x14ac:dyDescent="0.25">
      <c r="B9" t="s">
        <v>242</v>
      </c>
      <c r="E9" s="310"/>
      <c r="F9" s="310">
        <v>6599.5099999999993</v>
      </c>
      <c r="G9" s="310"/>
      <c r="P9" t="s">
        <v>242</v>
      </c>
      <c r="Q9" s="103"/>
      <c r="R9" s="103"/>
      <c r="S9" s="103"/>
      <c r="T9" s="103">
        <v>9.163440710913634E-2</v>
      </c>
      <c r="U9" s="103"/>
    </row>
    <row r="10" spans="1:28" x14ac:dyDescent="0.25">
      <c r="B10" s="241" t="s">
        <v>7</v>
      </c>
      <c r="C10" s="409">
        <v>36080</v>
      </c>
      <c r="D10" s="409">
        <v>73786.37</v>
      </c>
      <c r="E10" s="409">
        <v>182792.37</v>
      </c>
      <c r="F10" s="409">
        <v>220920.01</v>
      </c>
      <c r="G10" s="409"/>
      <c r="P10" s="241" t="s">
        <v>7</v>
      </c>
      <c r="Q10" s="103">
        <v>1.3697278007668654</v>
      </c>
      <c r="R10" s="103">
        <v>1.4006085610454493</v>
      </c>
      <c r="S10" s="103">
        <v>2.3131745089677218</v>
      </c>
      <c r="T10" s="103">
        <v>2.1273042063172998</v>
      </c>
      <c r="U10" s="103"/>
    </row>
    <row r="11" spans="1:28" x14ac:dyDescent="0.25">
      <c r="B11" s="233" t="s">
        <v>8</v>
      </c>
      <c r="C11" s="310">
        <v>7552</v>
      </c>
      <c r="D11" s="310">
        <v>20805.78</v>
      </c>
      <c r="E11" s="310">
        <v>35136.43</v>
      </c>
      <c r="F11" s="310">
        <v>47297.81</v>
      </c>
      <c r="G11" s="310"/>
      <c r="P11" s="233" t="s">
        <v>8</v>
      </c>
      <c r="Q11" s="103">
        <v>0.21744889144831558</v>
      </c>
      <c r="R11" s="103">
        <v>0.40430975514963075</v>
      </c>
      <c r="S11" s="103">
        <v>0.51527247396979026</v>
      </c>
      <c r="T11" s="103">
        <v>0.55048661545623834</v>
      </c>
      <c r="U11" s="103"/>
    </row>
    <row r="12" spans="1:28" x14ac:dyDescent="0.25">
      <c r="B12" t="s">
        <v>9</v>
      </c>
      <c r="C12" s="310">
        <v>21582</v>
      </c>
      <c r="D12" s="310">
        <v>54388.229999999996</v>
      </c>
      <c r="E12" s="310">
        <v>72871.28</v>
      </c>
      <c r="F12" s="310">
        <v>110905.38</v>
      </c>
      <c r="G12" s="310"/>
      <c r="P12" t="s">
        <v>9</v>
      </c>
      <c r="Q12" s="103">
        <v>0.52008578933416871</v>
      </c>
      <c r="R12" s="103">
        <v>0.68314906925917551</v>
      </c>
      <c r="S12" s="103">
        <v>0.57277484771074871</v>
      </c>
      <c r="T12" s="103">
        <v>0.66561066365786037</v>
      </c>
      <c r="U12" s="103"/>
    </row>
    <row r="13" spans="1:28" x14ac:dyDescent="0.25">
      <c r="B13" t="s">
        <v>10</v>
      </c>
      <c r="C13" s="310">
        <v>22199</v>
      </c>
      <c r="D13" s="310">
        <v>77945.09</v>
      </c>
      <c r="E13" s="310">
        <v>109799.29999999999</v>
      </c>
      <c r="F13" s="310">
        <v>177664.41999999998</v>
      </c>
      <c r="G13" s="310"/>
      <c r="P13" t="s">
        <v>10</v>
      </c>
      <c r="Q13" s="103">
        <v>0.38775545851528387</v>
      </c>
      <c r="R13" s="103">
        <v>0.7131298261665141</v>
      </c>
      <c r="S13" s="103">
        <v>0.67917792966937796</v>
      </c>
      <c r="T13" s="103">
        <v>0.86329517293656877</v>
      </c>
      <c r="U13" s="103"/>
    </row>
    <row r="14" spans="1:28" x14ac:dyDescent="0.25">
      <c r="B14" t="s">
        <v>114</v>
      </c>
      <c r="C14" s="310">
        <v>37621</v>
      </c>
      <c r="D14" s="310">
        <v>42224.21</v>
      </c>
      <c r="E14" s="310">
        <v>47082.04</v>
      </c>
      <c r="F14" s="310">
        <v>55013.380000000005</v>
      </c>
      <c r="G14" s="310"/>
      <c r="P14" t="s">
        <v>114</v>
      </c>
      <c r="Q14" s="103">
        <v>3.7621000000000002</v>
      </c>
      <c r="R14" s="103">
        <v>2.2223268421052631</v>
      </c>
      <c r="S14" s="103">
        <v>1.652001403508772</v>
      </c>
      <c r="T14" s="103">
        <v>1.4496279314888012</v>
      </c>
      <c r="U14" s="103"/>
    </row>
    <row r="15" spans="1:28" x14ac:dyDescent="0.25">
      <c r="B15" s="241" t="s">
        <v>12</v>
      </c>
      <c r="C15" s="409">
        <v>45360</v>
      </c>
      <c r="D15" s="409">
        <v>77647.61</v>
      </c>
      <c r="E15" s="409">
        <v>129374.51000000001</v>
      </c>
      <c r="F15" s="409">
        <v>209044.26</v>
      </c>
      <c r="G15" s="409"/>
      <c r="P15" s="241" t="s">
        <v>12</v>
      </c>
      <c r="Q15" s="103">
        <v>1.1251953464143081</v>
      </c>
      <c r="R15" s="103">
        <v>1.1040494481502372</v>
      </c>
      <c r="S15" s="103">
        <v>0.88521331343970666</v>
      </c>
      <c r="T15" s="103">
        <v>1.0824765714154336</v>
      </c>
      <c r="U15" s="103"/>
    </row>
    <row r="16" spans="1:28" x14ac:dyDescent="0.25">
      <c r="B16" t="s">
        <v>13</v>
      </c>
      <c r="C16" s="310">
        <v>8534</v>
      </c>
      <c r="D16" s="310">
        <v>19729.400000000001</v>
      </c>
      <c r="E16" s="310">
        <v>48656.639999999999</v>
      </c>
      <c r="F16" s="310">
        <v>86295.98</v>
      </c>
      <c r="G16" s="310"/>
      <c r="P16" t="s">
        <v>13</v>
      </c>
      <c r="Q16" s="103">
        <v>0.32607366651383157</v>
      </c>
      <c r="R16" s="103">
        <v>0.37778068829024242</v>
      </c>
      <c r="S16" s="103">
        <v>0.62159593320946538</v>
      </c>
      <c r="T16" s="103">
        <v>0.82714476263577585</v>
      </c>
      <c r="U16" s="103"/>
    </row>
    <row r="17" spans="2:21" x14ac:dyDescent="0.25">
      <c r="B17" t="s">
        <v>14</v>
      </c>
      <c r="C17" s="310">
        <v>9237</v>
      </c>
      <c r="D17" s="310">
        <v>22102.639999999999</v>
      </c>
      <c r="E17" s="310">
        <v>42609.08</v>
      </c>
      <c r="F17" s="310">
        <v>68717.97</v>
      </c>
      <c r="G17" s="310"/>
      <c r="P17" t="s">
        <v>14</v>
      </c>
      <c r="Q17" s="103">
        <v>0.5257555922363254</v>
      </c>
      <c r="R17" s="103">
        <v>0.63036933519664606</v>
      </c>
      <c r="S17" s="103">
        <v>0.8107213120992447</v>
      </c>
      <c r="T17" s="103">
        <v>0.98377933028875753</v>
      </c>
      <c r="U17" s="103"/>
    </row>
    <row r="18" spans="2:21" x14ac:dyDescent="0.25">
      <c r="B18" t="s">
        <v>15</v>
      </c>
      <c r="C18" s="310">
        <v>15046</v>
      </c>
      <c r="D18" s="310">
        <v>24909.14</v>
      </c>
      <c r="E18" s="310">
        <v>44617.08</v>
      </c>
      <c r="F18" s="310">
        <v>52910.71</v>
      </c>
      <c r="G18" s="310"/>
      <c r="P18" t="s">
        <v>15</v>
      </c>
      <c r="Q18" s="103">
        <v>1.1942217636320342</v>
      </c>
      <c r="R18" s="103">
        <v>0.98853639177712516</v>
      </c>
      <c r="S18" s="103">
        <v>1.180439717437892</v>
      </c>
      <c r="T18" s="103">
        <v>1.0498989999206285</v>
      </c>
      <c r="U18" s="103"/>
    </row>
    <row r="19" spans="2:21" x14ac:dyDescent="0.25">
      <c r="B19" t="s">
        <v>16</v>
      </c>
      <c r="C19" s="310">
        <v>14498</v>
      </c>
      <c r="D19" s="310">
        <v>19867.36</v>
      </c>
      <c r="E19" s="310">
        <v>44982.71</v>
      </c>
      <c r="F19" s="310">
        <v>58779.759999999995</v>
      </c>
      <c r="G19" s="310"/>
      <c r="P19" t="s">
        <v>16</v>
      </c>
      <c r="Q19" s="103">
        <v>0.65300423385280604</v>
      </c>
      <c r="R19" s="103">
        <v>0.44742618063465939</v>
      </c>
      <c r="S19" s="103">
        <v>0.67536211822118708</v>
      </c>
      <c r="T19" s="103">
        <v>0.66187967388273838</v>
      </c>
      <c r="U19" s="103"/>
    </row>
    <row r="20" spans="2:21" x14ac:dyDescent="0.25">
      <c r="B20" s="241" t="s">
        <v>17</v>
      </c>
      <c r="C20" s="409">
        <v>34077</v>
      </c>
      <c r="D20" s="409">
        <v>72207.100000000006</v>
      </c>
      <c r="E20" s="409">
        <v>104561.28</v>
      </c>
      <c r="F20" s="409">
        <v>139602.08000000002</v>
      </c>
      <c r="G20" s="409"/>
      <c r="P20" s="241" t="s">
        <v>17</v>
      </c>
      <c r="Q20" s="103">
        <v>1.0017343759186312</v>
      </c>
      <c r="R20" s="103">
        <v>1.0613072491034159</v>
      </c>
      <c r="S20" s="103">
        <v>1.0245681697924629</v>
      </c>
      <c r="T20" s="103">
        <v>1.0259427361984832</v>
      </c>
      <c r="U20" s="103"/>
    </row>
    <row r="21" spans="2:21" x14ac:dyDescent="0.25">
      <c r="B21" t="s">
        <v>18</v>
      </c>
      <c r="C21" s="310">
        <v>29401.83</v>
      </c>
      <c r="D21" s="310">
        <v>41919.83</v>
      </c>
      <c r="E21" s="310">
        <v>72476.3</v>
      </c>
      <c r="F21" s="310">
        <v>102646.44</v>
      </c>
      <c r="G21" s="310"/>
      <c r="P21" t="s">
        <v>18</v>
      </c>
      <c r="Q21" s="103">
        <v>1.065862969004894</v>
      </c>
      <c r="R21" s="103">
        <v>0.66561599898378832</v>
      </c>
      <c r="S21" s="103">
        <v>0.81558673928700043</v>
      </c>
      <c r="T21" s="103">
        <v>0.89453014841087941</v>
      </c>
      <c r="U21" s="103"/>
    </row>
    <row r="22" spans="2:21" x14ac:dyDescent="0.25">
      <c r="B22" t="s">
        <v>19</v>
      </c>
      <c r="C22" s="310">
        <v>10813.27</v>
      </c>
      <c r="D22" s="310">
        <v>25159.27</v>
      </c>
      <c r="E22" s="310">
        <v>42122.5</v>
      </c>
      <c r="F22" s="310">
        <v>54846.06</v>
      </c>
      <c r="G22" s="310"/>
      <c r="P22" t="s">
        <v>19</v>
      </c>
      <c r="Q22" s="103">
        <v>0.56636693040245456</v>
      </c>
      <c r="R22" s="103">
        <v>0.65888974380596865</v>
      </c>
      <c r="S22" s="103">
        <v>0.73542146646767947</v>
      </c>
      <c r="T22" s="103">
        <v>0.70888916519816336</v>
      </c>
      <c r="U22" s="103"/>
    </row>
    <row r="23" spans="2:21" x14ac:dyDescent="0.25">
      <c r="B23" t="s">
        <v>20</v>
      </c>
      <c r="C23" s="310">
        <v>28233.599999999999</v>
      </c>
      <c r="D23" s="310">
        <v>64751.6</v>
      </c>
      <c r="E23" s="310">
        <v>93794.739999999991</v>
      </c>
      <c r="F23" s="310">
        <v>128302.39999999999</v>
      </c>
      <c r="G23" s="310"/>
      <c r="P23" t="s">
        <v>20</v>
      </c>
      <c r="Q23" s="103">
        <v>0.98870782593957285</v>
      </c>
      <c r="R23" s="103">
        <v>1.1009918713950846</v>
      </c>
      <c r="S23" s="103">
        <v>1.0735579522599319</v>
      </c>
      <c r="T23" s="103">
        <v>1.0926403744101088</v>
      </c>
      <c r="U23" s="103"/>
    </row>
    <row r="24" spans="2:21" x14ac:dyDescent="0.25">
      <c r="B24" t="s">
        <v>21</v>
      </c>
      <c r="C24" s="310">
        <v>12866.57</v>
      </c>
      <c r="D24" s="310">
        <v>32046.57</v>
      </c>
      <c r="E24" s="310">
        <v>44272.28</v>
      </c>
      <c r="F24" s="310">
        <v>63469.45</v>
      </c>
      <c r="G24" s="310"/>
      <c r="P24" t="s">
        <v>21</v>
      </c>
      <c r="Q24" s="103">
        <v>0.60392255339122269</v>
      </c>
      <c r="R24" s="103">
        <v>0.75209035437690686</v>
      </c>
      <c r="S24" s="103">
        <v>0.69267433309864668</v>
      </c>
      <c r="T24" s="103">
        <v>0.74477176719080029</v>
      </c>
      <c r="U24" s="103"/>
    </row>
    <row r="25" spans="2:21" x14ac:dyDescent="0.25">
      <c r="B25" t="s">
        <v>22</v>
      </c>
      <c r="C25" s="310">
        <v>27078.639999999999</v>
      </c>
      <c r="D25" s="310">
        <v>46741.64</v>
      </c>
      <c r="E25" s="310">
        <v>62446.26</v>
      </c>
      <c r="F25" s="310">
        <v>81362.11</v>
      </c>
      <c r="G25" s="310"/>
      <c r="P25" t="s">
        <v>22</v>
      </c>
      <c r="Q25" s="103">
        <v>1.5051423648263691</v>
      </c>
      <c r="R25" s="103">
        <v>1.2990374286964919</v>
      </c>
      <c r="S25" s="103">
        <v>1.1570014359164389</v>
      </c>
      <c r="T25" s="103">
        <v>1.1306063858983579</v>
      </c>
      <c r="U25" s="103"/>
    </row>
    <row r="26" spans="2:21" x14ac:dyDescent="0.25">
      <c r="B26" t="s">
        <v>23</v>
      </c>
      <c r="C26" s="310">
        <v>7727.89</v>
      </c>
      <c r="D26" s="310">
        <v>11512.89</v>
      </c>
      <c r="E26" s="310">
        <v>20671.73</v>
      </c>
      <c r="F26" s="310">
        <v>33858.800000000003</v>
      </c>
      <c r="G26" s="310"/>
      <c r="P26" t="s">
        <v>23</v>
      </c>
      <c r="Q26" s="103">
        <v>0.41072306464994235</v>
      </c>
      <c r="R26" s="103">
        <v>0.34750302819199202</v>
      </c>
      <c r="S26" s="103">
        <v>0.43569274829352145</v>
      </c>
      <c r="T26" s="103">
        <v>0.51099145968087711</v>
      </c>
      <c r="U26" s="103"/>
    </row>
    <row r="27" spans="2:21" x14ac:dyDescent="0.25">
      <c r="B27" s="241" t="s">
        <v>24</v>
      </c>
      <c r="C27" s="409">
        <v>15374.04</v>
      </c>
      <c r="D27" s="409">
        <v>31749.040000000001</v>
      </c>
      <c r="E27" s="409">
        <v>41117.65</v>
      </c>
      <c r="F27" s="409">
        <v>58122.19</v>
      </c>
      <c r="G27" s="409"/>
      <c r="P27" s="241" t="s">
        <v>24</v>
      </c>
      <c r="Q27" s="103">
        <v>0.74736473676534931</v>
      </c>
      <c r="R27" s="103">
        <v>0.77169413251664964</v>
      </c>
      <c r="S27" s="103">
        <v>0.6662720982613064</v>
      </c>
      <c r="T27" s="103">
        <v>0.70636077487725446</v>
      </c>
      <c r="U27" s="103"/>
    </row>
    <row r="28" spans="2:21" x14ac:dyDescent="0.25">
      <c r="B28" t="s">
        <v>25</v>
      </c>
      <c r="C28" s="310">
        <v>30716.44</v>
      </c>
      <c r="D28" s="310">
        <v>43160.44</v>
      </c>
      <c r="E28" s="310">
        <v>63989.14</v>
      </c>
      <c r="F28" s="310">
        <v>88069.88</v>
      </c>
      <c r="G28" s="310"/>
      <c r="P28" t="s">
        <v>25</v>
      </c>
      <c r="Q28" s="103">
        <v>1.5068157959283786</v>
      </c>
      <c r="R28" s="103">
        <v>1.0586323276919305</v>
      </c>
      <c r="S28" s="103">
        <v>1.0463435532662906</v>
      </c>
      <c r="T28" s="103">
        <v>1.0800819229825853</v>
      </c>
      <c r="U28" s="103"/>
    </row>
    <row r="29" spans="2:21" x14ac:dyDescent="0.25">
      <c r="B29" t="s">
        <v>26</v>
      </c>
      <c r="C29" s="310">
        <v>22772.04</v>
      </c>
      <c r="D29" s="310">
        <v>47755.040000000001</v>
      </c>
      <c r="E29" s="310">
        <v>83260.12</v>
      </c>
      <c r="F29" s="310">
        <v>110063.03999999999</v>
      </c>
      <c r="G29" s="310"/>
      <c r="P29" t="s">
        <v>26</v>
      </c>
      <c r="Q29" s="103">
        <v>0.96971415796365501</v>
      </c>
      <c r="R29" s="103">
        <v>0.97706022863865372</v>
      </c>
      <c r="S29" s="103">
        <v>1.1506453195503008</v>
      </c>
      <c r="T29" s="103">
        <v>1.1815329123402154</v>
      </c>
      <c r="U29" s="103"/>
    </row>
    <row r="30" spans="2:21" x14ac:dyDescent="0.25">
      <c r="B30" t="s">
        <v>27</v>
      </c>
      <c r="C30" s="310">
        <v>13566.99</v>
      </c>
      <c r="D30" s="310">
        <v>27664.989999999998</v>
      </c>
      <c r="E30" s="310">
        <v>55401.67</v>
      </c>
      <c r="F30" s="310">
        <v>69986.179999999993</v>
      </c>
      <c r="G30" s="310"/>
      <c r="P30" t="s">
        <v>27</v>
      </c>
      <c r="Q30" s="103">
        <v>0.74617698823011769</v>
      </c>
      <c r="R30" s="103">
        <v>0.76077961720382792</v>
      </c>
      <c r="S30" s="103">
        <v>1.0156871264620686</v>
      </c>
      <c r="T30" s="103">
        <v>0.9623003519964799</v>
      </c>
      <c r="U30" s="103"/>
    </row>
    <row r="31" spans="2:21" x14ac:dyDescent="0.25">
      <c r="B31" t="s">
        <v>28</v>
      </c>
      <c r="C31" s="310">
        <v>6222.61</v>
      </c>
      <c r="D31" s="310">
        <v>22018.61</v>
      </c>
      <c r="E31" s="310">
        <v>53962.54</v>
      </c>
      <c r="F31" s="310">
        <v>77130.399999999994</v>
      </c>
      <c r="G31" s="310"/>
      <c r="P31" t="s">
        <v>28</v>
      </c>
      <c r="Q31" s="103">
        <v>0.24790484765425802</v>
      </c>
      <c r="R31" s="103">
        <v>0.47047507734910515</v>
      </c>
      <c r="S31" s="103">
        <v>0.75111078014549659</v>
      </c>
      <c r="T31" s="103">
        <v>0.79194485472102127</v>
      </c>
      <c r="U31" s="103"/>
    </row>
    <row r="32" spans="2:21" x14ac:dyDescent="0.25">
      <c r="B32" t="s">
        <v>29</v>
      </c>
      <c r="C32" s="310">
        <v>5165.88</v>
      </c>
      <c r="D32" s="310">
        <v>33009.879999999997</v>
      </c>
      <c r="E32" s="310">
        <v>54682.27</v>
      </c>
      <c r="F32" s="310">
        <v>75480.73</v>
      </c>
      <c r="G32" s="310"/>
      <c r="P32" t="s">
        <v>29</v>
      </c>
      <c r="Q32" s="103">
        <v>0.25969636034586768</v>
      </c>
      <c r="R32" s="103">
        <v>0.80055003152738025</v>
      </c>
      <c r="S32" s="103">
        <v>0.69547312593798483</v>
      </c>
      <c r="T32" s="103">
        <v>0.7509175471059909</v>
      </c>
      <c r="U32" s="103"/>
    </row>
    <row r="33" spans="2:21" x14ac:dyDescent="0.25">
      <c r="B33" t="s">
        <v>30</v>
      </c>
      <c r="C33" s="310">
        <v>9826.81</v>
      </c>
      <c r="D33" s="310">
        <v>14884.81</v>
      </c>
      <c r="E33" s="310">
        <v>22442.54</v>
      </c>
      <c r="F33" s="310">
        <v>43114.2</v>
      </c>
      <c r="G33" s="310"/>
      <c r="P33" t="s">
        <v>30</v>
      </c>
      <c r="Q33" s="103">
        <v>0.89816378758797177</v>
      </c>
      <c r="R33" s="103">
        <v>0.67513992833492087</v>
      </c>
      <c r="S33" s="103">
        <v>0.67693843694386635</v>
      </c>
      <c r="T33" s="103">
        <v>0.97413407442554045</v>
      </c>
      <c r="U33" s="103"/>
    </row>
    <row r="34" spans="2:21" x14ac:dyDescent="0.25">
      <c r="B34" t="s">
        <v>31</v>
      </c>
      <c r="C34" s="310">
        <v>22895.47</v>
      </c>
      <c r="D34" s="310">
        <v>37121.47</v>
      </c>
      <c r="E34" s="310">
        <v>52318.25</v>
      </c>
      <c r="F34" s="310">
        <v>81732.97</v>
      </c>
      <c r="G34" s="310"/>
      <c r="P34" t="s">
        <v>31</v>
      </c>
      <c r="Q34" s="103">
        <v>1.1133221492827621</v>
      </c>
      <c r="R34" s="103">
        <v>0.92250173956262427</v>
      </c>
      <c r="S34" s="103">
        <v>0.87320787782692144</v>
      </c>
      <c r="T34" s="103">
        <v>1.0269251162206308</v>
      </c>
      <c r="U34" s="103"/>
    </row>
    <row r="35" spans="2:21" x14ac:dyDescent="0.25">
      <c r="B35" t="s">
        <v>32</v>
      </c>
      <c r="C35" s="409">
        <v>5495.45</v>
      </c>
      <c r="D35" s="409">
        <v>23111.45</v>
      </c>
      <c r="E35" s="409">
        <v>73452.649999999994</v>
      </c>
      <c r="F35" s="409">
        <v>84117.19</v>
      </c>
      <c r="G35" s="409"/>
      <c r="P35" t="s">
        <v>32</v>
      </c>
      <c r="Q35" s="103">
        <v>0.25412485549132946</v>
      </c>
      <c r="R35" s="103">
        <v>0.48589193734889102</v>
      </c>
      <c r="S35" s="103">
        <v>0.93983302411873837</v>
      </c>
      <c r="T35" s="103">
        <v>0.85571042003641873</v>
      </c>
      <c r="U35" s="103"/>
    </row>
    <row r="36" spans="2:21" x14ac:dyDescent="0.25">
      <c r="B36" s="233" t="s">
        <v>34</v>
      </c>
      <c r="C36" s="310">
        <v>39843.910000000003</v>
      </c>
      <c r="D36" s="310">
        <v>65418.91</v>
      </c>
      <c r="E36" s="310">
        <v>107768.85</v>
      </c>
      <c r="F36" s="310">
        <v>137977.09</v>
      </c>
      <c r="G36" s="310"/>
      <c r="P36" s="233" t="s">
        <v>34</v>
      </c>
      <c r="Q36" s="103">
        <v>2.5893568640142663</v>
      </c>
      <c r="R36" s="103">
        <v>1.3446412931792335</v>
      </c>
      <c r="S36" s="103">
        <v>1.6911966289322471</v>
      </c>
      <c r="T36" s="103">
        <v>1.7630441890956523</v>
      </c>
      <c r="U36" s="103"/>
    </row>
    <row r="37" spans="2:21" x14ac:dyDescent="0.25">
      <c r="B37" t="s">
        <v>35</v>
      </c>
      <c r="C37" s="310">
        <v>29081.350000000006</v>
      </c>
      <c r="D37" s="310">
        <v>50406.350000000006</v>
      </c>
      <c r="E37" s="310">
        <v>115859.06</v>
      </c>
      <c r="F37" s="310">
        <v>80062.220000000016</v>
      </c>
      <c r="G37" s="310"/>
      <c r="P37" t="s">
        <v>35</v>
      </c>
      <c r="Q37" s="103">
        <v>0.55556585040994966</v>
      </c>
      <c r="R37" s="103">
        <v>0.42990321743727061</v>
      </c>
      <c r="S37" s="103">
        <v>0.69257389891005106</v>
      </c>
      <c r="T37" s="103">
        <v>0.36374620396427854</v>
      </c>
      <c r="U37" s="103"/>
    </row>
    <row r="38" spans="2:21" x14ac:dyDescent="0.25">
      <c r="B38" t="s">
        <v>36</v>
      </c>
      <c r="C38" s="310">
        <v>25721.959999999992</v>
      </c>
      <c r="D38" s="310">
        <v>41243.959999999992</v>
      </c>
      <c r="E38" s="310">
        <v>88521.79</v>
      </c>
      <c r="F38" s="310">
        <v>140669.72999999998</v>
      </c>
      <c r="G38" s="310"/>
      <c r="P38" t="s">
        <v>36</v>
      </c>
      <c r="Q38" s="103">
        <v>0.93461601908622416</v>
      </c>
      <c r="R38" s="103">
        <v>0.91085639223311077</v>
      </c>
      <c r="S38" s="103">
        <v>1.2552975762270846</v>
      </c>
      <c r="T38" s="103">
        <v>1.4758377916128147</v>
      </c>
      <c r="U38" s="103"/>
    </row>
    <row r="39" spans="2:21" x14ac:dyDescent="0.25">
      <c r="B39" t="s">
        <v>37</v>
      </c>
      <c r="C39" s="310">
        <v>43153.18</v>
      </c>
      <c r="D39" s="310">
        <v>71314.179999999993</v>
      </c>
      <c r="E39" s="310">
        <v>87747.28</v>
      </c>
      <c r="F39" s="310">
        <v>121048.03</v>
      </c>
      <c r="G39" s="310"/>
      <c r="P39" t="s">
        <v>37</v>
      </c>
      <c r="Q39" s="103">
        <v>1.9230600917564071</v>
      </c>
      <c r="R39" s="103">
        <v>1.478171867049022</v>
      </c>
      <c r="S39" s="103">
        <v>1.2836576321187974</v>
      </c>
      <c r="T39" s="103">
        <v>1.2688184136692071</v>
      </c>
      <c r="U39" s="103"/>
    </row>
    <row r="40" spans="2:21" x14ac:dyDescent="0.25">
      <c r="B40" t="s">
        <v>38</v>
      </c>
      <c r="C40" s="310">
        <v>40641.619999999995</v>
      </c>
      <c r="D40" s="310">
        <v>65309.619999999995</v>
      </c>
      <c r="E40" s="310">
        <v>94910.26999999999</v>
      </c>
      <c r="F40" s="310">
        <v>118272.41999999998</v>
      </c>
      <c r="G40" s="310"/>
      <c r="P40" t="s">
        <v>38</v>
      </c>
      <c r="Q40" s="103">
        <v>1.6757765516911514</v>
      </c>
      <c r="R40" s="103">
        <v>1.1051181430793666</v>
      </c>
      <c r="S40" s="103">
        <v>1.191084947168737</v>
      </c>
      <c r="T40" s="103">
        <v>1.1566036935065858</v>
      </c>
      <c r="U40" s="103"/>
    </row>
    <row r="41" spans="2:21" x14ac:dyDescent="0.25">
      <c r="B41" t="s">
        <v>39</v>
      </c>
      <c r="C41" s="310">
        <v>20774.810000000001</v>
      </c>
      <c r="D41" s="310">
        <v>44570.81</v>
      </c>
      <c r="E41" s="310">
        <v>68799.28</v>
      </c>
      <c r="F41" s="310">
        <v>68655.570000000007</v>
      </c>
      <c r="G41" s="310"/>
      <c r="P41" t="s">
        <v>39</v>
      </c>
      <c r="Q41" s="103">
        <v>1.3389515027652583</v>
      </c>
      <c r="R41" s="103">
        <v>1.613730836615709</v>
      </c>
      <c r="S41" s="103">
        <v>1.7936185616436393</v>
      </c>
      <c r="T41" s="103">
        <v>1.2909011357128111</v>
      </c>
      <c r="U41" s="103"/>
    </row>
    <row r="42" spans="2:21" x14ac:dyDescent="0.25">
      <c r="B42" t="s">
        <v>33</v>
      </c>
      <c r="C42" s="310">
        <v>24463.52</v>
      </c>
      <c r="D42" s="310">
        <v>50613.520000000004</v>
      </c>
      <c r="E42" s="310">
        <v>72441.62</v>
      </c>
      <c r="F42" s="310">
        <v>94646.989999999991</v>
      </c>
      <c r="G42" s="310"/>
      <c r="P42" t="s">
        <v>33</v>
      </c>
      <c r="Q42" s="103">
        <v>0.90078006049749337</v>
      </c>
      <c r="R42" s="103">
        <v>0.87252429184519764</v>
      </c>
      <c r="S42" s="103">
        <v>0.87918204401855848</v>
      </c>
      <c r="T42" s="103">
        <v>0.87360213444449075</v>
      </c>
      <c r="U42" s="103"/>
    </row>
    <row r="43" spans="2:21" x14ac:dyDescent="0.25">
      <c r="B43" s="241" t="s">
        <v>40</v>
      </c>
      <c r="C43" s="409">
        <v>26508.540000000005</v>
      </c>
      <c r="D43" s="409">
        <v>50313.540000000008</v>
      </c>
      <c r="E43" s="409">
        <v>58932.710000000006</v>
      </c>
      <c r="F43" s="409">
        <v>124880.63</v>
      </c>
      <c r="G43" s="409"/>
      <c r="P43" s="241" t="s">
        <v>40</v>
      </c>
      <c r="Q43" s="103">
        <v>0.67164690760634516</v>
      </c>
      <c r="R43" s="103">
        <v>0.59874996087751942</v>
      </c>
      <c r="S43" s="103">
        <v>0.48322923978900262</v>
      </c>
      <c r="T43" s="103">
        <v>0.7923996892600752</v>
      </c>
      <c r="U43" s="103"/>
    </row>
    <row r="44" spans="2:21" x14ac:dyDescent="0.25">
      <c r="B44" t="s">
        <v>41</v>
      </c>
      <c r="C44" s="310">
        <v>26321.709999999995</v>
      </c>
      <c r="D44" s="310">
        <v>42396.709999999992</v>
      </c>
      <c r="E44" s="310">
        <v>100023.59</v>
      </c>
      <c r="F44" s="310">
        <v>143182.63</v>
      </c>
      <c r="G44" s="310"/>
      <c r="P44" t="s">
        <v>41</v>
      </c>
      <c r="Q44" s="103">
        <v>0.71884185496122943</v>
      </c>
      <c r="R44" s="103">
        <v>0.56303858853333388</v>
      </c>
      <c r="S44" s="103">
        <v>0.93867320554872768</v>
      </c>
      <c r="T44" s="103">
        <v>1.0253695896061887</v>
      </c>
      <c r="U44" s="103"/>
    </row>
    <row r="45" spans="2:21" x14ac:dyDescent="0.25">
      <c r="B45" t="s">
        <v>42</v>
      </c>
      <c r="C45" s="310">
        <v>56016.2</v>
      </c>
      <c r="D45" s="310">
        <v>79681.2</v>
      </c>
      <c r="E45" s="310">
        <v>129662.7</v>
      </c>
      <c r="F45" s="310">
        <v>170691.66999999998</v>
      </c>
      <c r="G45" s="310"/>
      <c r="P45" t="s">
        <v>42</v>
      </c>
      <c r="Q45" s="103">
        <v>1.7546692026833663</v>
      </c>
      <c r="R45" s="103">
        <v>1.0577888086355047</v>
      </c>
      <c r="S45" s="103">
        <v>1.2409443384026664</v>
      </c>
      <c r="T45" s="103">
        <v>1.1623168563644004</v>
      </c>
      <c r="U45" s="103"/>
    </row>
    <row r="46" spans="2:21" x14ac:dyDescent="0.25">
      <c r="B46" t="s">
        <v>43</v>
      </c>
      <c r="C46" s="310">
        <v>24382.509999999995</v>
      </c>
      <c r="D46" s="310">
        <v>52807.509999999995</v>
      </c>
      <c r="E46" s="310">
        <v>91266.799999999988</v>
      </c>
      <c r="F46" s="310">
        <v>153584.75999999998</v>
      </c>
      <c r="G46" s="310"/>
      <c r="P46" t="s">
        <v>43</v>
      </c>
      <c r="Q46" s="103">
        <v>0.79706385105658928</v>
      </c>
      <c r="R46" s="103">
        <v>0.64142511679746994</v>
      </c>
      <c r="S46" s="103">
        <v>0.78747016576711693</v>
      </c>
      <c r="T46" s="103">
        <v>1.0175637266139195</v>
      </c>
      <c r="U46" s="103"/>
    </row>
    <row r="47" spans="2:21" x14ac:dyDescent="0.25">
      <c r="B47" t="s">
        <v>44</v>
      </c>
      <c r="C47" s="310">
        <v>10864.2</v>
      </c>
      <c r="D47" s="310">
        <v>53432.2</v>
      </c>
      <c r="E47" s="310">
        <v>97808.16</v>
      </c>
      <c r="F47" s="310">
        <v>136981.88</v>
      </c>
      <c r="G47" s="310"/>
      <c r="P47" t="s">
        <v>44</v>
      </c>
      <c r="Q47" s="103">
        <v>0.42223682681496505</v>
      </c>
      <c r="R47" s="103">
        <v>0.65169874389415861</v>
      </c>
      <c r="S47" s="103">
        <v>0.92350983394544595</v>
      </c>
      <c r="T47" s="103">
        <v>1.0546134934628026</v>
      </c>
      <c r="U47" s="103"/>
    </row>
    <row r="48" spans="2:21" x14ac:dyDescent="0.25">
      <c r="B48" t="s">
        <v>45</v>
      </c>
      <c r="C48" s="310">
        <v>59647.37</v>
      </c>
      <c r="D48" s="310">
        <v>85349.37</v>
      </c>
      <c r="E48" s="310">
        <v>108279.29999999999</v>
      </c>
      <c r="F48" s="310">
        <v>126805.79999999999</v>
      </c>
      <c r="G48" s="310"/>
      <c r="P48" t="s">
        <v>45</v>
      </c>
      <c r="Q48" s="103">
        <v>1.9421822820882853</v>
      </c>
      <c r="R48" s="103">
        <v>1.188618507323671</v>
      </c>
      <c r="S48" s="103">
        <v>1.0563382754961299</v>
      </c>
      <c r="T48" s="103">
        <v>0.95691195393992745</v>
      </c>
      <c r="U48" s="103"/>
    </row>
    <row r="49" spans="2:21" x14ac:dyDescent="0.25">
      <c r="B49" t="s">
        <v>46</v>
      </c>
      <c r="C49" s="310">
        <v>12576.81</v>
      </c>
      <c r="D49" s="310">
        <v>101521.81</v>
      </c>
      <c r="E49" s="310">
        <v>191590.43</v>
      </c>
      <c r="F49" s="310">
        <v>215714.02</v>
      </c>
      <c r="G49" s="310"/>
      <c r="P49" t="s">
        <v>46</v>
      </c>
      <c r="Q49" s="103">
        <v>0.32086039950873962</v>
      </c>
      <c r="R49" s="103">
        <v>0.68549435537333048</v>
      </c>
      <c r="S49" s="103">
        <v>1.0655525524678755</v>
      </c>
      <c r="T49" s="103">
        <v>0.99895965831409439</v>
      </c>
      <c r="U49" s="103"/>
    </row>
    <row r="50" spans="2:21" x14ac:dyDescent="0.25">
      <c r="B50" t="s">
        <v>47</v>
      </c>
      <c r="C50" s="310">
        <v>45095.189999999988</v>
      </c>
      <c r="D50" s="310">
        <v>131004.18999999999</v>
      </c>
      <c r="E50" s="310">
        <v>113891.88999999998</v>
      </c>
      <c r="F50" s="310">
        <v>160331.65</v>
      </c>
      <c r="G50" s="310"/>
      <c r="P50" t="s">
        <v>47</v>
      </c>
      <c r="Q50" s="103">
        <v>1.6483985616828174</v>
      </c>
      <c r="R50" s="103">
        <v>1.1789755426196376</v>
      </c>
      <c r="S50" s="103">
        <v>0.84397565590433377</v>
      </c>
      <c r="T50" s="103">
        <v>0.99401532428137496</v>
      </c>
      <c r="U50" s="103"/>
    </row>
    <row r="51" spans="2:21" x14ac:dyDescent="0.25">
      <c r="B51" s="241" t="s">
        <v>48</v>
      </c>
      <c r="C51" s="409">
        <v>20435.280000000002</v>
      </c>
      <c r="D51" s="409">
        <v>69518.28</v>
      </c>
      <c r="E51" s="409">
        <v>107870.14</v>
      </c>
      <c r="F51" s="409">
        <v>130517.65</v>
      </c>
      <c r="G51" s="409"/>
      <c r="P51" s="241" t="s">
        <v>48</v>
      </c>
      <c r="Q51" s="103">
        <v>0.61778862214316366</v>
      </c>
      <c r="R51" s="103">
        <v>0.67590523908551803</v>
      </c>
      <c r="S51" s="103">
        <v>0.78580574560426131</v>
      </c>
      <c r="T51" s="103">
        <v>0.77828668657380007</v>
      </c>
      <c r="U51" s="103"/>
    </row>
    <row r="52" spans="2:21" x14ac:dyDescent="0.25">
      <c r="B52" t="s">
        <v>49</v>
      </c>
      <c r="C52" s="310">
        <v>128823.86</v>
      </c>
      <c r="D52" s="310">
        <v>221824.86</v>
      </c>
      <c r="E52" s="310">
        <v>300373.98</v>
      </c>
      <c r="F52" s="310">
        <v>334741.5</v>
      </c>
      <c r="G52" s="310"/>
      <c r="P52" t="s">
        <v>49</v>
      </c>
      <c r="Q52" s="103">
        <v>3.0141702938809862</v>
      </c>
      <c r="R52" s="103">
        <v>1.3690829671899436</v>
      </c>
      <c r="S52" s="103">
        <v>1.4669289721201724</v>
      </c>
      <c r="T52" s="103">
        <v>1.3572496181865605</v>
      </c>
      <c r="U52" s="103"/>
    </row>
    <row r="53" spans="2:21" x14ac:dyDescent="0.25">
      <c r="B53" t="s">
        <v>50</v>
      </c>
      <c r="C53" s="310">
        <v>44413.760000000009</v>
      </c>
      <c r="D53" s="310">
        <v>63656.760000000009</v>
      </c>
      <c r="E53" s="310">
        <v>73071.250000000015</v>
      </c>
      <c r="F53" s="310">
        <v>94494.270000000019</v>
      </c>
      <c r="G53" s="310"/>
      <c r="P53" t="s">
        <v>50</v>
      </c>
      <c r="Q53" s="103">
        <v>1.1835125950413927</v>
      </c>
      <c r="R53" s="103">
        <v>0.80965510066066693</v>
      </c>
      <c r="S53" s="103">
        <v>0.66999629660770554</v>
      </c>
      <c r="T53" s="103">
        <v>0.6875731409350645</v>
      </c>
      <c r="U53" s="103"/>
    </row>
    <row r="54" spans="2:21" x14ac:dyDescent="0.25">
      <c r="B54" t="s">
        <v>51</v>
      </c>
      <c r="C54" s="310">
        <v>0</v>
      </c>
      <c r="D54" s="310">
        <v>0</v>
      </c>
      <c r="E54" s="310">
        <v>0</v>
      </c>
      <c r="F54" s="310">
        <v>0</v>
      </c>
      <c r="G54" s="310"/>
      <c r="P54" t="s">
        <v>51</v>
      </c>
      <c r="Q54" s="103"/>
      <c r="R54" s="103"/>
      <c r="S54" s="103"/>
      <c r="T54" s="103"/>
      <c r="U54" s="103"/>
    </row>
    <row r="55" spans="2:21" x14ac:dyDescent="0.25">
      <c r="B55" t="s">
        <v>52</v>
      </c>
      <c r="C55" s="310">
        <v>26029.350000000002</v>
      </c>
      <c r="D55" s="310">
        <v>34262.350000000006</v>
      </c>
      <c r="E55" s="310">
        <v>73086.16</v>
      </c>
      <c r="F55" s="310">
        <v>113319.23000000001</v>
      </c>
      <c r="G55" s="310"/>
      <c r="P55" t="s">
        <v>52</v>
      </c>
      <c r="Q55" s="103">
        <v>1.0045315034426228</v>
      </c>
      <c r="R55" s="103">
        <v>0.71677161929694688</v>
      </c>
      <c r="S55" s="103">
        <v>0.99231765391779003</v>
      </c>
      <c r="T55" s="103">
        <v>1.0883094392469601</v>
      </c>
      <c r="U55" s="103"/>
    </row>
    <row r="56" spans="2:21" x14ac:dyDescent="0.25">
      <c r="B56" t="s">
        <v>53</v>
      </c>
      <c r="C56" s="310">
        <v>18821.399999999998</v>
      </c>
      <c r="D56" s="310">
        <v>34423.399999999994</v>
      </c>
      <c r="E56" s="310">
        <v>78324.62999999999</v>
      </c>
      <c r="F56" s="310">
        <v>107336.87</v>
      </c>
      <c r="G56" s="310"/>
      <c r="P56" t="s">
        <v>53</v>
      </c>
      <c r="Q56" s="103">
        <v>0.76203054292459493</v>
      </c>
      <c r="R56" s="103">
        <v>0.65539655857499401</v>
      </c>
      <c r="S56" s="103">
        <v>1.0075106041554782</v>
      </c>
      <c r="T56" s="103">
        <v>1.009346554585246</v>
      </c>
      <c r="U56" s="103"/>
    </row>
    <row r="57" spans="2:21" x14ac:dyDescent="0.25">
      <c r="B57" t="s">
        <v>54</v>
      </c>
      <c r="C57" s="310">
        <v>28421.03000000001</v>
      </c>
      <c r="D57" s="310">
        <v>79099.030000000013</v>
      </c>
      <c r="E57" s="310">
        <v>184641.91000000003</v>
      </c>
      <c r="F57" s="310">
        <v>218771.97000000003</v>
      </c>
      <c r="G57" s="310"/>
      <c r="P57" t="s">
        <v>54</v>
      </c>
      <c r="Q57" s="103">
        <v>0.73422013508954254</v>
      </c>
      <c r="R57" s="103">
        <v>0.66697812369248355</v>
      </c>
      <c r="S57" s="103">
        <v>1.1855301455675222</v>
      </c>
      <c r="T57" s="103">
        <v>1.1341245608721895</v>
      </c>
      <c r="U57" s="103"/>
    </row>
    <row r="58" spans="2:21" x14ac:dyDescent="0.25">
      <c r="E58" s="310"/>
      <c r="F58" s="310"/>
      <c r="G58" s="310"/>
      <c r="Q58" s="103"/>
      <c r="R58" s="103"/>
      <c r="S58" s="103"/>
      <c r="T58" s="103"/>
      <c r="U58" s="103"/>
    </row>
    <row r="59" spans="2:21" x14ac:dyDescent="0.25">
      <c r="B59" s="11" t="s">
        <v>158</v>
      </c>
      <c r="C59" s="310">
        <v>18155</v>
      </c>
      <c r="D59" s="310">
        <v>42129</v>
      </c>
      <c r="E59" s="310">
        <v>59860.38</v>
      </c>
      <c r="F59" s="310">
        <v>74959.03</v>
      </c>
      <c r="G59" s="310"/>
      <c r="P59" s="11" t="s">
        <v>158</v>
      </c>
      <c r="Q59" s="103">
        <v>0.76963839077536145</v>
      </c>
      <c r="R59" s="103">
        <v>0.86409599015485594</v>
      </c>
      <c r="S59" s="103">
        <v>0.81887224524972291</v>
      </c>
      <c r="T59" s="103">
        <v>0.78188202774590587</v>
      </c>
      <c r="U59" s="103"/>
    </row>
    <row r="62" spans="2:21" x14ac:dyDescent="0.25">
      <c r="B62" s="11" t="s">
        <v>235</v>
      </c>
      <c r="C62" s="443" t="s">
        <v>193</v>
      </c>
      <c r="D62" s="443" t="s">
        <v>194</v>
      </c>
      <c r="E62" s="443" t="s">
        <v>195</v>
      </c>
      <c r="F62" s="443" t="s">
        <v>236</v>
      </c>
      <c r="G62" s="410"/>
      <c r="H62" s="410"/>
      <c r="I62" s="410"/>
      <c r="J62" s="410"/>
      <c r="K62" s="410"/>
      <c r="L62" s="410"/>
      <c r="M62" s="410"/>
      <c r="N62" s="410"/>
    </row>
    <row r="63" spans="2:21" x14ac:dyDescent="0.25">
      <c r="B63" s="233" t="s">
        <v>2</v>
      </c>
      <c r="C63" s="310">
        <v>7745</v>
      </c>
      <c r="D63" s="310">
        <v>16610</v>
      </c>
      <c r="E63" s="310">
        <v>25755</v>
      </c>
      <c r="F63" s="310">
        <v>45333.9</v>
      </c>
      <c r="G63" s="310"/>
    </row>
    <row r="64" spans="2:21" x14ac:dyDescent="0.25">
      <c r="B64" t="s">
        <v>3</v>
      </c>
      <c r="C64" s="310">
        <v>26836</v>
      </c>
      <c r="D64" s="310">
        <v>54471.9</v>
      </c>
      <c r="E64" s="310">
        <v>82557.8</v>
      </c>
      <c r="F64" s="310">
        <v>82557.8</v>
      </c>
      <c r="G64" s="310"/>
    </row>
    <row r="65" spans="2:7" x14ac:dyDescent="0.25">
      <c r="B65" t="s">
        <v>4</v>
      </c>
      <c r="C65" s="310">
        <v>44121</v>
      </c>
      <c r="D65" s="310">
        <v>88366.61</v>
      </c>
      <c r="E65" s="310">
        <v>135292.22</v>
      </c>
      <c r="F65" s="310">
        <v>135292.22</v>
      </c>
      <c r="G65" s="310"/>
    </row>
    <row r="66" spans="2:7" x14ac:dyDescent="0.25">
      <c r="B66" t="s">
        <v>5</v>
      </c>
      <c r="C66" s="310">
        <v>9000</v>
      </c>
      <c r="D66" s="310">
        <v>18000</v>
      </c>
      <c r="E66" s="310">
        <v>27000</v>
      </c>
      <c r="F66" s="310">
        <v>36180</v>
      </c>
      <c r="G66" s="310"/>
    </row>
    <row r="67" spans="2:7" x14ac:dyDescent="0.25">
      <c r="B67" t="s">
        <v>6</v>
      </c>
      <c r="C67" s="310">
        <v>13327</v>
      </c>
      <c r="D67" s="310">
        <v>23762</v>
      </c>
      <c r="E67" s="310">
        <v>33491</v>
      </c>
      <c r="F67" s="310">
        <v>47111.06</v>
      </c>
      <c r="G67" s="310"/>
    </row>
    <row r="68" spans="2:7" x14ac:dyDescent="0.25">
      <c r="B68" t="s">
        <v>241</v>
      </c>
      <c r="E68" s="310"/>
      <c r="F68" s="310">
        <v>36166.949999999997</v>
      </c>
      <c r="G68" s="310"/>
    </row>
    <row r="69" spans="2:7" x14ac:dyDescent="0.25">
      <c r="B69" t="s">
        <v>242</v>
      </c>
      <c r="E69" s="310"/>
      <c r="F69" s="310">
        <v>72020</v>
      </c>
      <c r="G69" s="310"/>
    </row>
    <row r="70" spans="2:7" x14ac:dyDescent="0.25">
      <c r="B70" s="241" t="s">
        <v>7</v>
      </c>
      <c r="C70" s="409">
        <v>26341</v>
      </c>
      <c r="D70" s="409">
        <v>52681.65</v>
      </c>
      <c r="E70" s="409">
        <v>79022.3</v>
      </c>
      <c r="F70" s="409">
        <v>103849.75</v>
      </c>
      <c r="G70" s="409"/>
    </row>
    <row r="71" spans="2:7" x14ac:dyDescent="0.25">
      <c r="B71" s="233" t="s">
        <v>8</v>
      </c>
      <c r="C71" s="310">
        <v>34730</v>
      </c>
      <c r="D71" s="310">
        <v>51460</v>
      </c>
      <c r="E71" s="310">
        <v>68190</v>
      </c>
      <c r="F71" s="310">
        <v>85920</v>
      </c>
      <c r="G71" s="310"/>
    </row>
    <row r="72" spans="2:7" x14ac:dyDescent="0.25">
      <c r="B72" t="s">
        <v>9</v>
      </c>
      <c r="C72" s="310">
        <v>41497</v>
      </c>
      <c r="D72" s="310">
        <v>79614</v>
      </c>
      <c r="E72" s="310">
        <v>127225</v>
      </c>
      <c r="F72" s="310">
        <v>166622</v>
      </c>
      <c r="G72" s="310"/>
    </row>
    <row r="73" spans="2:7" x14ac:dyDescent="0.25">
      <c r="B73" t="s">
        <v>10</v>
      </c>
      <c r="C73" s="310">
        <v>57250</v>
      </c>
      <c r="D73" s="310">
        <v>109300</v>
      </c>
      <c r="E73" s="310">
        <v>161665</v>
      </c>
      <c r="F73" s="310">
        <v>205798</v>
      </c>
      <c r="G73" s="310"/>
    </row>
    <row r="74" spans="2:7" x14ac:dyDescent="0.25">
      <c r="B74" t="s">
        <v>114</v>
      </c>
      <c r="C74" s="310">
        <v>10000</v>
      </c>
      <c r="D74" s="310">
        <v>19000</v>
      </c>
      <c r="E74" s="310">
        <v>28500</v>
      </c>
      <c r="F74" s="310">
        <v>37950</v>
      </c>
      <c r="G74" s="310"/>
    </row>
    <row r="75" spans="2:7" x14ac:dyDescent="0.25">
      <c r="B75" s="241" t="s">
        <v>12</v>
      </c>
      <c r="C75" s="409">
        <v>40313</v>
      </c>
      <c r="D75" s="409">
        <v>70329.83</v>
      </c>
      <c r="E75" s="409">
        <v>146150.66</v>
      </c>
      <c r="F75" s="409">
        <v>193116.66</v>
      </c>
      <c r="G75" s="409"/>
    </row>
    <row r="76" spans="2:7" x14ac:dyDescent="0.25">
      <c r="B76" t="s">
        <v>13</v>
      </c>
      <c r="C76" s="310">
        <v>26172</v>
      </c>
      <c r="D76" s="310">
        <v>52224.480000000003</v>
      </c>
      <c r="E76" s="310">
        <v>78276.960000000006</v>
      </c>
      <c r="F76" s="310">
        <v>104329.96</v>
      </c>
      <c r="G76" s="310"/>
    </row>
    <row r="77" spans="2:7" x14ac:dyDescent="0.25">
      <c r="B77" t="s">
        <v>14</v>
      </c>
      <c r="C77" s="310">
        <v>17569</v>
      </c>
      <c r="D77" s="310">
        <v>35063</v>
      </c>
      <c r="E77" s="310">
        <v>52557</v>
      </c>
      <c r="F77" s="310">
        <v>69851</v>
      </c>
      <c r="G77" s="310"/>
    </row>
    <row r="78" spans="2:7" x14ac:dyDescent="0.25">
      <c r="B78" t="s">
        <v>15</v>
      </c>
      <c r="C78" s="310">
        <v>12599</v>
      </c>
      <c r="D78" s="310">
        <v>25198</v>
      </c>
      <c r="E78" s="310">
        <v>37797</v>
      </c>
      <c r="F78" s="310">
        <v>50396</v>
      </c>
      <c r="G78" s="310"/>
    </row>
    <row r="79" spans="2:7" x14ac:dyDescent="0.25">
      <c r="B79" t="s">
        <v>16</v>
      </c>
      <c r="C79" s="310">
        <v>22202</v>
      </c>
      <c r="D79" s="310">
        <v>44403.66</v>
      </c>
      <c r="E79" s="310">
        <v>66605.320000000007</v>
      </c>
      <c r="F79" s="310">
        <v>88807.32</v>
      </c>
      <c r="G79" s="310"/>
    </row>
    <row r="80" spans="2:7" x14ac:dyDescent="0.25">
      <c r="B80" s="241" t="s">
        <v>17</v>
      </c>
      <c r="C80" s="409">
        <v>34018</v>
      </c>
      <c r="D80" s="409">
        <v>68036</v>
      </c>
      <c r="E80" s="409">
        <v>102054</v>
      </c>
      <c r="F80" s="409">
        <v>136072</v>
      </c>
      <c r="G80" s="409"/>
    </row>
    <row r="81" spans="2:7" x14ac:dyDescent="0.25">
      <c r="B81" t="s">
        <v>18</v>
      </c>
      <c r="C81" s="310">
        <v>27585</v>
      </c>
      <c r="D81" s="310">
        <v>62979</v>
      </c>
      <c r="E81" s="310">
        <v>88864</v>
      </c>
      <c r="F81" s="310">
        <v>114749</v>
      </c>
      <c r="G81" s="310"/>
    </row>
    <row r="82" spans="2:7" x14ac:dyDescent="0.25">
      <c r="B82" t="s">
        <v>19</v>
      </c>
      <c r="C82" s="310">
        <v>19092.34</v>
      </c>
      <c r="D82" s="310">
        <v>38184.339999999997</v>
      </c>
      <c r="E82" s="310">
        <v>57276.679999999993</v>
      </c>
      <c r="F82" s="310">
        <v>77369.01999999999</v>
      </c>
      <c r="G82" s="310"/>
    </row>
    <row r="83" spans="2:7" x14ac:dyDescent="0.25">
      <c r="B83" t="s">
        <v>20</v>
      </c>
      <c r="C83" s="310">
        <v>28556.06</v>
      </c>
      <c r="D83" s="310">
        <v>58812.06</v>
      </c>
      <c r="E83" s="310">
        <v>87368.12</v>
      </c>
      <c r="F83" s="310">
        <v>117424.18</v>
      </c>
      <c r="G83" s="310"/>
    </row>
    <row r="84" spans="2:7" x14ac:dyDescent="0.25">
      <c r="B84" t="s">
        <v>21</v>
      </c>
      <c r="C84" s="310">
        <v>21305</v>
      </c>
      <c r="D84" s="310">
        <v>42610</v>
      </c>
      <c r="E84" s="310">
        <v>63915</v>
      </c>
      <c r="F84" s="310">
        <v>85220</v>
      </c>
      <c r="G84" s="310"/>
    </row>
    <row r="85" spans="2:7" x14ac:dyDescent="0.25">
      <c r="B85" t="s">
        <v>22</v>
      </c>
      <c r="C85" s="310">
        <v>17990.75</v>
      </c>
      <c r="D85" s="310">
        <v>35981.75</v>
      </c>
      <c r="E85" s="310">
        <v>53972.5</v>
      </c>
      <c r="F85" s="310">
        <v>71963.25</v>
      </c>
      <c r="G85" s="310"/>
    </row>
    <row r="86" spans="2:7" x14ac:dyDescent="0.25">
      <c r="B86" t="s">
        <v>23</v>
      </c>
      <c r="C86" s="310">
        <v>18815.330000000002</v>
      </c>
      <c r="D86" s="310">
        <v>33130.33</v>
      </c>
      <c r="E86" s="310">
        <v>47445.66</v>
      </c>
      <c r="F86" s="310">
        <v>66260.990000000005</v>
      </c>
      <c r="G86" s="310"/>
    </row>
    <row r="87" spans="2:7" x14ac:dyDescent="0.25">
      <c r="B87" s="241" t="s">
        <v>24</v>
      </c>
      <c r="C87" s="409">
        <v>20571</v>
      </c>
      <c r="D87" s="409">
        <v>41142</v>
      </c>
      <c r="E87" s="409">
        <v>61713</v>
      </c>
      <c r="F87" s="409">
        <v>82284</v>
      </c>
      <c r="G87" s="409"/>
    </row>
    <row r="88" spans="2:7" x14ac:dyDescent="0.25">
      <c r="B88" t="s">
        <v>25</v>
      </c>
      <c r="C88" s="310">
        <v>20385</v>
      </c>
      <c r="D88" s="310">
        <v>40770</v>
      </c>
      <c r="E88" s="310">
        <v>61155</v>
      </c>
      <c r="F88" s="310">
        <v>81540</v>
      </c>
      <c r="G88" s="310"/>
    </row>
    <row r="89" spans="2:7" x14ac:dyDescent="0.25">
      <c r="B89" t="s">
        <v>26</v>
      </c>
      <c r="C89" s="310">
        <v>23483.25</v>
      </c>
      <c r="D89" s="310">
        <v>48876.25</v>
      </c>
      <c r="E89" s="310">
        <v>72359.5</v>
      </c>
      <c r="F89" s="310">
        <v>93152.75</v>
      </c>
      <c r="G89" s="310"/>
    </row>
    <row r="90" spans="2:7" x14ac:dyDescent="0.25">
      <c r="B90" t="s">
        <v>27</v>
      </c>
      <c r="C90" s="310">
        <v>18182</v>
      </c>
      <c r="D90" s="310">
        <v>36364</v>
      </c>
      <c r="E90" s="310">
        <v>54546</v>
      </c>
      <c r="F90" s="310">
        <v>72728</v>
      </c>
      <c r="G90" s="310"/>
    </row>
    <row r="91" spans="2:7" x14ac:dyDescent="0.25">
      <c r="B91" t="s">
        <v>28</v>
      </c>
      <c r="C91" s="310">
        <v>25100.799999999999</v>
      </c>
      <c r="D91" s="310">
        <v>46800.800000000003</v>
      </c>
      <c r="E91" s="310">
        <v>71843.649999999994</v>
      </c>
      <c r="F91" s="310">
        <v>97393.65</v>
      </c>
      <c r="G91" s="310"/>
    </row>
    <row r="92" spans="2:7" x14ac:dyDescent="0.25">
      <c r="B92" t="s">
        <v>29</v>
      </c>
      <c r="C92" s="310">
        <v>19892</v>
      </c>
      <c r="D92" s="310">
        <v>41234</v>
      </c>
      <c r="E92" s="310">
        <v>78626</v>
      </c>
      <c r="F92" s="310">
        <v>100518</v>
      </c>
      <c r="G92" s="310"/>
    </row>
    <row r="93" spans="2:7" x14ac:dyDescent="0.25">
      <c r="B93" t="s">
        <v>30</v>
      </c>
      <c r="C93" s="310">
        <v>10941</v>
      </c>
      <c r="D93" s="310">
        <v>22047</v>
      </c>
      <c r="E93" s="310">
        <v>33153</v>
      </c>
      <c r="F93" s="310">
        <v>44259</v>
      </c>
      <c r="G93" s="310"/>
    </row>
    <row r="94" spans="2:7" x14ac:dyDescent="0.25">
      <c r="B94" t="s">
        <v>31</v>
      </c>
      <c r="C94" s="310">
        <v>20565</v>
      </c>
      <c r="D94" s="310">
        <v>40240</v>
      </c>
      <c r="E94" s="310">
        <v>59915</v>
      </c>
      <c r="F94" s="310">
        <v>79590</v>
      </c>
      <c r="G94" s="310"/>
    </row>
    <row r="95" spans="2:7" x14ac:dyDescent="0.25">
      <c r="B95" t="s">
        <v>32</v>
      </c>
      <c r="C95" s="409">
        <v>21625</v>
      </c>
      <c r="D95" s="409">
        <v>47565</v>
      </c>
      <c r="E95" s="409">
        <v>78155</v>
      </c>
      <c r="F95" s="409">
        <v>98301</v>
      </c>
      <c r="G95" s="409"/>
    </row>
    <row r="96" spans="2:7" x14ac:dyDescent="0.25">
      <c r="B96" s="233" t="s">
        <v>34</v>
      </c>
      <c r="C96" s="310">
        <v>15387.57</v>
      </c>
      <c r="D96" s="310">
        <v>48651.57</v>
      </c>
      <c r="E96" s="310">
        <v>63723.429999999993</v>
      </c>
      <c r="F96" s="310">
        <v>78260.709999999992</v>
      </c>
      <c r="G96" s="310"/>
    </row>
    <row r="97" spans="2:7" x14ac:dyDescent="0.25">
      <c r="B97" t="s">
        <v>35</v>
      </c>
      <c r="C97" s="310">
        <v>52345.460000000006</v>
      </c>
      <c r="D97" s="310">
        <v>117250.46</v>
      </c>
      <c r="E97" s="310">
        <v>167287.65</v>
      </c>
      <c r="F97" s="310">
        <v>220104.62</v>
      </c>
      <c r="G97" s="310"/>
    </row>
    <row r="98" spans="2:7" x14ac:dyDescent="0.25">
      <c r="B98" t="s">
        <v>36</v>
      </c>
      <c r="C98" s="310">
        <v>27521.420000000002</v>
      </c>
      <c r="D98" s="310">
        <v>45280.42</v>
      </c>
      <c r="E98" s="310">
        <v>70518.569999999992</v>
      </c>
      <c r="F98" s="310">
        <v>95315.169999999984</v>
      </c>
      <c r="G98" s="310"/>
    </row>
    <row r="99" spans="2:7" x14ac:dyDescent="0.25">
      <c r="B99" t="s">
        <v>37</v>
      </c>
      <c r="C99" s="310">
        <v>22439.849999999995</v>
      </c>
      <c r="D99" s="310">
        <v>48244.849999999991</v>
      </c>
      <c r="E99" s="310">
        <v>68357.229999999981</v>
      </c>
      <c r="F99" s="310">
        <v>95402.169999999984</v>
      </c>
      <c r="G99" s="310"/>
    </row>
    <row r="100" spans="2:7" x14ac:dyDescent="0.25">
      <c r="B100" t="s">
        <v>38</v>
      </c>
      <c r="C100" s="310">
        <v>24252.41</v>
      </c>
      <c r="D100" s="310">
        <v>59097.41</v>
      </c>
      <c r="E100" s="310">
        <v>79683.88</v>
      </c>
      <c r="F100" s="310">
        <v>102258.38</v>
      </c>
      <c r="G100" s="310"/>
    </row>
    <row r="101" spans="2:7" x14ac:dyDescent="0.25">
      <c r="B101" t="s">
        <v>39</v>
      </c>
      <c r="C101" s="310">
        <v>15515.73</v>
      </c>
      <c r="D101" s="310">
        <v>27619.73</v>
      </c>
      <c r="E101" s="310">
        <v>38357.81</v>
      </c>
      <c r="F101" s="310">
        <v>53184.22</v>
      </c>
      <c r="G101" s="310"/>
    </row>
    <row r="102" spans="2:7" x14ac:dyDescent="0.25">
      <c r="B102" t="s">
        <v>33</v>
      </c>
      <c r="C102" s="310">
        <v>27158.15</v>
      </c>
      <c r="D102" s="310">
        <v>58008.15</v>
      </c>
      <c r="E102" s="310">
        <v>82396.61</v>
      </c>
      <c r="F102" s="310">
        <v>108341.07</v>
      </c>
      <c r="G102" s="310"/>
    </row>
    <row r="103" spans="2:7" x14ac:dyDescent="0.25">
      <c r="B103" s="241" t="s">
        <v>40</v>
      </c>
      <c r="C103" s="409">
        <v>39467.97</v>
      </c>
      <c r="D103" s="409">
        <v>84030.97</v>
      </c>
      <c r="E103" s="409">
        <v>121956.01000000001</v>
      </c>
      <c r="F103" s="409">
        <v>157598.03</v>
      </c>
      <c r="G103" s="409"/>
    </row>
    <row r="104" spans="2:7" x14ac:dyDescent="0.25">
      <c r="B104" t="s">
        <v>41</v>
      </c>
      <c r="C104" s="310">
        <v>36616.83</v>
      </c>
      <c r="D104" s="310">
        <v>75299.83</v>
      </c>
      <c r="E104" s="310">
        <v>106558.48000000001</v>
      </c>
      <c r="F104" s="310">
        <v>139640.02000000002</v>
      </c>
      <c r="G104" s="310"/>
    </row>
    <row r="105" spans="2:7" x14ac:dyDescent="0.25">
      <c r="B105" t="s">
        <v>42</v>
      </c>
      <c r="C105" s="310">
        <v>31924.079999999998</v>
      </c>
      <c r="D105" s="310">
        <v>75328.08</v>
      </c>
      <c r="E105" s="310">
        <v>104487.12</v>
      </c>
      <c r="F105" s="310">
        <v>146854.68</v>
      </c>
      <c r="G105" s="310"/>
    </row>
    <row r="106" spans="2:7" x14ac:dyDescent="0.25">
      <c r="B106" t="s">
        <v>43</v>
      </c>
      <c r="C106" s="310">
        <v>30590.409999999996</v>
      </c>
      <c r="D106" s="310">
        <v>82328.41</v>
      </c>
      <c r="E106" s="310">
        <v>115898.74</v>
      </c>
      <c r="F106" s="310">
        <v>150933.79999999999</v>
      </c>
      <c r="G106" s="310"/>
    </row>
    <row r="107" spans="2:7" x14ac:dyDescent="0.25">
      <c r="B107" t="s">
        <v>44</v>
      </c>
      <c r="C107" s="310">
        <v>25730.11</v>
      </c>
      <c r="D107" s="310">
        <v>81989.11</v>
      </c>
      <c r="E107" s="310">
        <v>105909.17</v>
      </c>
      <c r="F107" s="310">
        <v>129888.23</v>
      </c>
      <c r="G107" s="310"/>
    </row>
    <row r="108" spans="2:7" x14ac:dyDescent="0.25">
      <c r="B108" t="s">
        <v>45</v>
      </c>
      <c r="C108" s="310">
        <v>30711.519999999993</v>
      </c>
      <c r="D108" s="310">
        <v>71805.51999999999</v>
      </c>
      <c r="E108" s="310">
        <v>102504.37999999999</v>
      </c>
      <c r="F108" s="310">
        <v>132515.63999999998</v>
      </c>
      <c r="G108" s="310"/>
    </row>
    <row r="109" spans="2:7" x14ac:dyDescent="0.25">
      <c r="B109" t="s">
        <v>46</v>
      </c>
      <c r="C109" s="310">
        <v>39197.140000000007</v>
      </c>
      <c r="D109" s="310">
        <v>148100.14000000001</v>
      </c>
      <c r="E109" s="310">
        <v>179803.83000000002</v>
      </c>
      <c r="F109" s="310">
        <v>215938.67</v>
      </c>
      <c r="G109" s="310"/>
    </row>
    <row r="110" spans="2:7" x14ac:dyDescent="0.25">
      <c r="B110" t="s">
        <v>47</v>
      </c>
      <c r="C110" s="310">
        <v>27356.97</v>
      </c>
      <c r="D110" s="310">
        <v>111116.97</v>
      </c>
      <c r="E110" s="310">
        <v>134946.89000000001</v>
      </c>
      <c r="F110" s="310">
        <v>161296.96000000002</v>
      </c>
      <c r="G110" s="310"/>
    </row>
    <row r="111" spans="2:7" x14ac:dyDescent="0.25">
      <c r="B111" s="241" t="s">
        <v>48</v>
      </c>
      <c r="C111" s="409">
        <v>33078.11</v>
      </c>
      <c r="D111" s="409">
        <v>102852.11</v>
      </c>
      <c r="E111" s="409">
        <v>137273.29</v>
      </c>
      <c r="F111" s="409">
        <v>167698.68</v>
      </c>
      <c r="G111" s="409"/>
    </row>
    <row r="112" spans="2:7" x14ac:dyDescent="0.25">
      <c r="B112" t="s">
        <v>49</v>
      </c>
      <c r="C112" s="310">
        <v>42739.410000000011</v>
      </c>
      <c r="D112" s="310">
        <v>162024.41</v>
      </c>
      <c r="E112" s="310">
        <v>204763.82</v>
      </c>
      <c r="F112" s="310">
        <v>246632.23</v>
      </c>
      <c r="G112" s="310"/>
    </row>
    <row r="113" spans="2:7" x14ac:dyDescent="0.25">
      <c r="B113" t="s">
        <v>50</v>
      </c>
      <c r="C113" s="310">
        <v>37527.070000000007</v>
      </c>
      <c r="D113" s="310">
        <v>78622.070000000007</v>
      </c>
      <c r="E113" s="310">
        <v>109062.17000000001</v>
      </c>
      <c r="F113" s="310">
        <v>137431.59000000003</v>
      </c>
      <c r="G113" s="310"/>
    </row>
    <row r="114" spans="2:7" x14ac:dyDescent="0.25">
      <c r="B114" t="s">
        <v>51</v>
      </c>
      <c r="C114" s="310">
        <v>0</v>
      </c>
      <c r="D114" s="310">
        <v>0</v>
      </c>
      <c r="E114" s="310">
        <v>0</v>
      </c>
      <c r="F114" s="310">
        <v>0</v>
      </c>
      <c r="G114" s="310"/>
    </row>
    <row r="115" spans="2:7" x14ac:dyDescent="0.25">
      <c r="B115" t="s">
        <v>52</v>
      </c>
      <c r="C115" s="310">
        <v>25911.93</v>
      </c>
      <c r="D115" s="310">
        <v>47800.93</v>
      </c>
      <c r="E115" s="310">
        <v>73651.98000000001</v>
      </c>
      <c r="F115" s="310">
        <v>104124.09000000001</v>
      </c>
      <c r="G115" s="310"/>
    </row>
    <row r="116" spans="2:7" x14ac:dyDescent="0.25">
      <c r="B116" t="s">
        <v>53</v>
      </c>
      <c r="C116" s="310">
        <v>24699.01</v>
      </c>
      <c r="D116" s="310">
        <v>52523.009999999995</v>
      </c>
      <c r="E116" s="310">
        <v>77740.75</v>
      </c>
      <c r="F116" s="310">
        <v>106342.93</v>
      </c>
      <c r="G116" s="310"/>
    </row>
    <row r="117" spans="2:7" x14ac:dyDescent="0.25">
      <c r="B117" t="s">
        <v>54</v>
      </c>
      <c r="C117" s="310">
        <v>38709.139999999992</v>
      </c>
      <c r="D117" s="310">
        <v>118593.13999999998</v>
      </c>
      <c r="E117" s="310">
        <v>155746.27999999997</v>
      </c>
      <c r="F117" s="310">
        <v>192899.41999999998</v>
      </c>
      <c r="G117" s="310"/>
    </row>
    <row r="118" spans="2:7" x14ac:dyDescent="0.25">
      <c r="E118" s="310"/>
      <c r="F118" s="310"/>
      <c r="G118" s="310"/>
    </row>
    <row r="119" spans="2:7" x14ac:dyDescent="0.25">
      <c r="B119" s="11" t="s">
        <v>158</v>
      </c>
      <c r="C119" s="310">
        <v>23589</v>
      </c>
      <c r="D119" s="310">
        <v>48755</v>
      </c>
      <c r="E119" s="310">
        <v>73101</v>
      </c>
      <c r="F119" s="310">
        <v>95870</v>
      </c>
      <c r="G119" s="310"/>
    </row>
  </sheetData>
  <conditionalFormatting sqref="Q3:AB59">
    <cfRule type="cellIs" dxfId="1" priority="1" operator="lessThanOrEqual">
      <formula>1</formula>
    </cfRule>
    <cfRule type="cellIs" dxfId="0" priority="2" operator="greaterThan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bd7b7-0283-4ef3-a757-31c1f732bd10">
      <Terms xmlns="http://schemas.microsoft.com/office/infopath/2007/PartnerControls"/>
    </lcf76f155ced4ddcb4097134ff3c332f>
    <TaxCatchAll xmlns="23b33c3d-3246-4d3f-be29-d9e1f59f36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32CB685C16745937F9E47466E6AB2" ma:contentTypeVersion="12" ma:contentTypeDescription="Create a new document." ma:contentTypeScope="" ma:versionID="8c369b4a2c9ad3a6a15d4404f8d28d07">
  <xsd:schema xmlns:xsd="http://www.w3.org/2001/XMLSchema" xmlns:xs="http://www.w3.org/2001/XMLSchema" xmlns:p="http://schemas.microsoft.com/office/2006/metadata/properties" xmlns:ns2="b13bd7b7-0283-4ef3-a757-31c1f732bd10" xmlns:ns3="23b33c3d-3246-4d3f-be29-d9e1f59f3609" targetNamespace="http://schemas.microsoft.com/office/2006/metadata/properties" ma:root="true" ma:fieldsID="fd31e05f9dcbad54842db47ecc1f6296" ns2:_="" ns3:_="">
    <xsd:import namespace="b13bd7b7-0283-4ef3-a757-31c1f732bd10"/>
    <xsd:import namespace="23b33c3d-3246-4d3f-be29-d9e1f59f3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bd7b7-0283-4ef3-a757-31c1f732bd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9d3afc-8c01-47f2-a9d4-cce1d1530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33c3d-3246-4d3f-be29-d9e1f59f36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de19b7-4584-4930-a9fc-34db5122a67f}" ma:internalName="TaxCatchAll" ma:showField="CatchAllData" ma:web="23b33c3d-3246-4d3f-be29-d9e1f59f3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4AB971-9E65-461E-B52F-4EAFA3AD57FF}">
  <ds:schemaRefs>
    <ds:schemaRef ds:uri="http://schemas.microsoft.com/office/2006/documentManagement/types"/>
    <ds:schemaRef ds:uri="23b33c3d-3246-4d3f-be29-d9e1f59f3609"/>
    <ds:schemaRef ds:uri="http://schemas.openxmlformats.org/package/2006/metadata/core-properties"/>
    <ds:schemaRef ds:uri="http://purl.org/dc/terms/"/>
    <ds:schemaRef ds:uri="b13bd7b7-0283-4ef3-a757-31c1f732bd10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5827082-B3A0-4B7C-B622-965FD632A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bd7b7-0283-4ef3-a757-31c1f732bd10"/>
    <ds:schemaRef ds:uri="23b33c3d-3246-4d3f-be29-d9e1f59f3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021CC0-1DEC-4DF5-9143-27D3B0E3B8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  <vt:lpstr>Jan 26</vt:lpstr>
      <vt:lpstr>Feb 26</vt:lpstr>
      <vt:lpstr>Mar 26</vt:lpstr>
      <vt:lpstr>Apr 26</vt:lpstr>
      <vt:lpstr>Variances by Entity</vt:lpstr>
      <vt:lpstr>ON Variances</vt:lpstr>
      <vt:lpstr>Sick</vt:lpstr>
      <vt:lpstr>OT</vt:lpstr>
      <vt:lpstr>Purchased</vt:lpstr>
      <vt:lpstr>Supplies</vt:lpstr>
      <vt:lpstr>ON Unfunded Clinical Spend</vt:lpstr>
      <vt:lpstr>RnM</vt:lpstr>
      <vt:lpstr>RnM YTD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Ashiana Jivraj</dc:creator>
  <cp:keywords/>
  <dc:description/>
  <cp:lastModifiedBy>Sundeep Parmar</cp:lastModifiedBy>
  <cp:revision/>
  <dcterms:created xsi:type="dcterms:W3CDTF">2025-03-18T19:12:28Z</dcterms:created>
  <dcterms:modified xsi:type="dcterms:W3CDTF">2026-06-22T18:30:08Z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0x010100EA932CB685C16745937F9E47466E6AB2</vt:lpwstr>
  </property>
  <property fmtid="{D5CDD505-2E9C-101B-9397-08002B2CF9AE}" pid="3" name="MediaServiceImageTags">
    <vt:lpwstr/>
  </property>
</Properties>
</file>